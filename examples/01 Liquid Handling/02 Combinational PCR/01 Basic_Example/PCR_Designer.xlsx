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1 Liquid Handling\02 Combinational PCR\01 Basic_Example\"/>
    </mc:Choice>
  </mc:AlternateContent>
  <xr:revisionPtr revIDLastSave="0" documentId="13_ncr:1_{62FB61FA-9777-461B-BC2B-FF960A77E34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fos+" sheetId="15" r:id="rId1"/>
    <sheet name="Plate organization+" sheetId="1" r:id="rId2"/>
    <sheet name="PM_info+" sheetId="16" r:id="rId3"/>
    <sheet name="Plan+" sheetId="2" r:id="rId4"/>
    <sheet name="Source_Plate" sheetId="4" r:id="rId5"/>
    <sheet name="Worklist_Water" sheetId="20" r:id="rId6"/>
    <sheet name="Worklist_Template" sheetId="19" r:id="rId7"/>
    <sheet name="Worklist_MM" sheetId="18" r:id="rId8"/>
    <sheet name="Worklist_PCR_Primer" sheetId="8" r:id="rId9"/>
    <sheet name="Worklist_Primer1" sheetId="5" r:id="rId10"/>
    <sheet name="Worklist_Primer2" sheetId="17" r:id="rId11"/>
  </sheets>
  <definedNames>
    <definedName name="_xlnm._FilterDatabase" localSheetId="3" hidden="1">'Plan+'!$A$1:$G$97</definedName>
    <definedName name="_xlnm.Print_Area" localSheetId="3">'Plan+'!$A$1:$G$97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F43" i="1"/>
  <c r="F40" i="1"/>
  <c r="F39" i="1"/>
  <c r="C45" i="1"/>
  <c r="C42" i="1"/>
  <c r="C41" i="1"/>
  <c r="F41" i="1" l="1"/>
  <c r="F42" i="1" s="1"/>
  <c r="C6" i="20"/>
  <c r="D6" i="20" s="1"/>
  <c r="C7" i="20"/>
  <c r="D7" i="20" s="1"/>
  <c r="C8" i="20"/>
  <c r="D8" i="20" s="1"/>
  <c r="C9" i="20"/>
  <c r="D9" i="20" s="1"/>
  <c r="C10" i="20"/>
  <c r="D10" i="20" s="1"/>
  <c r="C11" i="20"/>
  <c r="D11" i="20" s="1"/>
  <c r="C12" i="20"/>
  <c r="D12" i="20" s="1"/>
  <c r="C13" i="20"/>
  <c r="D13" i="20" s="1"/>
  <c r="C14" i="20"/>
  <c r="D14" i="20" s="1"/>
  <c r="C15" i="20"/>
  <c r="D15" i="20" s="1"/>
  <c r="C16" i="20"/>
  <c r="D16" i="20" s="1"/>
  <c r="C17" i="20"/>
  <c r="D17" i="20" s="1"/>
  <c r="C18" i="20"/>
  <c r="D18" i="20" s="1"/>
  <c r="C19" i="20"/>
  <c r="D19" i="20" s="1"/>
  <c r="C20" i="20"/>
  <c r="D20" i="20" s="1"/>
  <c r="C21" i="20"/>
  <c r="D21" i="20" s="1"/>
  <c r="C22" i="20"/>
  <c r="D22" i="20" s="1"/>
  <c r="C23" i="20"/>
  <c r="D23" i="20" s="1"/>
  <c r="C24" i="20"/>
  <c r="D24" i="20" s="1"/>
  <c r="C25" i="20"/>
  <c r="D25" i="20" s="1"/>
  <c r="C26" i="20"/>
  <c r="D26" i="20" s="1"/>
  <c r="C27" i="20"/>
  <c r="D27" i="20" s="1"/>
  <c r="C28" i="20"/>
  <c r="D28" i="20" s="1"/>
  <c r="C29" i="20"/>
  <c r="D29" i="20" s="1"/>
  <c r="C30" i="20"/>
  <c r="D30" i="20" s="1"/>
  <c r="C31" i="20"/>
  <c r="D31" i="20" s="1"/>
  <c r="C32" i="20"/>
  <c r="D32" i="20" s="1"/>
  <c r="C33" i="20"/>
  <c r="D33" i="20" s="1"/>
  <c r="C34" i="20"/>
  <c r="D34" i="20" s="1"/>
  <c r="C35" i="20"/>
  <c r="D35" i="20" s="1"/>
  <c r="C36" i="20"/>
  <c r="D36" i="20" s="1"/>
  <c r="C37" i="20"/>
  <c r="D37" i="20" s="1"/>
  <c r="C38" i="20"/>
  <c r="D38" i="20" s="1"/>
  <c r="C39" i="20"/>
  <c r="D39" i="20" s="1"/>
  <c r="C40" i="20"/>
  <c r="D40" i="20" s="1"/>
  <c r="C41" i="20"/>
  <c r="D41" i="20" s="1"/>
  <c r="C42" i="20"/>
  <c r="D42" i="20" s="1"/>
  <c r="C43" i="20"/>
  <c r="D43" i="20" s="1"/>
  <c r="C44" i="20"/>
  <c r="D44" i="20" s="1"/>
  <c r="C45" i="20"/>
  <c r="D45" i="20" s="1"/>
  <c r="C46" i="20"/>
  <c r="D46" i="20" s="1"/>
  <c r="C47" i="20"/>
  <c r="D47" i="20" s="1"/>
  <c r="C48" i="20"/>
  <c r="D48" i="20" s="1"/>
  <c r="C49" i="20"/>
  <c r="D49" i="20" s="1"/>
  <c r="C50" i="20"/>
  <c r="D50" i="20" s="1"/>
  <c r="C51" i="20"/>
  <c r="D51" i="20" s="1"/>
  <c r="C52" i="20"/>
  <c r="D52" i="20" s="1"/>
  <c r="C53" i="20"/>
  <c r="D53" i="20" s="1"/>
  <c r="C54" i="20"/>
  <c r="D54" i="20" s="1"/>
  <c r="C55" i="20"/>
  <c r="D55" i="20" s="1"/>
  <c r="C56" i="20"/>
  <c r="D56" i="20" s="1"/>
  <c r="C57" i="20"/>
  <c r="D57" i="20" s="1"/>
  <c r="C58" i="20"/>
  <c r="D58" i="20" s="1"/>
  <c r="C59" i="20"/>
  <c r="D59" i="20" s="1"/>
  <c r="C60" i="20"/>
  <c r="D60" i="20" s="1"/>
  <c r="C61" i="20"/>
  <c r="D61" i="20" s="1"/>
  <c r="C62" i="20"/>
  <c r="D62" i="20" s="1"/>
  <c r="C63" i="20"/>
  <c r="D63" i="20" s="1"/>
  <c r="C64" i="20"/>
  <c r="D64" i="20" s="1"/>
  <c r="C65" i="20"/>
  <c r="D65" i="20" s="1"/>
  <c r="C66" i="20"/>
  <c r="D66" i="20" s="1"/>
  <c r="C67" i="20"/>
  <c r="D67" i="20" s="1"/>
  <c r="C68" i="20"/>
  <c r="D68" i="20" s="1"/>
  <c r="C69" i="20"/>
  <c r="D69" i="20" s="1"/>
  <c r="C70" i="20"/>
  <c r="D70" i="20" s="1"/>
  <c r="C71" i="20"/>
  <c r="D71" i="20" s="1"/>
  <c r="C72" i="20"/>
  <c r="D72" i="20" s="1"/>
  <c r="C73" i="20"/>
  <c r="D73" i="20" s="1"/>
  <c r="C74" i="20"/>
  <c r="D74" i="20" s="1"/>
  <c r="C75" i="20"/>
  <c r="D75" i="20" s="1"/>
  <c r="C76" i="20"/>
  <c r="D76" i="20" s="1"/>
  <c r="C77" i="20"/>
  <c r="D77" i="20" s="1"/>
  <c r="C78" i="20"/>
  <c r="D78" i="20" s="1"/>
  <c r="C79" i="20"/>
  <c r="D79" i="20" s="1"/>
  <c r="C80" i="20"/>
  <c r="D80" i="20" s="1"/>
  <c r="C81" i="20"/>
  <c r="D81" i="20" s="1"/>
  <c r="C82" i="20"/>
  <c r="D82" i="20" s="1"/>
  <c r="C83" i="20"/>
  <c r="D83" i="20" s="1"/>
  <c r="C84" i="20"/>
  <c r="D84" i="20" s="1"/>
  <c r="C85" i="20"/>
  <c r="D85" i="20" s="1"/>
  <c r="C86" i="20"/>
  <c r="D86" i="20" s="1"/>
  <c r="C87" i="20"/>
  <c r="D87" i="20" s="1"/>
  <c r="C88" i="20"/>
  <c r="D88" i="20" s="1"/>
  <c r="C89" i="20"/>
  <c r="D89" i="20" s="1"/>
  <c r="C90" i="20"/>
  <c r="D90" i="20" s="1"/>
  <c r="C91" i="20"/>
  <c r="D91" i="20" s="1"/>
  <c r="C92" i="20"/>
  <c r="D92" i="20" s="1"/>
  <c r="C93" i="20"/>
  <c r="D93" i="20" s="1"/>
  <c r="C94" i="20"/>
  <c r="D94" i="20" s="1"/>
  <c r="C95" i="20"/>
  <c r="D95" i="20" s="1"/>
  <c r="C96" i="20"/>
  <c r="D96" i="20" s="1"/>
  <c r="C97" i="20"/>
  <c r="D97" i="20" s="1"/>
  <c r="C3" i="20"/>
  <c r="D3" i="20" s="1"/>
  <c r="C4" i="20"/>
  <c r="D4" i="20" s="1"/>
  <c r="C5" i="20"/>
  <c r="D5" i="20" s="1"/>
  <c r="C2" i="20"/>
  <c r="D2" i="20" s="1"/>
  <c r="O2" i="4" l="1"/>
  <c r="O3" i="4"/>
  <c r="O4" i="4"/>
  <c r="O5" i="4"/>
  <c r="O6" i="4"/>
  <c r="O8" i="4"/>
  <c r="O9" i="4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A37" i="19" s="1"/>
  <c r="C38" i="19"/>
  <c r="A38" i="19" s="1"/>
  <c r="C39" i="19"/>
  <c r="A39" i="19" s="1"/>
  <c r="C40" i="19"/>
  <c r="A40" i="19" s="1"/>
  <c r="C41" i="19"/>
  <c r="A41" i="19" s="1"/>
  <c r="C42" i="19"/>
  <c r="A42" i="19" s="1"/>
  <c r="C43" i="19"/>
  <c r="A43" i="19" s="1"/>
  <c r="C44" i="19"/>
  <c r="A44" i="19" s="1"/>
  <c r="C45" i="19"/>
  <c r="A45" i="19" s="1"/>
  <c r="C46" i="19"/>
  <c r="A46" i="19" s="1"/>
  <c r="C47" i="19"/>
  <c r="A47" i="19" s="1"/>
  <c r="C48" i="19"/>
  <c r="A48" i="19" s="1"/>
  <c r="C49" i="19"/>
  <c r="A49" i="19" s="1"/>
  <c r="C50" i="19"/>
  <c r="A50" i="19" s="1"/>
  <c r="C51" i="19"/>
  <c r="A51" i="19" s="1"/>
  <c r="C52" i="19"/>
  <c r="A52" i="19" s="1"/>
  <c r="C53" i="19"/>
  <c r="A53" i="19" s="1"/>
  <c r="C54" i="19"/>
  <c r="A54" i="19" s="1"/>
  <c r="C55" i="19"/>
  <c r="A55" i="19" s="1"/>
  <c r="C56" i="19"/>
  <c r="A56" i="19" s="1"/>
  <c r="C57" i="19"/>
  <c r="A57" i="19" s="1"/>
  <c r="C58" i="19"/>
  <c r="A58" i="19" s="1"/>
  <c r="C59" i="19"/>
  <c r="A59" i="19" s="1"/>
  <c r="C60" i="19"/>
  <c r="A60" i="19" s="1"/>
  <c r="C61" i="19"/>
  <c r="A61" i="19" s="1"/>
  <c r="C62" i="19"/>
  <c r="A62" i="19" s="1"/>
  <c r="C63" i="19"/>
  <c r="A63" i="19" s="1"/>
  <c r="C64" i="19"/>
  <c r="A64" i="19" s="1"/>
  <c r="C65" i="19"/>
  <c r="A65" i="19" s="1"/>
  <c r="C66" i="19"/>
  <c r="A66" i="19" s="1"/>
  <c r="C67" i="19"/>
  <c r="A67" i="19" s="1"/>
  <c r="C68" i="19"/>
  <c r="A68" i="19" s="1"/>
  <c r="C69" i="19"/>
  <c r="A69" i="19" s="1"/>
  <c r="C70" i="19"/>
  <c r="A70" i="19" s="1"/>
  <c r="C71" i="19"/>
  <c r="A71" i="19" s="1"/>
  <c r="C72" i="19"/>
  <c r="A72" i="19" s="1"/>
  <c r="C73" i="19"/>
  <c r="A73" i="19" s="1"/>
  <c r="C74" i="19"/>
  <c r="A74" i="19" s="1"/>
  <c r="C75" i="19"/>
  <c r="A75" i="19" s="1"/>
  <c r="C76" i="19"/>
  <c r="A76" i="19" s="1"/>
  <c r="C77" i="19"/>
  <c r="A77" i="19" s="1"/>
  <c r="C78" i="19"/>
  <c r="A78" i="19" s="1"/>
  <c r="C79" i="19"/>
  <c r="A79" i="19" s="1"/>
  <c r="C80" i="19"/>
  <c r="A80" i="19" s="1"/>
  <c r="C81" i="19"/>
  <c r="A81" i="19" s="1"/>
  <c r="C82" i="19"/>
  <c r="A82" i="19" s="1"/>
  <c r="C83" i="19"/>
  <c r="A83" i="19" s="1"/>
  <c r="C84" i="19"/>
  <c r="A84" i="19" s="1"/>
  <c r="C85" i="19"/>
  <c r="A85" i="19" s="1"/>
  <c r="C86" i="19"/>
  <c r="A86" i="19" s="1"/>
  <c r="C87" i="19"/>
  <c r="A87" i="19" s="1"/>
  <c r="C88" i="19"/>
  <c r="A88" i="19" s="1"/>
  <c r="C89" i="19"/>
  <c r="A89" i="19" s="1"/>
  <c r="C90" i="19"/>
  <c r="A90" i="19" s="1"/>
  <c r="C91" i="19"/>
  <c r="A91" i="19" s="1"/>
  <c r="C92" i="19"/>
  <c r="A92" i="19" s="1"/>
  <c r="C93" i="19"/>
  <c r="A93" i="19" s="1"/>
  <c r="C94" i="19"/>
  <c r="A94" i="19" s="1"/>
  <c r="C95" i="19"/>
  <c r="A95" i="19" s="1"/>
  <c r="C96" i="19"/>
  <c r="A96" i="19" s="1"/>
  <c r="C97" i="19"/>
  <c r="A97" i="19" s="1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4" i="18"/>
  <c r="F3" i="18"/>
  <c r="F2" i="18"/>
  <c r="F97" i="17"/>
  <c r="E97" i="17"/>
  <c r="F96" i="17"/>
  <c r="E96" i="17"/>
  <c r="F95" i="17"/>
  <c r="E95" i="17"/>
  <c r="F94" i="17"/>
  <c r="E94" i="17"/>
  <c r="F93" i="17"/>
  <c r="E93" i="17"/>
  <c r="F92" i="17"/>
  <c r="E92" i="17"/>
  <c r="F91" i="17"/>
  <c r="E91" i="17"/>
  <c r="F90" i="17"/>
  <c r="E90" i="17"/>
  <c r="F89" i="17"/>
  <c r="E89" i="17"/>
  <c r="F88" i="17"/>
  <c r="E88" i="17"/>
  <c r="F87" i="17"/>
  <c r="E87" i="17"/>
  <c r="F86" i="17"/>
  <c r="E86" i="17"/>
  <c r="F85" i="17"/>
  <c r="E85" i="17"/>
  <c r="F84" i="17"/>
  <c r="E84" i="17"/>
  <c r="F83" i="17"/>
  <c r="E83" i="17"/>
  <c r="F82" i="17"/>
  <c r="E82" i="17"/>
  <c r="F81" i="17"/>
  <c r="E81" i="17"/>
  <c r="F80" i="17"/>
  <c r="E80" i="17"/>
  <c r="F79" i="17"/>
  <c r="E79" i="17"/>
  <c r="F78" i="17"/>
  <c r="E78" i="17"/>
  <c r="F77" i="17"/>
  <c r="E77" i="17"/>
  <c r="F76" i="17"/>
  <c r="E76" i="17"/>
  <c r="F75" i="17"/>
  <c r="E75" i="17"/>
  <c r="F74" i="17"/>
  <c r="E74" i="17"/>
  <c r="F73" i="17"/>
  <c r="E73" i="17"/>
  <c r="F72" i="17"/>
  <c r="E72" i="17"/>
  <c r="F71" i="17"/>
  <c r="E71" i="17"/>
  <c r="F70" i="17"/>
  <c r="E70" i="17"/>
  <c r="F69" i="17"/>
  <c r="E69" i="17"/>
  <c r="F68" i="17"/>
  <c r="E68" i="17"/>
  <c r="F67" i="17"/>
  <c r="E67" i="17"/>
  <c r="F66" i="17"/>
  <c r="E66" i="17"/>
  <c r="F65" i="17"/>
  <c r="E65" i="17"/>
  <c r="F64" i="17"/>
  <c r="E64" i="17"/>
  <c r="F63" i="17"/>
  <c r="E63" i="17"/>
  <c r="F62" i="17"/>
  <c r="E62" i="17"/>
  <c r="F61" i="17"/>
  <c r="E61" i="17"/>
  <c r="F60" i="17"/>
  <c r="E60" i="17"/>
  <c r="F59" i="17"/>
  <c r="E59" i="17"/>
  <c r="F58" i="17"/>
  <c r="E58" i="17"/>
  <c r="F57" i="17"/>
  <c r="E57" i="17"/>
  <c r="F56" i="17"/>
  <c r="E56" i="17"/>
  <c r="F55" i="17"/>
  <c r="E55" i="17"/>
  <c r="F54" i="17"/>
  <c r="E54" i="17"/>
  <c r="F53" i="17"/>
  <c r="E53" i="17"/>
  <c r="F52" i="17"/>
  <c r="E52" i="17"/>
  <c r="F51" i="17"/>
  <c r="E51" i="17"/>
  <c r="F50" i="17"/>
  <c r="E50" i="17"/>
  <c r="F49" i="17"/>
  <c r="E49" i="17"/>
  <c r="F48" i="17"/>
  <c r="E48" i="17"/>
  <c r="F47" i="17"/>
  <c r="E47" i="17"/>
  <c r="F46" i="17"/>
  <c r="E46" i="17"/>
  <c r="F45" i="17"/>
  <c r="E45" i="17"/>
  <c r="F44" i="17"/>
  <c r="E44" i="17"/>
  <c r="F43" i="17"/>
  <c r="E43" i="17"/>
  <c r="F42" i="17"/>
  <c r="E42" i="17"/>
  <c r="F41" i="17"/>
  <c r="E41" i="17"/>
  <c r="F40" i="17"/>
  <c r="E40" i="17"/>
  <c r="F39" i="17"/>
  <c r="E39" i="17"/>
  <c r="F38" i="17"/>
  <c r="E38" i="17"/>
  <c r="F37" i="17"/>
  <c r="E37" i="17"/>
  <c r="F36" i="17"/>
  <c r="E36" i="17"/>
  <c r="F35" i="17"/>
  <c r="E35" i="17"/>
  <c r="F34" i="17"/>
  <c r="E34" i="17"/>
  <c r="F33" i="17"/>
  <c r="E33" i="17"/>
  <c r="F32" i="17"/>
  <c r="E32" i="17"/>
  <c r="F31" i="17"/>
  <c r="E31" i="17"/>
  <c r="F30" i="17"/>
  <c r="E30" i="17"/>
  <c r="F29" i="17"/>
  <c r="E29" i="17"/>
  <c r="F28" i="17"/>
  <c r="E28" i="17"/>
  <c r="F27" i="17"/>
  <c r="E27" i="17"/>
  <c r="F26" i="17"/>
  <c r="E26" i="17"/>
  <c r="F25" i="17"/>
  <c r="E25" i="17"/>
  <c r="F24" i="17"/>
  <c r="E24" i="17"/>
  <c r="F23" i="17"/>
  <c r="E23" i="17"/>
  <c r="F22" i="17"/>
  <c r="E22" i="17"/>
  <c r="F21" i="17"/>
  <c r="E21" i="17"/>
  <c r="F20" i="17"/>
  <c r="E20" i="17"/>
  <c r="F19" i="17"/>
  <c r="E19" i="17"/>
  <c r="F18" i="17"/>
  <c r="E18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F5" i="17"/>
  <c r="E5" i="17"/>
  <c r="F4" i="17"/>
  <c r="E4" i="17"/>
  <c r="F3" i="17"/>
  <c r="E3" i="17"/>
  <c r="F2" i="17"/>
  <c r="E2" i="17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2" i="5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2" i="8"/>
  <c r="B39" i="1"/>
  <c r="O7" i="4" l="1"/>
  <c r="A3" i="20" l="1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2" i="20"/>
  <c r="B25" i="20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B86" i="20"/>
  <c r="B74" i="20"/>
  <c r="B58" i="20"/>
  <c r="B57" i="20"/>
  <c r="B37" i="20"/>
  <c r="B29" i="20"/>
  <c r="B26" i="20"/>
  <c r="B10" i="20"/>
  <c r="B5" i="19"/>
  <c r="B6" i="19"/>
  <c r="B15" i="19"/>
  <c r="B18" i="19"/>
  <c r="B21" i="19"/>
  <c r="B24" i="19"/>
  <c r="B30" i="19"/>
  <c r="C2" i="19"/>
  <c r="E97" i="19"/>
  <c r="E96" i="19"/>
  <c r="E95" i="19"/>
  <c r="B95" i="19"/>
  <c r="E94" i="19"/>
  <c r="E93" i="19"/>
  <c r="E92" i="19"/>
  <c r="E91" i="19"/>
  <c r="E90" i="19"/>
  <c r="E89" i="19"/>
  <c r="B89" i="19"/>
  <c r="E88" i="19"/>
  <c r="E87" i="19"/>
  <c r="E86" i="19"/>
  <c r="E85" i="19"/>
  <c r="E84" i="19"/>
  <c r="E83" i="19"/>
  <c r="E82" i="19"/>
  <c r="B82" i="19"/>
  <c r="E81" i="19"/>
  <c r="E80" i="19"/>
  <c r="E79" i="19"/>
  <c r="B79" i="19"/>
  <c r="E78" i="19"/>
  <c r="E77" i="19"/>
  <c r="E76" i="19"/>
  <c r="E75" i="19"/>
  <c r="E74" i="19"/>
  <c r="E73" i="19"/>
  <c r="E72" i="19"/>
  <c r="B72" i="19"/>
  <c r="E71" i="19"/>
  <c r="E70" i="19"/>
  <c r="E69" i="19"/>
  <c r="E68" i="19"/>
  <c r="E67" i="19"/>
  <c r="E66" i="19"/>
  <c r="B66" i="19"/>
  <c r="E65" i="19"/>
  <c r="E64" i="19"/>
  <c r="E63" i="19"/>
  <c r="E62" i="19"/>
  <c r="B62" i="19"/>
  <c r="E61" i="19"/>
  <c r="B61" i="19"/>
  <c r="E60" i="19"/>
  <c r="E59" i="19"/>
  <c r="E58" i="19"/>
  <c r="E57" i="19"/>
  <c r="E56" i="19"/>
  <c r="E55" i="19"/>
  <c r="B55" i="19"/>
  <c r="E54" i="19"/>
  <c r="E53" i="19"/>
  <c r="E52" i="19"/>
  <c r="E51" i="19"/>
  <c r="E50" i="19"/>
  <c r="B50" i="19"/>
  <c r="E49" i="19"/>
  <c r="E48" i="19"/>
  <c r="E47" i="19"/>
  <c r="B47" i="19"/>
  <c r="E46" i="19"/>
  <c r="E45" i="19"/>
  <c r="E44" i="19"/>
  <c r="E43" i="19"/>
  <c r="E42" i="19"/>
  <c r="E41" i="19"/>
  <c r="E40" i="19"/>
  <c r="E39" i="19"/>
  <c r="E38" i="19"/>
  <c r="E37" i="19"/>
  <c r="E36" i="19"/>
  <c r="D36" i="19"/>
  <c r="E35" i="19"/>
  <c r="D35" i="19"/>
  <c r="E34" i="19"/>
  <c r="B34" i="19"/>
  <c r="E33" i="19"/>
  <c r="E32" i="19"/>
  <c r="E31" i="19"/>
  <c r="E30" i="19"/>
  <c r="E29" i="19"/>
  <c r="E28" i="19"/>
  <c r="B28" i="19"/>
  <c r="E27" i="19"/>
  <c r="E26" i="19"/>
  <c r="E25" i="19"/>
  <c r="B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B13" i="19"/>
  <c r="E12" i="19"/>
  <c r="B12" i="19"/>
  <c r="E11" i="19"/>
  <c r="E10" i="19"/>
  <c r="B10" i="19"/>
  <c r="E9" i="19"/>
  <c r="B9" i="19"/>
  <c r="E8" i="19"/>
  <c r="E7" i="19"/>
  <c r="B7" i="19"/>
  <c r="E6" i="19"/>
  <c r="E5" i="19"/>
  <c r="E4" i="19"/>
  <c r="E3" i="19"/>
  <c r="E2" i="19"/>
  <c r="I91" i="4"/>
  <c r="K91" i="4" s="1"/>
  <c r="I92" i="4"/>
  <c r="K92" i="4" s="1"/>
  <c r="I93" i="4"/>
  <c r="K93" i="4" s="1"/>
  <c r="I94" i="4"/>
  <c r="K94" i="4" s="1"/>
  <c r="I95" i="4"/>
  <c r="K95" i="4" s="1"/>
  <c r="I96" i="4"/>
  <c r="K96" i="4" s="1"/>
  <c r="I97" i="4"/>
  <c r="K97" i="4" s="1"/>
  <c r="I90" i="4"/>
  <c r="K90" i="4" s="1"/>
  <c r="I82" i="4"/>
  <c r="K82" i="4" s="1"/>
  <c r="I75" i="4"/>
  <c r="K75" i="4" s="1"/>
  <c r="I76" i="4"/>
  <c r="K76" i="4" s="1"/>
  <c r="I77" i="4"/>
  <c r="K77" i="4" s="1"/>
  <c r="I78" i="4"/>
  <c r="K78" i="4" s="1"/>
  <c r="I79" i="4"/>
  <c r="K79" i="4" s="1"/>
  <c r="I80" i="4"/>
  <c r="K80" i="4" s="1"/>
  <c r="I81" i="4"/>
  <c r="K81" i="4" s="1"/>
  <c r="I74" i="4"/>
  <c r="K74" i="4" s="1"/>
  <c r="I67" i="4"/>
  <c r="K67" i="4" s="1"/>
  <c r="I68" i="4"/>
  <c r="K68" i="4" s="1"/>
  <c r="I69" i="4"/>
  <c r="K69" i="4" s="1"/>
  <c r="I70" i="4"/>
  <c r="K70" i="4" s="1"/>
  <c r="I71" i="4"/>
  <c r="K71" i="4" s="1"/>
  <c r="I72" i="4"/>
  <c r="I73" i="4"/>
  <c r="I66" i="4"/>
  <c r="I59" i="4"/>
  <c r="K59" i="4" s="1"/>
  <c r="I60" i="4"/>
  <c r="K60" i="4" s="1"/>
  <c r="I61" i="4"/>
  <c r="K61" i="4" s="1"/>
  <c r="I62" i="4"/>
  <c r="K62" i="4" s="1"/>
  <c r="I63" i="4"/>
  <c r="K63" i="4" s="1"/>
  <c r="I64" i="4"/>
  <c r="K72" i="4" s="1"/>
  <c r="I65" i="4"/>
  <c r="K73" i="4" s="1"/>
  <c r="I58" i="4"/>
  <c r="K58" i="4" s="1"/>
  <c r="I51" i="4"/>
  <c r="K51" i="4" s="1"/>
  <c r="I52" i="4"/>
  <c r="K52" i="4" s="1"/>
  <c r="I53" i="4"/>
  <c r="K53" i="4" s="1"/>
  <c r="I54" i="4"/>
  <c r="K54" i="4" s="1"/>
  <c r="I55" i="4"/>
  <c r="K55" i="4" s="1"/>
  <c r="I56" i="4"/>
  <c r="K56" i="4" s="1"/>
  <c r="I57" i="4"/>
  <c r="K57" i="4" s="1"/>
  <c r="I50" i="4"/>
  <c r="K50" i="4" s="1"/>
  <c r="I43" i="4"/>
  <c r="K43" i="4" s="1"/>
  <c r="I44" i="4"/>
  <c r="K44" i="4" s="1"/>
  <c r="I45" i="4"/>
  <c r="K45" i="4" s="1"/>
  <c r="I46" i="4"/>
  <c r="K46" i="4" s="1"/>
  <c r="I47" i="4"/>
  <c r="K47" i="4" s="1"/>
  <c r="I48" i="4"/>
  <c r="K48" i="4" s="1"/>
  <c r="I49" i="4"/>
  <c r="K49" i="4" s="1"/>
  <c r="I42" i="4"/>
  <c r="K42" i="4" s="1"/>
  <c r="I35" i="4"/>
  <c r="K35" i="4" s="1"/>
  <c r="I36" i="4"/>
  <c r="K36" i="4" s="1"/>
  <c r="I37" i="4"/>
  <c r="K37" i="4" s="1"/>
  <c r="I38" i="4"/>
  <c r="K38" i="4" s="1"/>
  <c r="I39" i="4"/>
  <c r="K39" i="4" s="1"/>
  <c r="I40" i="4"/>
  <c r="K40" i="4" s="1"/>
  <c r="I41" i="4"/>
  <c r="K41" i="4" s="1"/>
  <c r="I34" i="4"/>
  <c r="K34" i="4" s="1"/>
  <c r="I27" i="4"/>
  <c r="K27" i="4" s="1"/>
  <c r="I28" i="4"/>
  <c r="K28" i="4" s="1"/>
  <c r="I29" i="4"/>
  <c r="K29" i="4" s="1"/>
  <c r="I30" i="4"/>
  <c r="K30" i="4" s="1"/>
  <c r="I31" i="4"/>
  <c r="K31" i="4" s="1"/>
  <c r="I32" i="4"/>
  <c r="K32" i="4" s="1"/>
  <c r="I33" i="4"/>
  <c r="K33" i="4" s="1"/>
  <c r="I26" i="4"/>
  <c r="K26" i="4" s="1"/>
  <c r="I19" i="4"/>
  <c r="K19" i="4" s="1"/>
  <c r="I20" i="4"/>
  <c r="K20" i="4" s="1"/>
  <c r="I21" i="4"/>
  <c r="K21" i="4" s="1"/>
  <c r="I22" i="4"/>
  <c r="K22" i="4" s="1"/>
  <c r="I23" i="4"/>
  <c r="K23" i="4" s="1"/>
  <c r="I24" i="4"/>
  <c r="K24" i="4" s="1"/>
  <c r="I25" i="4"/>
  <c r="K25" i="4" s="1"/>
  <c r="I18" i="4"/>
  <c r="K18" i="4" s="1"/>
  <c r="I11" i="4"/>
  <c r="K11" i="4" s="1"/>
  <c r="I12" i="4"/>
  <c r="K12" i="4" s="1"/>
  <c r="I13" i="4"/>
  <c r="K13" i="4" s="1"/>
  <c r="I14" i="4"/>
  <c r="K14" i="4" s="1"/>
  <c r="I15" i="4"/>
  <c r="K15" i="4" s="1"/>
  <c r="I16" i="4"/>
  <c r="K16" i="4" s="1"/>
  <c r="I17" i="4"/>
  <c r="K17" i="4" s="1"/>
  <c r="I10" i="4"/>
  <c r="K10" i="4" s="1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3" i="4"/>
  <c r="K3" i="4" s="1"/>
  <c r="I4" i="4"/>
  <c r="K4" i="4" s="1"/>
  <c r="I5" i="4"/>
  <c r="K5" i="4" s="1"/>
  <c r="I6" i="4"/>
  <c r="K6" i="4" s="1"/>
  <c r="I7" i="4"/>
  <c r="K7" i="4" s="1"/>
  <c r="I8" i="4"/>
  <c r="K8" i="4" s="1"/>
  <c r="I9" i="4"/>
  <c r="K9" i="4" s="1"/>
  <c r="I2" i="4"/>
  <c r="K66" i="4"/>
  <c r="B16" i="20" l="1"/>
  <c r="B21" i="20"/>
  <c r="B89" i="20"/>
  <c r="B5" i="20"/>
  <c r="B53" i="20"/>
  <c r="B62" i="20"/>
  <c r="B69" i="20"/>
  <c r="B28" i="20"/>
  <c r="B52" i="20"/>
  <c r="B36" i="20"/>
  <c r="B4" i="20"/>
  <c r="B84" i="20"/>
  <c r="B12" i="20"/>
  <c r="A36" i="19"/>
  <c r="A35" i="19"/>
  <c r="A34" i="19"/>
  <c r="A33" i="19"/>
  <c r="B90" i="20"/>
  <c r="B77" i="20"/>
  <c r="B79" i="20"/>
  <c r="B42" i="20"/>
  <c r="B46" i="20"/>
  <c r="B2" i="19"/>
  <c r="A2" i="19"/>
  <c r="D2" i="19"/>
  <c r="B2" i="20"/>
  <c r="B64" i="20"/>
  <c r="B48" i="20"/>
  <c r="B32" i="20"/>
  <c r="B60" i="20"/>
  <c r="B47" i="20"/>
  <c r="B31" i="20"/>
  <c r="B30" i="20"/>
  <c r="B76" i="20"/>
  <c r="B73" i="20"/>
  <c r="B41" i="20"/>
  <c r="B9" i="20"/>
  <c r="B20" i="20"/>
  <c r="B56" i="20"/>
  <c r="B24" i="20"/>
  <c r="B39" i="20"/>
  <c r="B23" i="20"/>
  <c r="B22" i="20"/>
  <c r="B44" i="20"/>
  <c r="B92" i="20"/>
  <c r="B18" i="20"/>
  <c r="B54" i="20"/>
  <c r="B14" i="20"/>
  <c r="B61" i="20"/>
  <c r="B45" i="20"/>
  <c r="B93" i="20"/>
  <c r="B95" i="20"/>
  <c r="B13" i="20"/>
  <c r="B63" i="20"/>
  <c r="A16" i="19"/>
  <c r="A14" i="19"/>
  <c r="A4" i="19"/>
  <c r="K2" i="4"/>
  <c r="A31" i="19"/>
  <c r="A5" i="19"/>
  <c r="A12" i="19"/>
  <c r="A27" i="19"/>
  <c r="A11" i="19"/>
  <c r="A13" i="19"/>
  <c r="A26" i="19"/>
  <c r="A10" i="19"/>
  <c r="A25" i="19"/>
  <c r="A9" i="19"/>
  <c r="A23" i="19"/>
  <c r="A7" i="19"/>
  <c r="A22" i="19"/>
  <c r="A20" i="19"/>
  <c r="A3" i="19"/>
  <c r="A19" i="19"/>
  <c r="A29" i="19"/>
  <c r="A28" i="19"/>
  <c r="D34" i="19"/>
  <c r="B6" i="20"/>
  <c r="B38" i="20"/>
  <c r="B70" i="20"/>
  <c r="B80" i="20"/>
  <c r="B8" i="20"/>
  <c r="B72" i="20"/>
  <c r="B88" i="20"/>
  <c r="B50" i="20"/>
  <c r="B82" i="20"/>
  <c r="B71" i="20"/>
  <c r="B7" i="20"/>
  <c r="B87" i="20"/>
  <c r="B40" i="20"/>
  <c r="B55" i="20"/>
  <c r="B34" i="20"/>
  <c r="B66" i="20"/>
  <c r="B78" i="20"/>
  <c r="B85" i="20"/>
  <c r="B68" i="20"/>
  <c r="B15" i="20"/>
  <c r="B94" i="20"/>
  <c r="B3" i="20"/>
  <c r="B19" i="20"/>
  <c r="B35" i="20"/>
  <c r="B51" i="20"/>
  <c r="B67" i="20"/>
  <c r="B83" i="20"/>
  <c r="B96" i="20"/>
  <c r="B17" i="20"/>
  <c r="B33" i="20"/>
  <c r="B49" i="20"/>
  <c r="B65" i="20"/>
  <c r="B81" i="20"/>
  <c r="B97" i="20"/>
  <c r="B11" i="20"/>
  <c r="B27" i="20"/>
  <c r="B43" i="20"/>
  <c r="B59" i="20"/>
  <c r="B75" i="20"/>
  <c r="B91" i="20"/>
  <c r="B93" i="19"/>
  <c r="B94" i="19"/>
  <c r="B86" i="19"/>
  <c r="B85" i="19"/>
  <c r="B87" i="19"/>
  <c r="B81" i="19"/>
  <c r="B77" i="19"/>
  <c r="B73" i="19"/>
  <c r="B69" i="19"/>
  <c r="B70" i="19"/>
  <c r="B71" i="19"/>
  <c r="B67" i="19"/>
  <c r="B63" i="19"/>
  <c r="B57" i="19"/>
  <c r="B53" i="19"/>
  <c r="B54" i="19"/>
  <c r="B45" i="19"/>
  <c r="B49" i="19"/>
  <c r="B39" i="19"/>
  <c r="B40" i="19"/>
  <c r="B41" i="19"/>
  <c r="B37" i="19"/>
  <c r="B38" i="19"/>
  <c r="A32" i="19"/>
  <c r="A30" i="19"/>
  <c r="A21" i="19"/>
  <c r="A18" i="19"/>
  <c r="B23" i="19"/>
  <c r="B11" i="19"/>
  <c r="B35" i="19"/>
  <c r="B44" i="19"/>
  <c r="B76" i="19"/>
  <c r="A17" i="19"/>
  <c r="A15" i="19"/>
  <c r="B3" i="19"/>
  <c r="B16" i="19"/>
  <c r="B60" i="19"/>
  <c r="B92" i="19"/>
  <c r="B17" i="19"/>
  <c r="B46" i="19"/>
  <c r="B51" i="19"/>
  <c r="B78" i="19"/>
  <c r="B83" i="19"/>
  <c r="A24" i="19"/>
  <c r="A8" i="19"/>
  <c r="B33" i="19"/>
  <c r="B22" i="19"/>
  <c r="B56" i="19"/>
  <c r="B65" i="19"/>
  <c r="B88" i="19"/>
  <c r="B97" i="19"/>
  <c r="A6" i="19"/>
  <c r="B31" i="19"/>
  <c r="B8" i="19"/>
  <c r="B19" i="19"/>
  <c r="B29" i="19"/>
  <c r="B32" i="19"/>
  <c r="B48" i="19"/>
  <c r="B64" i="19"/>
  <c r="B80" i="19"/>
  <c r="B96" i="19"/>
  <c r="B26" i="19"/>
  <c r="B42" i="19"/>
  <c r="B58" i="19"/>
  <c r="B74" i="19"/>
  <c r="B90" i="19"/>
  <c r="B4" i="19"/>
  <c r="B20" i="19"/>
  <c r="B36" i="19"/>
  <c r="B52" i="19"/>
  <c r="B68" i="19"/>
  <c r="B84" i="19"/>
  <c r="B14" i="19"/>
  <c r="B27" i="19"/>
  <c r="B43" i="19"/>
  <c r="B59" i="19"/>
  <c r="B75" i="19"/>
  <c r="B91" i="19"/>
  <c r="K64" i="4"/>
  <c r="K65" i="4"/>
  <c r="C6" i="17"/>
  <c r="B6" i="17" s="1"/>
  <c r="B98" i="20" l="1"/>
  <c r="B98" i="19"/>
  <c r="C3" i="18"/>
  <c r="C4" i="18"/>
  <c r="D4" i="18" s="1"/>
  <c r="C5" i="18"/>
  <c r="B5" i="18" s="1"/>
  <c r="C6" i="18"/>
  <c r="D6" i="18" s="1"/>
  <c r="C7" i="18"/>
  <c r="D7" i="18" s="1"/>
  <c r="C8" i="18"/>
  <c r="B8" i="18" s="1"/>
  <c r="C9" i="18"/>
  <c r="D9" i="18" s="1"/>
  <c r="C10" i="18"/>
  <c r="D10" i="18" s="1"/>
  <c r="C11" i="18"/>
  <c r="D11" i="18" s="1"/>
  <c r="C12" i="18"/>
  <c r="D12" i="18" s="1"/>
  <c r="C13" i="18"/>
  <c r="D13" i="18" s="1"/>
  <c r="C14" i="18"/>
  <c r="D14" i="18" s="1"/>
  <c r="C15" i="18"/>
  <c r="B15" i="18" s="1"/>
  <c r="C16" i="18"/>
  <c r="D16" i="18" s="1"/>
  <c r="C17" i="18"/>
  <c r="D17" i="18" s="1"/>
  <c r="C18" i="18"/>
  <c r="B18" i="18" s="1"/>
  <c r="C19" i="18"/>
  <c r="D19" i="18" s="1"/>
  <c r="C20" i="18"/>
  <c r="B20" i="18" s="1"/>
  <c r="C21" i="18"/>
  <c r="B21" i="18" s="1"/>
  <c r="C22" i="18"/>
  <c r="D22" i="18" s="1"/>
  <c r="C23" i="18"/>
  <c r="D23" i="18" s="1"/>
  <c r="C24" i="18"/>
  <c r="B24" i="18" s="1"/>
  <c r="C25" i="18"/>
  <c r="D25" i="18" s="1"/>
  <c r="C26" i="18"/>
  <c r="D26" i="18" s="1"/>
  <c r="C27" i="18"/>
  <c r="D27" i="18" s="1"/>
  <c r="C28" i="18"/>
  <c r="D28" i="18" s="1"/>
  <c r="C29" i="18"/>
  <c r="D29" i="18" s="1"/>
  <c r="C30" i="18"/>
  <c r="D30" i="18" s="1"/>
  <c r="C31" i="18"/>
  <c r="D31" i="18" s="1"/>
  <c r="C32" i="18"/>
  <c r="D32" i="18" s="1"/>
  <c r="C33" i="18"/>
  <c r="D33" i="18" s="1"/>
  <c r="C34" i="18"/>
  <c r="B34" i="18" s="1"/>
  <c r="C35" i="18"/>
  <c r="D35" i="18" s="1"/>
  <c r="C36" i="18"/>
  <c r="D36" i="18" s="1"/>
  <c r="C37" i="18"/>
  <c r="A37" i="18" s="1"/>
  <c r="C38" i="18"/>
  <c r="D38" i="18" s="1"/>
  <c r="C39" i="18"/>
  <c r="A39" i="18" s="1"/>
  <c r="C40" i="18"/>
  <c r="B40" i="18" s="1"/>
  <c r="C41" i="18"/>
  <c r="D41" i="18" s="1"/>
  <c r="C42" i="18"/>
  <c r="D42" i="18" s="1"/>
  <c r="C43" i="18"/>
  <c r="D43" i="18" s="1"/>
  <c r="C44" i="18"/>
  <c r="D44" i="18" s="1"/>
  <c r="C45" i="18"/>
  <c r="B45" i="18" s="1"/>
  <c r="C46" i="18"/>
  <c r="B46" i="18" s="1"/>
  <c r="C47" i="18"/>
  <c r="D47" i="18" s="1"/>
  <c r="C48" i="18"/>
  <c r="D48" i="18" s="1"/>
  <c r="C49" i="18"/>
  <c r="D49" i="18" s="1"/>
  <c r="C50" i="18"/>
  <c r="B50" i="18" s="1"/>
  <c r="C51" i="18"/>
  <c r="A51" i="18" s="1"/>
  <c r="C52" i="18"/>
  <c r="B52" i="18" s="1"/>
  <c r="C53" i="18"/>
  <c r="D53" i="18" s="1"/>
  <c r="C54" i="18"/>
  <c r="B54" i="18" s="1"/>
  <c r="C55" i="18"/>
  <c r="D55" i="18" s="1"/>
  <c r="C56" i="18"/>
  <c r="A56" i="18" s="1"/>
  <c r="C57" i="18"/>
  <c r="D57" i="18" s="1"/>
  <c r="C58" i="18"/>
  <c r="D58" i="18" s="1"/>
  <c r="C59" i="18"/>
  <c r="D59" i="18" s="1"/>
  <c r="C60" i="18"/>
  <c r="D60" i="18" s="1"/>
  <c r="C61" i="18"/>
  <c r="A61" i="18" s="1"/>
  <c r="C62" i="18"/>
  <c r="D62" i="18" s="1"/>
  <c r="C63" i="18"/>
  <c r="B63" i="18" s="1"/>
  <c r="C64" i="18"/>
  <c r="D64" i="18" s="1"/>
  <c r="C65" i="18"/>
  <c r="D65" i="18" s="1"/>
  <c r="C66" i="18"/>
  <c r="B66" i="18" s="1"/>
  <c r="C67" i="18"/>
  <c r="B67" i="18" s="1"/>
  <c r="C68" i="18"/>
  <c r="B68" i="18" s="1"/>
  <c r="C69" i="18"/>
  <c r="A69" i="18" s="1"/>
  <c r="C70" i="18"/>
  <c r="D70" i="18" s="1"/>
  <c r="C71" i="18"/>
  <c r="A71" i="18" s="1"/>
  <c r="C72" i="18"/>
  <c r="D72" i="18" s="1"/>
  <c r="C73" i="18"/>
  <c r="D73" i="18" s="1"/>
  <c r="C74" i="18"/>
  <c r="D74" i="18" s="1"/>
  <c r="C75" i="18"/>
  <c r="D75" i="18" s="1"/>
  <c r="C76" i="18"/>
  <c r="D76" i="18" s="1"/>
  <c r="C77" i="18"/>
  <c r="A77" i="18" s="1"/>
  <c r="C78" i="18"/>
  <c r="D78" i="18" s="1"/>
  <c r="C79" i="18"/>
  <c r="A79" i="18" s="1"/>
  <c r="C80" i="18"/>
  <c r="D80" i="18" s="1"/>
  <c r="C81" i="18"/>
  <c r="D81" i="18" s="1"/>
  <c r="C82" i="18"/>
  <c r="B82" i="18" s="1"/>
  <c r="C83" i="18"/>
  <c r="A83" i="18" s="1"/>
  <c r="C84" i="18"/>
  <c r="A84" i="18" s="1"/>
  <c r="C85" i="18"/>
  <c r="D85" i="18" s="1"/>
  <c r="C86" i="18"/>
  <c r="B86" i="18" s="1"/>
  <c r="C87" i="18"/>
  <c r="D87" i="18" s="1"/>
  <c r="C88" i="18"/>
  <c r="B88" i="18" s="1"/>
  <c r="C89" i="18"/>
  <c r="D89" i="18" s="1"/>
  <c r="C90" i="18"/>
  <c r="D90" i="18" s="1"/>
  <c r="C91" i="18"/>
  <c r="D91" i="18" s="1"/>
  <c r="C92" i="18"/>
  <c r="D92" i="18" s="1"/>
  <c r="C93" i="18"/>
  <c r="B93" i="18" s="1"/>
  <c r="C94" i="18"/>
  <c r="D94" i="18" s="1"/>
  <c r="C95" i="18"/>
  <c r="A95" i="18" s="1"/>
  <c r="C96" i="18"/>
  <c r="D96" i="18" s="1"/>
  <c r="C97" i="18"/>
  <c r="D97" i="18" s="1"/>
  <c r="C2" i="18"/>
  <c r="A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B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B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B6" i="18"/>
  <c r="E5" i="18"/>
  <c r="E4" i="18"/>
  <c r="E3" i="18"/>
  <c r="B3" i="18"/>
  <c r="E2" i="18"/>
  <c r="C3" i="17"/>
  <c r="B3" i="17" s="1"/>
  <c r="C4" i="17"/>
  <c r="C5" i="17"/>
  <c r="B5" i="17" s="1"/>
  <c r="D6" i="17"/>
  <c r="C7" i="17"/>
  <c r="B7" i="17" s="1"/>
  <c r="C8" i="17"/>
  <c r="C9" i="17"/>
  <c r="D9" i="17" s="1"/>
  <c r="C10" i="17"/>
  <c r="B10" i="17" s="1"/>
  <c r="C11" i="17"/>
  <c r="A11" i="17" s="1"/>
  <c r="C12" i="17"/>
  <c r="A12" i="17" s="1"/>
  <c r="C13" i="17"/>
  <c r="A13" i="17" s="1"/>
  <c r="C14" i="17"/>
  <c r="A14" i="17" s="1"/>
  <c r="C15" i="17"/>
  <c r="C16" i="17"/>
  <c r="A16" i="17" s="1"/>
  <c r="C17" i="17"/>
  <c r="B17" i="17" s="1"/>
  <c r="C18" i="17"/>
  <c r="C19" i="17"/>
  <c r="A19" i="17" s="1"/>
  <c r="C20" i="17"/>
  <c r="B20" i="17" s="1"/>
  <c r="C21" i="17"/>
  <c r="A21" i="17" s="1"/>
  <c r="C22" i="17"/>
  <c r="C23" i="17"/>
  <c r="C24" i="17"/>
  <c r="A24" i="17" s="1"/>
  <c r="C25" i="17"/>
  <c r="A25" i="17" s="1"/>
  <c r="C26" i="17"/>
  <c r="C27" i="17"/>
  <c r="A27" i="17" s="1"/>
  <c r="C28" i="17"/>
  <c r="A28" i="17" s="1"/>
  <c r="C29" i="17"/>
  <c r="A29" i="17" s="1"/>
  <c r="C30" i="17"/>
  <c r="C31" i="17"/>
  <c r="D31" i="17" s="1"/>
  <c r="C32" i="17"/>
  <c r="A32" i="17" s="1"/>
  <c r="C33" i="17"/>
  <c r="C34" i="17"/>
  <c r="C35" i="17"/>
  <c r="A35" i="17" s="1"/>
  <c r="C36" i="17"/>
  <c r="D36" i="17" s="1"/>
  <c r="C37" i="17"/>
  <c r="A37" i="17" s="1"/>
  <c r="C38" i="17"/>
  <c r="C39" i="17"/>
  <c r="C40" i="17"/>
  <c r="A40" i="17" s="1"/>
  <c r="C41" i="17"/>
  <c r="A41" i="17" s="1"/>
  <c r="C42" i="17"/>
  <c r="A42" i="17" s="1"/>
  <c r="C43" i="17"/>
  <c r="A43" i="17" s="1"/>
  <c r="C44" i="17"/>
  <c r="A44" i="17" s="1"/>
  <c r="C45" i="17"/>
  <c r="A45" i="17" s="1"/>
  <c r="C46" i="17"/>
  <c r="C47" i="17"/>
  <c r="C48" i="17"/>
  <c r="A48" i="17" s="1"/>
  <c r="C49" i="17"/>
  <c r="D49" i="17" s="1"/>
  <c r="C50" i="17"/>
  <c r="C51" i="17"/>
  <c r="A51" i="17" s="1"/>
  <c r="C52" i="17"/>
  <c r="B52" i="17" s="1"/>
  <c r="C53" i="17"/>
  <c r="A53" i="17" s="1"/>
  <c r="C54" i="17"/>
  <c r="B54" i="17" s="1"/>
  <c r="C55" i="17"/>
  <c r="A55" i="17" s="1"/>
  <c r="C56" i="17"/>
  <c r="A56" i="17" s="1"/>
  <c r="C57" i="17"/>
  <c r="A57" i="17" s="1"/>
  <c r="C58" i="17"/>
  <c r="D58" i="17" s="1"/>
  <c r="C59" i="17"/>
  <c r="A59" i="17" s="1"/>
  <c r="C60" i="17"/>
  <c r="A60" i="17" s="1"/>
  <c r="C61" i="17"/>
  <c r="D61" i="17" s="1"/>
  <c r="C62" i="17"/>
  <c r="A62" i="17" s="1"/>
  <c r="C63" i="17"/>
  <c r="B63" i="17" s="1"/>
  <c r="C64" i="17"/>
  <c r="A64" i="17" s="1"/>
  <c r="C65" i="17"/>
  <c r="C66" i="17"/>
  <c r="C67" i="17"/>
  <c r="A67" i="17" s="1"/>
  <c r="C68" i="17"/>
  <c r="B68" i="17" s="1"/>
  <c r="C69" i="17"/>
  <c r="A69" i="17" s="1"/>
  <c r="C70" i="17"/>
  <c r="D70" i="17" s="1"/>
  <c r="C71" i="17"/>
  <c r="C72" i="17"/>
  <c r="A72" i="17" s="1"/>
  <c r="C73" i="17"/>
  <c r="A73" i="17" s="1"/>
  <c r="C74" i="17"/>
  <c r="C75" i="17"/>
  <c r="A75" i="17" s="1"/>
  <c r="C76" i="17"/>
  <c r="C77" i="17"/>
  <c r="D77" i="17" s="1"/>
  <c r="C78" i="17"/>
  <c r="A78" i="17" s="1"/>
  <c r="C79" i="17"/>
  <c r="C80" i="17"/>
  <c r="A80" i="17" s="1"/>
  <c r="C81" i="17"/>
  <c r="A81" i="17" s="1"/>
  <c r="C82" i="17"/>
  <c r="C83" i="17"/>
  <c r="A83" i="17" s="1"/>
  <c r="C84" i="17"/>
  <c r="C85" i="17"/>
  <c r="A85" i="17" s="1"/>
  <c r="C86" i="17"/>
  <c r="B86" i="17" s="1"/>
  <c r="C87" i="17"/>
  <c r="C88" i="17"/>
  <c r="A88" i="17" s="1"/>
  <c r="C89" i="17"/>
  <c r="A89" i="17" s="1"/>
  <c r="C90" i="17"/>
  <c r="C91" i="17"/>
  <c r="D91" i="17" s="1"/>
  <c r="C92" i="17"/>
  <c r="B92" i="17" s="1"/>
  <c r="C93" i="17"/>
  <c r="A93" i="17" s="1"/>
  <c r="C94" i="17"/>
  <c r="C95" i="17"/>
  <c r="C96" i="17"/>
  <c r="C97" i="17"/>
  <c r="D97" i="17" s="1"/>
  <c r="C2" i="17"/>
  <c r="D2" i="17" s="1"/>
  <c r="D44" i="17"/>
  <c r="D43" i="17"/>
  <c r="B43" i="17"/>
  <c r="B29" i="17"/>
  <c r="D28" i="17"/>
  <c r="D13" i="17"/>
  <c r="B13" i="17"/>
  <c r="D12" i="17"/>
  <c r="B12" i="17"/>
  <c r="D11" i="17"/>
  <c r="C3" i="5"/>
  <c r="B3" i="5" s="1"/>
  <c r="C4" i="5"/>
  <c r="B4" i="5" s="1"/>
  <c r="C5" i="5"/>
  <c r="C6" i="5"/>
  <c r="C7" i="5"/>
  <c r="C8" i="5"/>
  <c r="A8" i="5" s="1"/>
  <c r="C9" i="5"/>
  <c r="A9" i="5" s="1"/>
  <c r="C10" i="5"/>
  <c r="B10" i="5" s="1"/>
  <c r="C11" i="5"/>
  <c r="A11" i="5" s="1"/>
  <c r="C12" i="5"/>
  <c r="A12" i="5" s="1"/>
  <c r="C13" i="5"/>
  <c r="A13" i="5" s="1"/>
  <c r="C14" i="5"/>
  <c r="A14" i="5" s="1"/>
  <c r="C15" i="5"/>
  <c r="A15" i="5" s="1"/>
  <c r="C16" i="5"/>
  <c r="A16" i="5" s="1"/>
  <c r="C17" i="5"/>
  <c r="A17" i="5" s="1"/>
  <c r="C18" i="5"/>
  <c r="A18" i="5" s="1"/>
  <c r="C19" i="5"/>
  <c r="A19" i="5" s="1"/>
  <c r="C20" i="5"/>
  <c r="A20" i="5" s="1"/>
  <c r="C21" i="5"/>
  <c r="A21" i="5" s="1"/>
  <c r="C22" i="5"/>
  <c r="A22" i="5" s="1"/>
  <c r="C23" i="5"/>
  <c r="A23" i="5" s="1"/>
  <c r="C24" i="5"/>
  <c r="A24" i="5" s="1"/>
  <c r="C25" i="5"/>
  <c r="A25" i="5" s="1"/>
  <c r="C26" i="5"/>
  <c r="A26" i="5" s="1"/>
  <c r="C27" i="5"/>
  <c r="A27" i="5" s="1"/>
  <c r="C28" i="5"/>
  <c r="A28" i="5" s="1"/>
  <c r="C29" i="5"/>
  <c r="A29" i="5" s="1"/>
  <c r="C30" i="5"/>
  <c r="A30" i="5" s="1"/>
  <c r="C31" i="5"/>
  <c r="A31" i="5" s="1"/>
  <c r="C32" i="5"/>
  <c r="A32" i="5" s="1"/>
  <c r="C33" i="5"/>
  <c r="A33" i="5" s="1"/>
  <c r="C34" i="5"/>
  <c r="A34" i="5" s="1"/>
  <c r="C35" i="5"/>
  <c r="A35" i="5" s="1"/>
  <c r="C36" i="5"/>
  <c r="A36" i="5" s="1"/>
  <c r="C37" i="5"/>
  <c r="A37" i="5" s="1"/>
  <c r="C38" i="5"/>
  <c r="A38" i="5" s="1"/>
  <c r="C39" i="5"/>
  <c r="A39" i="5" s="1"/>
  <c r="C40" i="5"/>
  <c r="A40" i="5" s="1"/>
  <c r="C41" i="5"/>
  <c r="A41" i="5" s="1"/>
  <c r="C42" i="5"/>
  <c r="A42" i="5" s="1"/>
  <c r="C43" i="5"/>
  <c r="A43" i="5" s="1"/>
  <c r="C44" i="5"/>
  <c r="A44" i="5" s="1"/>
  <c r="C45" i="5"/>
  <c r="A45" i="5" s="1"/>
  <c r="C46" i="5"/>
  <c r="A46" i="5" s="1"/>
  <c r="C47" i="5"/>
  <c r="A47" i="5" s="1"/>
  <c r="C48" i="5"/>
  <c r="A48" i="5" s="1"/>
  <c r="C49" i="5"/>
  <c r="A49" i="5" s="1"/>
  <c r="C50" i="5"/>
  <c r="A50" i="5" s="1"/>
  <c r="C51" i="5"/>
  <c r="A51" i="5" s="1"/>
  <c r="C52" i="5"/>
  <c r="A52" i="5" s="1"/>
  <c r="C53" i="5"/>
  <c r="A53" i="5" s="1"/>
  <c r="C54" i="5"/>
  <c r="A54" i="5" s="1"/>
  <c r="C55" i="5"/>
  <c r="A55" i="5" s="1"/>
  <c r="C56" i="5"/>
  <c r="A56" i="5" s="1"/>
  <c r="C57" i="5"/>
  <c r="A57" i="5" s="1"/>
  <c r="C58" i="5"/>
  <c r="A58" i="5" s="1"/>
  <c r="C59" i="5"/>
  <c r="A59" i="5" s="1"/>
  <c r="C60" i="5"/>
  <c r="A60" i="5" s="1"/>
  <c r="C61" i="5"/>
  <c r="A61" i="5" s="1"/>
  <c r="C62" i="5"/>
  <c r="A62" i="5" s="1"/>
  <c r="C63" i="5"/>
  <c r="A63" i="5" s="1"/>
  <c r="C64" i="5"/>
  <c r="A64" i="5" s="1"/>
  <c r="C65" i="5"/>
  <c r="A65" i="5" s="1"/>
  <c r="C66" i="5"/>
  <c r="A66" i="5" s="1"/>
  <c r="C67" i="5"/>
  <c r="A67" i="5" s="1"/>
  <c r="C68" i="5"/>
  <c r="A68" i="5" s="1"/>
  <c r="C69" i="5"/>
  <c r="A69" i="5" s="1"/>
  <c r="C70" i="5"/>
  <c r="A70" i="5" s="1"/>
  <c r="C71" i="5"/>
  <c r="A71" i="5" s="1"/>
  <c r="C72" i="5"/>
  <c r="A72" i="5" s="1"/>
  <c r="C73" i="5"/>
  <c r="A73" i="5" s="1"/>
  <c r="C74" i="5"/>
  <c r="A74" i="5" s="1"/>
  <c r="C75" i="5"/>
  <c r="A75" i="5" s="1"/>
  <c r="C76" i="5"/>
  <c r="A76" i="5" s="1"/>
  <c r="C77" i="5"/>
  <c r="A77" i="5" s="1"/>
  <c r="C78" i="5"/>
  <c r="A78" i="5" s="1"/>
  <c r="C79" i="5"/>
  <c r="A79" i="5" s="1"/>
  <c r="C80" i="5"/>
  <c r="A80" i="5" s="1"/>
  <c r="C81" i="5"/>
  <c r="A81" i="5" s="1"/>
  <c r="C82" i="5"/>
  <c r="A82" i="5" s="1"/>
  <c r="C83" i="5"/>
  <c r="A83" i="5" s="1"/>
  <c r="C84" i="5"/>
  <c r="A84" i="5" s="1"/>
  <c r="C85" i="5"/>
  <c r="A85" i="5" s="1"/>
  <c r="C86" i="5"/>
  <c r="A86" i="5" s="1"/>
  <c r="C87" i="5"/>
  <c r="A87" i="5" s="1"/>
  <c r="C88" i="5"/>
  <c r="A88" i="5" s="1"/>
  <c r="C89" i="5"/>
  <c r="A89" i="5" s="1"/>
  <c r="C90" i="5"/>
  <c r="A90" i="5" s="1"/>
  <c r="C91" i="5"/>
  <c r="A91" i="5" s="1"/>
  <c r="C92" i="5"/>
  <c r="A92" i="5" s="1"/>
  <c r="C93" i="5"/>
  <c r="A93" i="5" s="1"/>
  <c r="C94" i="5"/>
  <c r="A94" i="5" s="1"/>
  <c r="C95" i="5"/>
  <c r="A95" i="5" s="1"/>
  <c r="C96" i="5"/>
  <c r="A96" i="5" s="1"/>
  <c r="C97" i="5"/>
  <c r="A97" i="5" s="1"/>
  <c r="C2" i="5"/>
  <c r="A91" i="4"/>
  <c r="A92" i="4"/>
  <c r="A93" i="4"/>
  <c r="A94" i="4"/>
  <c r="A95" i="4"/>
  <c r="A96" i="4"/>
  <c r="A97" i="4"/>
  <c r="A90" i="4"/>
  <c r="A83" i="4"/>
  <c r="A84" i="4"/>
  <c r="A85" i="4"/>
  <c r="A86" i="4"/>
  <c r="A87" i="4"/>
  <c r="A88" i="4"/>
  <c r="A89" i="4"/>
  <c r="A82" i="4"/>
  <c r="A75" i="4"/>
  <c r="A76" i="4"/>
  <c r="A77" i="4"/>
  <c r="A78" i="4"/>
  <c r="A79" i="4"/>
  <c r="A80" i="4"/>
  <c r="A81" i="4"/>
  <c r="A74" i="4"/>
  <c r="A67" i="4"/>
  <c r="A68" i="4"/>
  <c r="A69" i="4"/>
  <c r="A70" i="4"/>
  <c r="A71" i="4"/>
  <c r="A72" i="4"/>
  <c r="A73" i="4"/>
  <c r="A66" i="4"/>
  <c r="A59" i="4"/>
  <c r="A60" i="4"/>
  <c r="A61" i="4"/>
  <c r="A62" i="4"/>
  <c r="A63" i="4"/>
  <c r="A64" i="4"/>
  <c r="A65" i="4"/>
  <c r="E91" i="4"/>
  <c r="G91" i="4" s="1"/>
  <c r="E92" i="4"/>
  <c r="G92" i="4" s="1"/>
  <c r="E93" i="4"/>
  <c r="G93" i="4" s="1"/>
  <c r="E94" i="4"/>
  <c r="G94" i="4" s="1"/>
  <c r="E95" i="4"/>
  <c r="G95" i="4" s="1"/>
  <c r="E96" i="4"/>
  <c r="G96" i="4" s="1"/>
  <c r="E97" i="4"/>
  <c r="G97" i="4" s="1"/>
  <c r="E90" i="4"/>
  <c r="G90" i="4" s="1"/>
  <c r="E83" i="4"/>
  <c r="G83" i="4" s="1"/>
  <c r="E84" i="4"/>
  <c r="G84" i="4" s="1"/>
  <c r="E85" i="4"/>
  <c r="G85" i="4" s="1"/>
  <c r="E86" i="4"/>
  <c r="G86" i="4" s="1"/>
  <c r="E87" i="4"/>
  <c r="G87" i="4" s="1"/>
  <c r="E88" i="4"/>
  <c r="G88" i="4" s="1"/>
  <c r="E89" i="4"/>
  <c r="G89" i="4" s="1"/>
  <c r="E82" i="4"/>
  <c r="G82" i="4" s="1"/>
  <c r="E75" i="4"/>
  <c r="G75" i="4" s="1"/>
  <c r="E76" i="4"/>
  <c r="G76" i="4" s="1"/>
  <c r="E77" i="4"/>
  <c r="G77" i="4" s="1"/>
  <c r="E78" i="4"/>
  <c r="G78" i="4" s="1"/>
  <c r="E79" i="4"/>
  <c r="G79" i="4" s="1"/>
  <c r="E80" i="4"/>
  <c r="G80" i="4" s="1"/>
  <c r="E81" i="4"/>
  <c r="G81" i="4" s="1"/>
  <c r="E74" i="4"/>
  <c r="G74" i="4" s="1"/>
  <c r="E67" i="4"/>
  <c r="G67" i="4" s="1"/>
  <c r="E68" i="4"/>
  <c r="G68" i="4" s="1"/>
  <c r="E69" i="4"/>
  <c r="G69" i="4" s="1"/>
  <c r="E70" i="4"/>
  <c r="G70" i="4" s="1"/>
  <c r="E71" i="4"/>
  <c r="G71" i="4" s="1"/>
  <c r="E72" i="4"/>
  <c r="E73" i="4"/>
  <c r="E66" i="4"/>
  <c r="G66" i="4" s="1"/>
  <c r="C3" i="8"/>
  <c r="D3" i="8" s="1"/>
  <c r="C4" i="8"/>
  <c r="D4" i="8" s="1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D39" i="8" s="1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8" i="8"/>
  <c r="D48" i="8" s="1"/>
  <c r="C49" i="8"/>
  <c r="D49" i="8" s="1"/>
  <c r="C50" i="8"/>
  <c r="D50" i="8" s="1"/>
  <c r="C51" i="8"/>
  <c r="D51" i="8" s="1"/>
  <c r="C52" i="8"/>
  <c r="D52" i="8" s="1"/>
  <c r="C53" i="8"/>
  <c r="D53" i="8" s="1"/>
  <c r="C54" i="8"/>
  <c r="D54" i="8" s="1"/>
  <c r="C55" i="8"/>
  <c r="D55" i="8" s="1"/>
  <c r="C56" i="8"/>
  <c r="D56" i="8" s="1"/>
  <c r="C57" i="8"/>
  <c r="D57" i="8" s="1"/>
  <c r="C58" i="8"/>
  <c r="D58" i="8" s="1"/>
  <c r="C59" i="8"/>
  <c r="D59" i="8" s="1"/>
  <c r="C60" i="8"/>
  <c r="D60" i="8" s="1"/>
  <c r="C61" i="8"/>
  <c r="D61" i="8" s="1"/>
  <c r="C62" i="8"/>
  <c r="D62" i="8" s="1"/>
  <c r="C63" i="8"/>
  <c r="D63" i="8" s="1"/>
  <c r="C64" i="8"/>
  <c r="D64" i="8" s="1"/>
  <c r="C65" i="8"/>
  <c r="D65" i="8" s="1"/>
  <c r="C66" i="8"/>
  <c r="D66" i="8" s="1"/>
  <c r="C67" i="8"/>
  <c r="D67" i="8" s="1"/>
  <c r="C68" i="8"/>
  <c r="D68" i="8" s="1"/>
  <c r="C69" i="8"/>
  <c r="D69" i="8" s="1"/>
  <c r="C70" i="8"/>
  <c r="D70" i="8" s="1"/>
  <c r="C71" i="8"/>
  <c r="D71" i="8" s="1"/>
  <c r="C72" i="8"/>
  <c r="D72" i="8" s="1"/>
  <c r="C73" i="8"/>
  <c r="D73" i="8" s="1"/>
  <c r="C74" i="8"/>
  <c r="D74" i="8" s="1"/>
  <c r="C75" i="8"/>
  <c r="D75" i="8" s="1"/>
  <c r="C76" i="8"/>
  <c r="D76" i="8" s="1"/>
  <c r="C77" i="8"/>
  <c r="D77" i="8" s="1"/>
  <c r="C78" i="8"/>
  <c r="D78" i="8" s="1"/>
  <c r="C79" i="8"/>
  <c r="D79" i="8" s="1"/>
  <c r="C80" i="8"/>
  <c r="D80" i="8" s="1"/>
  <c r="C81" i="8"/>
  <c r="D81" i="8" s="1"/>
  <c r="C82" i="8"/>
  <c r="D82" i="8" s="1"/>
  <c r="C83" i="8"/>
  <c r="D83" i="8" s="1"/>
  <c r="C84" i="8"/>
  <c r="D84" i="8" s="1"/>
  <c r="C85" i="8"/>
  <c r="D85" i="8" s="1"/>
  <c r="C86" i="8"/>
  <c r="D86" i="8" s="1"/>
  <c r="C87" i="8"/>
  <c r="D87" i="8" s="1"/>
  <c r="C88" i="8"/>
  <c r="D88" i="8" s="1"/>
  <c r="C89" i="8"/>
  <c r="D89" i="8" s="1"/>
  <c r="C90" i="8"/>
  <c r="D90" i="8" s="1"/>
  <c r="C91" i="8"/>
  <c r="D91" i="8" s="1"/>
  <c r="C92" i="8"/>
  <c r="D92" i="8" s="1"/>
  <c r="C93" i="8"/>
  <c r="D93" i="8" s="1"/>
  <c r="C94" i="8"/>
  <c r="D94" i="8" s="1"/>
  <c r="C95" i="8"/>
  <c r="D95" i="8" s="1"/>
  <c r="C96" i="8"/>
  <c r="D96" i="8" s="1"/>
  <c r="C97" i="8"/>
  <c r="D97" i="8" s="1"/>
  <c r="C2" i="8"/>
  <c r="D2" i="8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0" i="4"/>
  <c r="G10" i="4" s="1"/>
  <c r="E3" i="4"/>
  <c r="G3" i="4" s="1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2" i="4"/>
  <c r="E59" i="4"/>
  <c r="G59" i="4" s="1"/>
  <c r="E60" i="4"/>
  <c r="G60" i="4" s="1"/>
  <c r="E61" i="4"/>
  <c r="G61" i="4" s="1"/>
  <c r="E62" i="4"/>
  <c r="G62" i="4" s="1"/>
  <c r="E63" i="4"/>
  <c r="G63" i="4" s="1"/>
  <c r="E64" i="4"/>
  <c r="G72" i="4" s="1"/>
  <c r="E65" i="4"/>
  <c r="G65" i="4" s="1"/>
  <c r="E58" i="4"/>
  <c r="G58" i="4" s="1"/>
  <c r="E51" i="4"/>
  <c r="G51" i="4" s="1"/>
  <c r="E52" i="4"/>
  <c r="G52" i="4" s="1"/>
  <c r="E53" i="4"/>
  <c r="G53" i="4" s="1"/>
  <c r="E54" i="4"/>
  <c r="G54" i="4" s="1"/>
  <c r="E55" i="4"/>
  <c r="G55" i="4" s="1"/>
  <c r="E56" i="4"/>
  <c r="G56" i="4" s="1"/>
  <c r="E57" i="4"/>
  <c r="G57" i="4" s="1"/>
  <c r="E50" i="4"/>
  <c r="G50" i="4" s="1"/>
  <c r="E43" i="4"/>
  <c r="G43" i="4" s="1"/>
  <c r="E44" i="4"/>
  <c r="G44" i="4" s="1"/>
  <c r="E45" i="4"/>
  <c r="G45" i="4" s="1"/>
  <c r="E46" i="4"/>
  <c r="G46" i="4" s="1"/>
  <c r="E47" i="4"/>
  <c r="G47" i="4" s="1"/>
  <c r="E48" i="4"/>
  <c r="G48" i="4" s="1"/>
  <c r="E49" i="4"/>
  <c r="G49" i="4" s="1"/>
  <c r="E42" i="4"/>
  <c r="G42" i="4" s="1"/>
  <c r="E35" i="4"/>
  <c r="G35" i="4" s="1"/>
  <c r="E36" i="4"/>
  <c r="G36" i="4" s="1"/>
  <c r="E37" i="4"/>
  <c r="G37" i="4" s="1"/>
  <c r="E38" i="4"/>
  <c r="G38" i="4" s="1"/>
  <c r="E39" i="4"/>
  <c r="G39" i="4" s="1"/>
  <c r="E40" i="4"/>
  <c r="G40" i="4" s="1"/>
  <c r="E41" i="4"/>
  <c r="G41" i="4" s="1"/>
  <c r="E34" i="4"/>
  <c r="G34" i="4" s="1"/>
  <c r="E27" i="4"/>
  <c r="G27" i="4" s="1"/>
  <c r="E28" i="4"/>
  <c r="G28" i="4" s="1"/>
  <c r="E29" i="4"/>
  <c r="G29" i="4" s="1"/>
  <c r="E30" i="4"/>
  <c r="G30" i="4" s="1"/>
  <c r="E31" i="4"/>
  <c r="G31" i="4" s="1"/>
  <c r="E32" i="4"/>
  <c r="G32" i="4" s="1"/>
  <c r="E33" i="4"/>
  <c r="G33" i="4" s="1"/>
  <c r="E26" i="4"/>
  <c r="G26" i="4" s="1"/>
  <c r="E19" i="4"/>
  <c r="G19" i="4" s="1"/>
  <c r="E20" i="4"/>
  <c r="G20" i="4" s="1"/>
  <c r="E21" i="4"/>
  <c r="G21" i="4" s="1"/>
  <c r="E22" i="4"/>
  <c r="G22" i="4" s="1"/>
  <c r="E23" i="4"/>
  <c r="G23" i="4" s="1"/>
  <c r="E24" i="4"/>
  <c r="G24" i="4" s="1"/>
  <c r="E25" i="4"/>
  <c r="G25" i="4" s="1"/>
  <c r="E18" i="4"/>
  <c r="G18" i="4" s="1"/>
  <c r="D29" i="17" l="1"/>
  <c r="B45" i="17"/>
  <c r="A91" i="18"/>
  <c r="D45" i="17"/>
  <c r="D75" i="17"/>
  <c r="D93" i="17"/>
  <c r="B4" i="18"/>
  <c r="D14" i="17"/>
  <c r="B51" i="18"/>
  <c r="B35" i="18"/>
  <c r="B19" i="18"/>
  <c r="B38" i="18"/>
  <c r="B11" i="17"/>
  <c r="B44" i="17"/>
  <c r="B59" i="17"/>
  <c r="B60" i="17"/>
  <c r="D60" i="17"/>
  <c r="D32" i="17"/>
  <c r="B27" i="17"/>
  <c r="D27" i="17"/>
  <c r="B28" i="17"/>
  <c r="D16" i="17"/>
  <c r="D51" i="17"/>
  <c r="B21" i="17"/>
  <c r="D21" i="17"/>
  <c r="B53" i="17"/>
  <c r="D59" i="17"/>
  <c r="B37" i="17"/>
  <c r="D64" i="17"/>
  <c r="B75" i="17"/>
  <c r="D83" i="17"/>
  <c r="B51" i="17"/>
  <c r="D35" i="17"/>
  <c r="B19" i="17"/>
  <c r="D19" i="17"/>
  <c r="B67" i="17"/>
  <c r="D48" i="17"/>
  <c r="D62" i="17"/>
  <c r="D67" i="17"/>
  <c r="B69" i="17"/>
  <c r="D53" i="17"/>
  <c r="D78" i="17"/>
  <c r="B35" i="17"/>
  <c r="B81" i="17"/>
  <c r="B59" i="5"/>
  <c r="B23" i="5"/>
  <c r="A92" i="18"/>
  <c r="B78" i="18"/>
  <c r="A63" i="18"/>
  <c r="A43" i="18"/>
  <c r="B30" i="18"/>
  <c r="B11" i="18"/>
  <c r="B12" i="18"/>
  <c r="B92" i="18"/>
  <c r="A59" i="18"/>
  <c r="B59" i="18"/>
  <c r="B47" i="18"/>
  <c r="B56" i="5"/>
  <c r="D37" i="17"/>
  <c r="D85" i="17"/>
  <c r="B42" i="17"/>
  <c r="D42" i="17"/>
  <c r="D10" i="17"/>
  <c r="B55" i="5"/>
  <c r="B43" i="5"/>
  <c r="B85" i="17"/>
  <c r="B40" i="5"/>
  <c r="B39" i="5"/>
  <c r="B34" i="5"/>
  <c r="B27" i="5"/>
  <c r="B24" i="5"/>
  <c r="D69" i="17"/>
  <c r="B91" i="5"/>
  <c r="B18" i="5"/>
  <c r="D80" i="17"/>
  <c r="B88" i="5"/>
  <c r="B11" i="5"/>
  <c r="B87" i="5"/>
  <c r="B75" i="5"/>
  <c r="D55" i="17"/>
  <c r="D81" i="17"/>
  <c r="B72" i="5"/>
  <c r="B71" i="5"/>
  <c r="B86" i="5"/>
  <c r="B70" i="5"/>
  <c r="B54" i="5"/>
  <c r="B38" i="5"/>
  <c r="B22" i="5"/>
  <c r="D87" i="17"/>
  <c r="A87" i="17"/>
  <c r="D71" i="17"/>
  <c r="A71" i="17"/>
  <c r="D39" i="17"/>
  <c r="A39" i="17"/>
  <c r="D23" i="17"/>
  <c r="A23" i="17"/>
  <c r="B85" i="5"/>
  <c r="B69" i="5"/>
  <c r="B53" i="5"/>
  <c r="B37" i="5"/>
  <c r="B21" i="5"/>
  <c r="B40" i="17"/>
  <c r="D86" i="17"/>
  <c r="A86" i="17"/>
  <c r="B70" i="17"/>
  <c r="A70" i="17"/>
  <c r="D54" i="17"/>
  <c r="A54" i="17"/>
  <c r="D38" i="17"/>
  <c r="A38" i="17"/>
  <c r="D22" i="17"/>
  <c r="A22" i="17"/>
  <c r="B84" i="5"/>
  <c r="B68" i="5"/>
  <c r="B52" i="5"/>
  <c r="B36" i="5"/>
  <c r="B20" i="5"/>
  <c r="B24" i="17"/>
  <c r="B83" i="5"/>
  <c r="B67" i="5"/>
  <c r="B51" i="5"/>
  <c r="B35" i="5"/>
  <c r="B19" i="5"/>
  <c r="D41" i="17"/>
  <c r="D84" i="17"/>
  <c r="A84" i="17"/>
  <c r="D68" i="17"/>
  <c r="A68" i="17"/>
  <c r="D52" i="17"/>
  <c r="A52" i="17"/>
  <c r="B36" i="17"/>
  <c r="A36" i="17"/>
  <c r="D20" i="17"/>
  <c r="A20" i="17"/>
  <c r="B82" i="5"/>
  <c r="B66" i="5"/>
  <c r="B50" i="5"/>
  <c r="D25" i="17"/>
  <c r="B56" i="17"/>
  <c r="B88" i="17"/>
  <c r="B97" i="5"/>
  <c r="B81" i="5"/>
  <c r="B65" i="5"/>
  <c r="B49" i="5"/>
  <c r="B33" i="5"/>
  <c r="B17" i="5"/>
  <c r="B72" i="17"/>
  <c r="D82" i="17"/>
  <c r="A82" i="17"/>
  <c r="D66" i="17"/>
  <c r="A66" i="17"/>
  <c r="D50" i="17"/>
  <c r="A50" i="17"/>
  <c r="D34" i="17"/>
  <c r="A34" i="17"/>
  <c r="D18" i="17"/>
  <c r="A18" i="17"/>
  <c r="B96" i="5"/>
  <c r="B80" i="5"/>
  <c r="B64" i="5"/>
  <c r="B48" i="5"/>
  <c r="B32" i="5"/>
  <c r="B16" i="5"/>
  <c r="D57" i="17"/>
  <c r="D89" i="17"/>
  <c r="B97" i="17"/>
  <c r="A97" i="17"/>
  <c r="D65" i="17"/>
  <c r="A65" i="17"/>
  <c r="B49" i="17"/>
  <c r="A49" i="17"/>
  <c r="D33" i="17"/>
  <c r="A33" i="17"/>
  <c r="D17" i="17"/>
  <c r="A17" i="17"/>
  <c r="B95" i="5"/>
  <c r="B79" i="5"/>
  <c r="B63" i="5"/>
  <c r="B47" i="5"/>
  <c r="B31" i="5"/>
  <c r="B15" i="5"/>
  <c r="D73" i="17"/>
  <c r="D96" i="17"/>
  <c r="A96" i="17"/>
  <c r="B94" i="5"/>
  <c r="B78" i="5"/>
  <c r="B62" i="5"/>
  <c r="B46" i="5"/>
  <c r="B30" i="5"/>
  <c r="B14" i="5"/>
  <c r="D95" i="17"/>
  <c r="A95" i="17"/>
  <c r="D79" i="17"/>
  <c r="A79" i="17"/>
  <c r="D63" i="17"/>
  <c r="A63" i="17"/>
  <c r="D47" i="17"/>
  <c r="A47" i="17"/>
  <c r="B31" i="17"/>
  <c r="A31" i="17"/>
  <c r="D15" i="17"/>
  <c r="A15" i="17"/>
  <c r="B93" i="5"/>
  <c r="B77" i="5"/>
  <c r="B61" i="5"/>
  <c r="B45" i="5"/>
  <c r="B29" i="5"/>
  <c r="B13" i="5"/>
  <c r="D94" i="17"/>
  <c r="A94" i="17"/>
  <c r="D46" i="17"/>
  <c r="A46" i="17"/>
  <c r="D30" i="17"/>
  <c r="A30" i="17"/>
  <c r="B92" i="5"/>
  <c r="B76" i="5"/>
  <c r="B60" i="5"/>
  <c r="B44" i="5"/>
  <c r="B28" i="5"/>
  <c r="B12" i="5"/>
  <c r="B83" i="17"/>
  <c r="B77" i="17"/>
  <c r="A77" i="17"/>
  <c r="B61" i="17"/>
  <c r="A61" i="17"/>
  <c r="D92" i="17"/>
  <c r="A92" i="17"/>
  <c r="D76" i="17"/>
  <c r="A76" i="17"/>
  <c r="B90" i="5"/>
  <c r="B74" i="5"/>
  <c r="B58" i="5"/>
  <c r="B42" i="5"/>
  <c r="B26" i="5"/>
  <c r="B91" i="17"/>
  <c r="A91" i="17"/>
  <c r="B89" i="5"/>
  <c r="B73" i="5"/>
  <c r="B57" i="5"/>
  <c r="B41" i="5"/>
  <c r="B25" i="5"/>
  <c r="B76" i="17"/>
  <c r="B93" i="17"/>
  <c r="D90" i="17"/>
  <c r="A90" i="17"/>
  <c r="D74" i="17"/>
  <c r="A74" i="17"/>
  <c r="B58" i="17"/>
  <c r="A58" i="17"/>
  <c r="D26" i="17"/>
  <c r="A26" i="17"/>
  <c r="B28" i="18"/>
  <c r="D4" i="17"/>
  <c r="B4" i="17"/>
  <c r="B9" i="5"/>
  <c r="B8" i="5"/>
  <c r="D3" i="17"/>
  <c r="B9" i="17"/>
  <c r="A9" i="17"/>
  <c r="B8" i="17"/>
  <c r="A8" i="17"/>
  <c r="B94" i="18"/>
  <c r="A75" i="18"/>
  <c r="B75" i="18"/>
  <c r="A76" i="18"/>
  <c r="B76" i="18"/>
  <c r="A67" i="18"/>
  <c r="D68" i="18"/>
  <c r="A60" i="18"/>
  <c r="B60" i="18"/>
  <c r="A42" i="18"/>
  <c r="B43" i="18"/>
  <c r="A44" i="18"/>
  <c r="B44" i="18"/>
  <c r="B27" i="18"/>
  <c r="B14" i="18"/>
  <c r="B23" i="18"/>
  <c r="D20" i="18"/>
  <c r="B87" i="18"/>
  <c r="D56" i="18"/>
  <c r="B56" i="18"/>
  <c r="D54" i="18"/>
  <c r="D52" i="18"/>
  <c r="D8" i="18"/>
  <c r="D88" i="18"/>
  <c r="D46" i="18"/>
  <c r="D86" i="18"/>
  <c r="B39" i="18"/>
  <c r="B91" i="18"/>
  <c r="D84" i="18"/>
  <c r="D40" i="18"/>
  <c r="A40" i="18"/>
  <c r="A72" i="18"/>
  <c r="D24" i="18"/>
  <c r="B72" i="18"/>
  <c r="G73" i="4"/>
  <c r="G64" i="4"/>
  <c r="G2" i="4"/>
  <c r="A2" i="5"/>
  <c r="A2" i="17"/>
  <c r="A3" i="17"/>
  <c r="A5" i="17"/>
  <c r="A4" i="17"/>
  <c r="A4" i="5"/>
  <c r="A6" i="17"/>
  <c r="A7" i="17"/>
  <c r="A5" i="5"/>
  <c r="A10" i="5"/>
  <c r="A10" i="17"/>
  <c r="A3" i="5"/>
  <c r="A7" i="5"/>
  <c r="A6" i="5"/>
  <c r="B29" i="18"/>
  <c r="A45" i="18"/>
  <c r="A53" i="18"/>
  <c r="B77" i="18"/>
  <c r="D71" i="18"/>
  <c r="D39" i="18"/>
  <c r="B71" i="18"/>
  <c r="A96" i="18"/>
  <c r="D69" i="18"/>
  <c r="D37" i="18"/>
  <c r="D21" i="18"/>
  <c r="D5" i="18"/>
  <c r="A47" i="18"/>
  <c r="B79" i="18"/>
  <c r="D83" i="18"/>
  <c r="D67" i="18"/>
  <c r="D51" i="18"/>
  <c r="B2" i="18"/>
  <c r="A64" i="18"/>
  <c r="D82" i="18"/>
  <c r="D66" i="18"/>
  <c r="D50" i="18"/>
  <c r="D34" i="18"/>
  <c r="D18" i="18"/>
  <c r="B13" i="18"/>
  <c r="D95" i="18"/>
  <c r="D79" i="18"/>
  <c r="D63" i="18"/>
  <c r="D15" i="18"/>
  <c r="D93" i="18"/>
  <c r="D77" i="18"/>
  <c r="D61" i="18"/>
  <c r="D45" i="18"/>
  <c r="A68" i="18"/>
  <c r="A93" i="18"/>
  <c r="B37" i="18"/>
  <c r="A52" i="18"/>
  <c r="B84" i="18"/>
  <c r="B61" i="18"/>
  <c r="B69" i="18"/>
  <c r="D7" i="17"/>
  <c r="D5" i="17"/>
  <c r="B7" i="5"/>
  <c r="B6" i="5"/>
  <c r="B5" i="5"/>
  <c r="A88" i="18"/>
  <c r="A55" i="18"/>
  <c r="B36" i="18"/>
  <c r="B55" i="18"/>
  <c r="B70" i="18"/>
  <c r="A85" i="18"/>
  <c r="B7" i="18"/>
  <c r="B31" i="18"/>
  <c r="A80" i="18"/>
  <c r="B85" i="18"/>
  <c r="B22" i="18"/>
  <c r="B95" i="18"/>
  <c r="A87" i="18"/>
  <c r="A48" i="18"/>
  <c r="B53" i="18"/>
  <c r="A41" i="18"/>
  <c r="A57" i="18"/>
  <c r="A73" i="18"/>
  <c r="A89" i="18"/>
  <c r="B9" i="18"/>
  <c r="B25" i="18"/>
  <c r="A38" i="18"/>
  <c r="B41" i="18"/>
  <c r="A54" i="18"/>
  <c r="B57" i="18"/>
  <c r="A70" i="18"/>
  <c r="B73" i="18"/>
  <c r="A86" i="18"/>
  <c r="B89" i="18"/>
  <c r="B16" i="18"/>
  <c r="B32" i="18"/>
  <c r="B48" i="18"/>
  <c r="B64" i="18"/>
  <c r="B80" i="18"/>
  <c r="B96" i="18"/>
  <c r="A58" i="18"/>
  <c r="A74" i="18"/>
  <c r="A90" i="18"/>
  <c r="B10" i="18"/>
  <c r="B26" i="18"/>
  <c r="B42" i="18"/>
  <c r="B58" i="18"/>
  <c r="B74" i="18"/>
  <c r="B90" i="18"/>
  <c r="A49" i="18"/>
  <c r="A65" i="18"/>
  <c r="A81" i="18"/>
  <c r="A97" i="18"/>
  <c r="B17" i="18"/>
  <c r="B33" i="18"/>
  <c r="A46" i="18"/>
  <c r="B49" i="18"/>
  <c r="A62" i="18"/>
  <c r="B65" i="18"/>
  <c r="A78" i="18"/>
  <c r="B81" i="18"/>
  <c r="A94" i="18"/>
  <c r="B97" i="18"/>
  <c r="A50" i="18"/>
  <c r="A66" i="18"/>
  <c r="A82" i="18"/>
  <c r="B47" i="17"/>
  <c r="B74" i="17"/>
  <c r="B22" i="17"/>
  <c r="B33" i="17"/>
  <c r="B79" i="17"/>
  <c r="B84" i="17"/>
  <c r="B38" i="17"/>
  <c r="B90" i="17"/>
  <c r="B95" i="17"/>
  <c r="B65" i="17"/>
  <c r="B15" i="17"/>
  <c r="B2" i="17"/>
  <c r="D8" i="17"/>
  <c r="B18" i="17"/>
  <c r="D24" i="17"/>
  <c r="B34" i="17"/>
  <c r="D40" i="17"/>
  <c r="B50" i="17"/>
  <c r="D56" i="17"/>
  <c r="B66" i="17"/>
  <c r="D72" i="17"/>
  <c r="B82" i="17"/>
  <c r="D88" i="17"/>
  <c r="B25" i="17"/>
  <c r="B41" i="17"/>
  <c r="B57" i="17"/>
  <c r="B73" i="17"/>
  <c r="B89" i="17"/>
  <c r="B16" i="17"/>
  <c r="B32" i="17"/>
  <c r="B48" i="17"/>
  <c r="B64" i="17"/>
  <c r="B80" i="17"/>
  <c r="B96" i="17"/>
  <c r="B26" i="17"/>
  <c r="B23" i="17"/>
  <c r="B39" i="17"/>
  <c r="B55" i="17"/>
  <c r="B71" i="17"/>
  <c r="B87" i="17"/>
  <c r="B14" i="17"/>
  <c r="B30" i="17"/>
  <c r="B46" i="17"/>
  <c r="B62" i="17"/>
  <c r="B78" i="17"/>
  <c r="B94" i="17"/>
  <c r="B2" i="5"/>
  <c r="B26" i="8"/>
  <c r="B30" i="8"/>
  <c r="B34" i="8"/>
  <c r="A37" i="8"/>
  <c r="A39" i="8"/>
  <c r="A40" i="8"/>
  <c r="A41" i="8"/>
  <c r="B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B62" i="8"/>
  <c r="A63" i="8"/>
  <c r="A64" i="8"/>
  <c r="A65" i="8"/>
  <c r="A66" i="8"/>
  <c r="A67" i="8"/>
  <c r="A68" i="8"/>
  <c r="A69" i="8"/>
  <c r="A71" i="8"/>
  <c r="A72" i="8"/>
  <c r="A73" i="8"/>
  <c r="A74" i="8"/>
  <c r="A75" i="8"/>
  <c r="A76" i="8"/>
  <c r="A77" i="8"/>
  <c r="A78" i="8"/>
  <c r="A79" i="8"/>
  <c r="A80" i="8"/>
  <c r="A81" i="8"/>
  <c r="B82" i="8"/>
  <c r="A83" i="8"/>
  <c r="A84" i="8"/>
  <c r="A85" i="8"/>
  <c r="A87" i="8"/>
  <c r="A88" i="8"/>
  <c r="A89" i="8"/>
  <c r="A90" i="8"/>
  <c r="A91" i="8"/>
  <c r="A92" i="8"/>
  <c r="A93" i="8"/>
  <c r="A94" i="8"/>
  <c r="A95" i="8"/>
  <c r="A96" i="8"/>
  <c r="A97" i="8"/>
  <c r="B98" i="18" l="1"/>
  <c r="A42" i="8"/>
  <c r="B58" i="8"/>
  <c r="A82" i="8"/>
  <c r="B70" i="8"/>
  <c r="B90" i="8"/>
  <c r="B86" i="8"/>
  <c r="B46" i="8"/>
  <c r="A86" i="8"/>
  <c r="A62" i="8"/>
  <c r="B54" i="8"/>
  <c r="B14" i="8"/>
  <c r="B74" i="8"/>
  <c r="A70" i="8"/>
  <c r="B66" i="8"/>
  <c r="B10" i="8"/>
  <c r="B50" i="8"/>
  <c r="B78" i="8"/>
  <c r="B38" i="8"/>
  <c r="A38" i="8"/>
  <c r="B22" i="8"/>
  <c r="B6" i="8"/>
  <c r="B18" i="8"/>
  <c r="B94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3" i="8"/>
  <c r="E89" i="8"/>
  <c r="E90" i="8"/>
  <c r="E91" i="8"/>
  <c r="E92" i="8"/>
  <c r="E93" i="8"/>
  <c r="E94" i="8"/>
  <c r="E95" i="8"/>
  <c r="E96" i="8"/>
  <c r="E97" i="8"/>
  <c r="A22" i="4" l="1"/>
  <c r="A23" i="4"/>
  <c r="C23" i="4" s="1"/>
  <c r="A24" i="4"/>
  <c r="C24" i="4" s="1"/>
  <c r="A98" i="8" l="1"/>
  <c r="D57" i="5" l="1"/>
  <c r="D88" i="5"/>
  <c r="D87" i="5"/>
  <c r="D71" i="5"/>
  <c r="D55" i="5"/>
  <c r="D85" i="5"/>
  <c r="D54" i="5"/>
  <c r="D53" i="5"/>
  <c r="D84" i="5"/>
  <c r="D68" i="5"/>
  <c r="D52" i="5"/>
  <c r="D83" i="5"/>
  <c r="D67" i="5"/>
  <c r="D51" i="5"/>
  <c r="D89" i="5"/>
  <c r="D72" i="5"/>
  <c r="D86" i="5"/>
  <c r="D82" i="5"/>
  <c r="D66" i="5"/>
  <c r="D50" i="5"/>
  <c r="D70" i="5"/>
  <c r="D81" i="5"/>
  <c r="D65" i="5"/>
  <c r="D49" i="5"/>
  <c r="D80" i="5"/>
  <c r="D64" i="5"/>
  <c r="D48" i="5"/>
  <c r="D69" i="5"/>
  <c r="D79" i="5"/>
  <c r="D63" i="5"/>
  <c r="D47" i="5"/>
  <c r="D46" i="5"/>
  <c r="D45" i="5"/>
  <c r="D73" i="5"/>
  <c r="D62" i="5"/>
  <c r="D77" i="5"/>
  <c r="D76" i="5"/>
  <c r="D60" i="5"/>
  <c r="D44" i="5"/>
  <c r="D56" i="5"/>
  <c r="D78" i="5"/>
  <c r="D75" i="5"/>
  <c r="D59" i="5"/>
  <c r="D43" i="5"/>
  <c r="D61" i="5"/>
  <c r="D74" i="5"/>
  <c r="D58" i="5"/>
  <c r="D42" i="5"/>
  <c r="D40" i="5"/>
  <c r="D7" i="5"/>
  <c r="D38" i="5"/>
  <c r="D22" i="5"/>
  <c r="D6" i="5"/>
  <c r="D37" i="5"/>
  <c r="D21" i="5"/>
  <c r="D5" i="5"/>
  <c r="D19" i="5"/>
  <c r="D34" i="5"/>
  <c r="D18" i="5"/>
  <c r="D33" i="5"/>
  <c r="D17" i="5"/>
  <c r="D4" i="5"/>
  <c r="D3" i="5"/>
  <c r="D32" i="5"/>
  <c r="D16" i="5"/>
  <c r="D23" i="5"/>
  <c r="D31" i="5"/>
  <c r="D15" i="5"/>
  <c r="D30" i="5"/>
  <c r="D14" i="5"/>
  <c r="D24" i="5"/>
  <c r="D36" i="5"/>
  <c r="D29" i="5"/>
  <c r="D13" i="5"/>
  <c r="D28" i="5"/>
  <c r="D12" i="5"/>
  <c r="D27" i="5"/>
  <c r="D11" i="5"/>
  <c r="D20" i="5"/>
  <c r="D26" i="5"/>
  <c r="D10" i="5"/>
  <c r="D8" i="5"/>
  <c r="D39" i="5"/>
  <c r="D35" i="5"/>
  <c r="D41" i="5"/>
  <c r="D25" i="5"/>
  <c r="D9" i="5"/>
  <c r="D91" i="5"/>
  <c r="D90" i="5"/>
  <c r="D97" i="5"/>
  <c r="D96" i="5"/>
  <c r="D94" i="5"/>
  <c r="D95" i="5"/>
  <c r="D93" i="5"/>
  <c r="D92" i="5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5" i="4"/>
  <c r="C25" i="4" s="1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C11" i="4" l="1"/>
  <c r="B2" i="8"/>
  <c r="A2" i="4" l="1"/>
  <c r="A35" i="18" l="1"/>
  <c r="A36" i="18"/>
  <c r="A36" i="8"/>
  <c r="A34" i="18"/>
  <c r="A35" i="8"/>
  <c r="A34" i="8"/>
  <c r="A11" i="8"/>
  <c r="A14" i="8"/>
  <c r="A12" i="8"/>
  <c r="A15" i="8"/>
  <c r="A13" i="8"/>
  <c r="A16" i="8"/>
  <c r="A9" i="8"/>
  <c r="A8" i="8"/>
  <c r="A3" i="8"/>
  <c r="A6" i="8"/>
  <c r="A4" i="8"/>
  <c r="A5" i="8"/>
  <c r="A7" i="8"/>
  <c r="A10" i="8"/>
  <c r="A2" i="8"/>
  <c r="A29" i="18"/>
  <c r="A20" i="18"/>
  <c r="A9" i="18"/>
  <c r="A30" i="8"/>
  <c r="A21" i="18"/>
  <c r="A31" i="8"/>
  <c r="A22" i="18"/>
  <c r="A18" i="8"/>
  <c r="A29" i="8"/>
  <c r="A13" i="18"/>
  <c r="A31" i="18"/>
  <c r="A25" i="18"/>
  <c r="A17" i="18"/>
  <c r="A21" i="8"/>
  <c r="A17" i="8"/>
  <c r="A22" i="8"/>
  <c r="A2" i="18"/>
  <c r="A16" i="18"/>
  <c r="A7" i="18"/>
  <c r="A19" i="18"/>
  <c r="A24" i="18"/>
  <c r="A33" i="18"/>
  <c r="A33" i="8"/>
  <c r="A23" i="8"/>
  <c r="A6" i="18"/>
  <c r="A8" i="18"/>
  <c r="A28" i="18"/>
  <c r="A32" i="8"/>
  <c r="A10" i="18"/>
  <c r="A28" i="8"/>
  <c r="A3" i="18"/>
  <c r="A24" i="8"/>
  <c r="A4" i="18"/>
  <c r="A25" i="8"/>
  <c r="A15" i="18"/>
  <c r="A12" i="18"/>
  <c r="A20" i="8"/>
  <c r="A11" i="18"/>
  <c r="A30" i="18"/>
  <c r="A5" i="18"/>
  <c r="A14" i="18"/>
  <c r="A27" i="18"/>
  <c r="A18" i="18"/>
  <c r="A23" i="18"/>
  <c r="A26" i="18"/>
  <c r="A27" i="8"/>
  <c r="A32" i="18"/>
  <c r="A26" i="8"/>
  <c r="A19" i="8"/>
  <c r="D2" i="5"/>
  <c r="C26" i="4"/>
  <c r="C27" i="4"/>
  <c r="C97" i="4" l="1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2" i="4"/>
  <c r="C21" i="4"/>
  <c r="C20" i="4"/>
  <c r="C19" i="4"/>
  <c r="C18" i="4"/>
  <c r="C17" i="4"/>
  <c r="C16" i="4"/>
  <c r="C15" i="4"/>
  <c r="C14" i="4"/>
  <c r="C13" i="4"/>
  <c r="C12" i="4"/>
  <c r="C10" i="4"/>
  <c r="C9" i="4"/>
  <c r="C8" i="4"/>
  <c r="C7" i="4"/>
  <c r="C6" i="4"/>
  <c r="C5" i="4"/>
  <c r="C4" i="4"/>
  <c r="C3" i="4"/>
  <c r="C2" i="4" l="1"/>
  <c r="E26" i="8" l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B98" i="8" l="1"/>
  <c r="D3" i="18" l="1"/>
  <c r="D2" i="18"/>
</calcChain>
</file>

<file path=xl/sharedStrings.xml><?xml version="1.0" encoding="utf-8"?>
<sst xmlns="http://schemas.openxmlformats.org/spreadsheetml/2006/main" count="816" uniqueCount="161">
  <si>
    <t>Plate I</t>
  </si>
  <si>
    <t>A</t>
  </si>
  <si>
    <t>B</t>
  </si>
  <si>
    <t>C</t>
  </si>
  <si>
    <t>D</t>
  </si>
  <si>
    <t>E</t>
  </si>
  <si>
    <t>F</t>
  </si>
  <si>
    <t>G</t>
  </si>
  <si>
    <t>H</t>
  </si>
  <si>
    <t>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</si>
  <si>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</si>
  <si>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</si>
  <si>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</si>
  <si>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</si>
  <si>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</si>
  <si>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</si>
  <si>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</si>
  <si>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</si>
  <si>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</si>
  <si>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</si>
  <si>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</si>
  <si>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</si>
  <si>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</si>
  <si>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</si>
  <si>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</si>
  <si>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</si>
  <si>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</si>
  <si>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</si>
  <si>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</si>
  <si>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</si>
  <si>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</si>
  <si>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</si>
  <si>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</si>
  <si>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</si>
  <si>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</si>
  <si>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</si>
  <si>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</si>
  <si>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</si>
  <si>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</si>
  <si>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</si>
  <si>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</si>
  <si>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</si>
  <si>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</si>
  <si>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</si>
  <si>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</si>
  <si>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</si>
  <si>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</si>
  <si>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</si>
  <si>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</si>
  <si>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</si>
  <si>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</si>
  <si>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</si>
  <si>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</si>
  <si>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</si>
  <si>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</si>
  <si>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</si>
  <si>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</si>
  <si>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</si>
  <si>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</si>
  <si>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</si>
  <si>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</si>
  <si>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</si>
  <si>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</si>
  <si>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</si>
  <si>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</si>
  <si>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</si>
  <si>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Well Nr. source plate</t>
  </si>
  <si>
    <t>Volumen</t>
  </si>
  <si>
    <t>Well Nr. destination plate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</si>
  <si>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</si>
  <si>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</si>
  <si>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</si>
  <si>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</si>
  <si>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</si>
  <si>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</si>
  <si>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</si>
  <si>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</si>
  <si>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</si>
  <si>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</si>
  <si>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</si>
  <si>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</si>
  <si>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</si>
  <si>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</si>
  <si>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</si>
  <si>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</si>
  <si>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</si>
  <si>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</si>
  <si>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</si>
  <si>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</si>
  <si>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</si>
  <si>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</si>
  <si>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</si>
  <si>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</si>
  <si>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</si>
  <si>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</si>
  <si>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</si>
  <si>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</si>
  <si>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</si>
  <si>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</si>
  <si>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</si>
  <si>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</si>
  <si>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</si>
  <si>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</si>
  <si>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</si>
  <si>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</si>
  <si>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</si>
  <si>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</si>
  <si>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</si>
  <si>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</si>
  <si>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Destination_plate</t>
  </si>
  <si>
    <t>Destination_Plate_1</t>
  </si>
  <si>
    <t xml:space="preserve">Plate </t>
  </si>
  <si>
    <t>Meta data</t>
  </si>
  <si>
    <t>Value</t>
  </si>
  <si>
    <t>Mastermix</t>
  </si>
  <si>
    <t>Nr.</t>
  </si>
  <si>
    <t>Description</t>
  </si>
  <si>
    <t>Primer 1</t>
  </si>
  <si>
    <t>Primer 2</t>
  </si>
  <si>
    <t>Mastermix1</t>
  </si>
  <si>
    <t>Template</t>
  </si>
  <si>
    <t>Template 1</t>
  </si>
  <si>
    <t>Template 2</t>
  </si>
  <si>
    <t>Water</t>
  </si>
  <si>
    <t>H2O</t>
  </si>
  <si>
    <t>UNS1_fwd</t>
  </si>
  <si>
    <t>UNS4_rev</t>
  </si>
  <si>
    <t>UNS4_fwd</t>
  </si>
  <si>
    <t>UNS10_rev</t>
  </si>
  <si>
    <t>UNS1_fwd und UNS4_rev</t>
  </si>
  <si>
    <t>UNS4_fwd und UNS10_rev</t>
  </si>
  <si>
    <t>Source_Plate</t>
  </si>
  <si>
    <t>Source_plate</t>
  </si>
  <si>
    <t>MTP Template</t>
  </si>
  <si>
    <t>Trough</t>
  </si>
  <si>
    <t>Part</t>
  </si>
  <si>
    <t>Content</t>
  </si>
  <si>
    <t>MTP</t>
  </si>
  <si>
    <t>Primermix</t>
  </si>
  <si>
    <t>mtp_primer_stocks</t>
  </si>
  <si>
    <t>mtp_source</t>
  </si>
  <si>
    <t>mtp_template_DNA</t>
  </si>
  <si>
    <t>Volume Water Dilution Template [µL]</t>
  </si>
  <si>
    <t>Volume Template Total [µL]</t>
  </si>
  <si>
    <t>Number Reactions</t>
  </si>
  <si>
    <t>PCR Mastermix calculator</t>
  </si>
  <si>
    <t>2x Q5 Mix</t>
  </si>
  <si>
    <t>Total volume per PCR reaction [µL]</t>
  </si>
  <si>
    <t>DMSO</t>
  </si>
  <si>
    <t>Volume per Primer in Primer Mix [µL]</t>
  </si>
  <si>
    <t>Volume Mastermix per reaction [µL]</t>
  </si>
  <si>
    <t>Volume per Primer Mix total [µL] (Max = 400)</t>
  </si>
  <si>
    <t>water</t>
  </si>
  <si>
    <t>&lt;-- Leave empty when no template dilution is needed</t>
  </si>
  <si>
    <t>Auto calculation</t>
  </si>
  <si>
    <t>Volume Primer Pair added per reaction [µL]</t>
  </si>
  <si>
    <t>Volume Template DNA addded per reaction [µL]</t>
  </si>
  <si>
    <t>Only change blue cells</t>
  </si>
  <si>
    <t>Volume Mastermix per PCR reaction [µL]</t>
  </si>
  <si>
    <t>Value taken from B45</t>
  </si>
  <si>
    <t>Primer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</si>
</sst>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7" fillId="0" borderId="0"/>
    <xf numFmtId="0" fontId="12" fillId="7" borderId="27" applyNumberFormat="0" applyAlignment="0" applyProtection="0"/>
    <xf numFmtId="0" fontId="13" fillId="8" borderId="28" applyNumberFormat="0" applyAlignment="0" applyProtection="0"/>
    <xf numFmtId="0" fontId="14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0" fillId="6" borderId="0" xfId="0" applyFill="1"/>
    <xf numFmtId="0" fontId="1" fillId="0" borderId="29" xfId="0" applyFont="1" applyBorder="1"/>
    <xf numFmtId="0" fontId="0" fillId="0" borderId="29" xfId="0" applyBorder="1"/>
    <xf numFmtId="0" fontId="5" fillId="9" borderId="29" xfId="0" applyFont="1" applyFill="1" applyBorder="1"/>
    <xf numFmtId="0" fontId="13" fillId="8" borderId="0" xfId="4" applyBorder="1" applyAlignment="1">
      <alignment horizontal="center"/>
    </xf>
    <xf numFmtId="0" fontId="5" fillId="9" borderId="29" xfId="0" applyFont="1" applyFill="1" applyBorder="1" applyAlignment="1">
      <alignment horizontal="right"/>
    </xf>
    <xf numFmtId="0" fontId="12" fillId="7" borderId="29" xfId="3" applyBorder="1" applyAlignment="1">
      <alignment horizontal="center"/>
    </xf>
    <xf numFmtId="0" fontId="13" fillId="8" borderId="29" xfId="4" applyBorder="1" applyAlignment="1">
      <alignment horizontal="center"/>
    </xf>
    <xf numFmtId="0" fontId="0" fillId="0" borderId="30" xfId="0" applyBorder="1" applyAlignment="1">
      <alignment horizontal="center"/>
    </xf>
    <xf numFmtId="0" fontId="4" fillId="0" borderId="31" xfId="0" applyFont="1" applyBorder="1"/>
    <xf numFmtId="0" fontId="0" fillId="0" borderId="31" xfId="0" applyBorder="1"/>
    <xf numFmtId="0" fontId="8" fillId="6" borderId="1" xfId="0" applyFont="1" applyFill="1" applyBorder="1" applyAlignment="1">
      <alignment horizontal="center"/>
    </xf>
    <xf numFmtId="0" fontId="0" fillId="0" borderId="0" xfId="0" quotePrefix="1"/>
    <xf numFmtId="0" fontId="10" fillId="0" borderId="0" xfId="0" applyFont="1"/>
    <xf numFmtId="0" fontId="1" fillId="0" borderId="0" xfId="0" applyFont="1" applyAlignment="1">
      <alignment vertical="center"/>
    </xf>
    <xf numFmtId="0" fontId="1" fillId="10" borderId="1" xfId="0" applyFont="1" applyFill="1" applyBorder="1"/>
    <xf numFmtId="0" fontId="4" fillId="11" borderId="1" xfId="0" applyFont="1" applyFill="1" applyBorder="1"/>
    <xf numFmtId="0" fontId="4" fillId="6" borderId="1" xfId="0" applyFont="1" applyFill="1" applyBorder="1"/>
    <xf numFmtId="0" fontId="4" fillId="0" borderId="1" xfId="0" applyFont="1" applyBorder="1"/>
    <xf numFmtId="0" fontId="14" fillId="0" borderId="0" xfId="5"/>
    <xf numFmtId="0" fontId="3" fillId="12" borderId="7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13" borderId="1" xfId="0" applyFont="1" applyFill="1" applyBorder="1"/>
    <xf numFmtId="0" fontId="14" fillId="0" borderId="0" xfId="5" applyFill="1" applyAlignment="1">
      <alignment horizontal="left"/>
    </xf>
    <xf numFmtId="0" fontId="11" fillId="0" borderId="2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4" fillId="0" borderId="0" xfId="5" applyFill="1" applyBorder="1" applyAlignment="1">
      <alignment horizontal="left"/>
    </xf>
    <xf numFmtId="0" fontId="14" fillId="0" borderId="0" xfId="5" applyFill="1" applyBorder="1"/>
    <xf numFmtId="0" fontId="14" fillId="0" borderId="0" xfId="5" applyFill="1" applyBorder="1" applyAlignment="1">
      <alignment horizontal="center"/>
    </xf>
    <xf numFmtId="0" fontId="5" fillId="9" borderId="0" xfId="0" applyFont="1" applyFill="1"/>
  </cellXfs>
  <cellStyles count="6">
    <cellStyle name="Ausgabe" xfId="4" builtinId="21"/>
    <cellStyle name="Eingabe" xfId="3" builtinId="20"/>
    <cellStyle name="Erklärender Text" xfId="5" builtinId="53"/>
    <cellStyle name="Standard" xfId="0" builtinId="0"/>
    <cellStyle name="Standard 2" xfId="1" xr:uid="{00000000-0005-0000-0000-000001000000}"/>
    <cellStyle name="Standard 3" xfId="2" xr:uid="{00000000-0005-0000-0000-000002000000}"/>
  </cellStyles>
  <dxfs count="2"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104775</xdr:rowOff>
    </xdr:from>
    <xdr:to>
      <xdr:col>17</xdr:col>
      <xdr:colOff>742950</xdr:colOff>
      <xdr:row>32</xdr:row>
      <xdr:rowOff>95250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5FF9666D-A6BC-4160-8547-8F0DF957B594}"/>
            </a:ext>
          </a:extLst>
        </xdr:cNvPr>
        <xdr:cNvSpPr txBox="1"/>
      </xdr:nvSpPr>
      <xdr:spPr>
        <a:xfrm>
          <a:off x="0" y="295275"/>
          <a:ext cx="13696950" cy="589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 b="1"/>
            <a:t>How to use:</a:t>
          </a:r>
        </a:p>
        <a:p>
          <a:endParaRPr lang="de-DE" sz="1100"/>
        </a:p>
        <a:p>
          <a:r>
            <a:rPr lang="de-DE" b="1">
              <a:solidFill>
                <a:schemeClr val="accent6"/>
              </a:solidFill>
            </a:rPr>
            <a:t>- Only fill in datasheets marked with a “+”. </a:t>
          </a:r>
        </a:p>
        <a:p>
          <a:r>
            <a:rPr lang="de-DE"/>
            <a:t>- Only blue boxes are relevant and should be filled in. </a:t>
          </a:r>
        </a:p>
        <a:p>
          <a:r>
            <a:rPr lang="de-DE"/>
            <a:t>- Please use only plates that are approved for your automation</a:t>
          </a:r>
          <a:r>
            <a:rPr lang="de-DE" baseline="0"/>
            <a:t> platform.</a:t>
          </a:r>
        </a:p>
        <a:p>
          <a:endParaRPr lang="de-DE" sz="1100" b="1"/>
        </a:p>
        <a:p>
          <a:r>
            <a:rPr lang="de-DE" sz="1100" b="0"/>
            <a:t>- mtp_mastermix: 	V-BottomPlate (filling</a:t>
          </a:r>
          <a:r>
            <a:rPr lang="de-DE" sz="1100" b="0" baseline="0"/>
            <a:t> volume</a:t>
          </a:r>
          <a:r>
            <a:rPr lang="de-DE" sz="1100" b="0"/>
            <a:t> 400 µL) 		--&gt; Contains only the mastermix; can be reused.</a:t>
          </a:r>
          <a:r>
            <a:rPr lang="de-DE" sz="1100" b="0" baseline="0"/>
            <a:t> (Each well must have a unique name, even if contents are idnetical (e.g., Mastermix1, Mastermix2, ...).</a:t>
          </a:r>
          <a:endParaRPr lang="de-DE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/>
            <a:t>-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mtp_source: 	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400 µL)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Plate with diluted parts; can be reused.</a:t>
          </a:r>
          <a:endParaRPr lang="de-DE" b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mtp_dna_stocks: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 µL)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Plate with concentrated parts; can be reused.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mtp_destination_plate1: 	</a:t>
          </a:r>
          <a:r>
            <a:rPr lang="de-DE" sz="11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PCR-Platte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180 µL)        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Golden Gate plate.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water: 		12-Column Plate (in simulator called: trough) (20 mL) 	--&gt; Water for DNA dilutions and for topping up Golden Gate reactions.</a:t>
          </a:r>
          <a:endParaRPr lang="de-DE" b="0">
            <a:effectLst/>
          </a:endParaRPr>
        </a:p>
        <a:p>
          <a:endParaRPr lang="de-DE" sz="1100" b="1"/>
        </a:p>
        <a:p>
          <a:r>
            <a:rPr lang="de-DE" sz="1100"/>
            <a:t>- </a:t>
          </a:r>
          <a:r>
            <a:rPr lang="de-DE"/>
            <a:t>Be careful when copying or moving elements. The table uses references that are error-prone during such operations.</a:t>
          </a:r>
        </a:p>
        <a:p>
          <a:r>
            <a:rPr lang="de-DE" sz="1100" baseline="0"/>
            <a:t>- </a:t>
          </a:r>
          <a:r>
            <a:rPr lang="de-DE"/>
            <a:t>Most errors occur when parts are spelled differently in the “Plan+” and “Plate organization+” sheets (watch out for typos).</a:t>
          </a:r>
        </a:p>
        <a:p>
          <a:r>
            <a:rPr lang="de-DE" sz="1100" baseline="0"/>
            <a:t>- </a:t>
          </a:r>
          <a:r>
            <a:rPr lang="de-DE"/>
            <a:t>If worksheets or worklists are empty, the Fluent will skip them automatically. This means you can skip process steps that are not relevant (e.g., DNA_dilution if only a Golden Gate is performed).</a:t>
          </a:r>
          <a:r>
            <a:rPr lang="de-DE" baseline="0"/>
            <a:t> </a:t>
          </a:r>
          <a:r>
            <a:rPr lang="de-DE"/>
            <a:t>To do this, simply leave the corresponding sheets or columns empty.</a:t>
          </a:r>
          <a:endParaRPr lang="de-DE" sz="1100"/>
        </a:p>
        <a:p>
          <a:endParaRPr lang="de-DE" sz="1100" b="1"/>
        </a:p>
        <a:p>
          <a:endParaRPr lang="de-DE" sz="1100" b="1"/>
        </a:p>
        <a:p>
          <a:r>
            <a:rPr lang="de-DE" sz="1100" b="1"/>
            <a:t>- Infos:</a:t>
          </a:r>
        </a:p>
        <a:p>
          <a:pPr lvl="1"/>
          <a:r>
            <a:rPr lang="de-DE" sz="1100"/>
            <a:t>Can contain personal experiment descriptions; not relevant for processing worklists</a:t>
          </a:r>
          <a:r>
            <a:rPr lang="de-DE" sz="1100" baseline="0"/>
            <a:t>.</a:t>
          </a:r>
        </a:p>
        <a:p>
          <a:r>
            <a:rPr lang="de-DE" sz="1100" b="1" baseline="0"/>
            <a:t>- Plate Organisation+: </a:t>
          </a:r>
        </a:p>
        <a:p>
          <a:pPr lvl="1"/>
          <a:r>
            <a:rPr lang="de-DE" sz="1100" baseline="0"/>
            <a:t>Defines which components go into which plates.</a:t>
          </a:r>
        </a:p>
        <a:p>
          <a:pPr lvl="1"/>
          <a:r>
            <a:rPr lang="de-DE" sz="1100" baseline="0"/>
            <a:t>Please fill in the meta data (see further below). These are very important. </a:t>
          </a:r>
          <a:r>
            <a:rPr lang="de-DE" sz="1100" b="1" baseline="0">
              <a:solidFill>
                <a:schemeClr val="accent5"/>
              </a:solidFill>
            </a:rPr>
            <a:t>Double-check every value!</a:t>
          </a:r>
          <a:r>
            <a:rPr lang="de-DE" sz="1100" baseline="0">
              <a:solidFill>
                <a:srgbClr val="FF0000"/>
              </a:solidFill>
            </a:rPr>
            <a:t> </a:t>
          </a:r>
          <a:r>
            <a:rPr lang="de-DE" sz="1100" baseline="0">
              <a:solidFill>
                <a:schemeClr val="tx1"/>
              </a:solidFill>
            </a:rPr>
            <a:t>The composition of the mastermix can be found in this sheet.</a:t>
          </a:r>
        </a:p>
        <a:p>
          <a:pPr lvl="0" algn="l"/>
          <a:r>
            <a:rPr lang="de-DE" sz="1100" b="1" baseline="0">
              <a:solidFill>
                <a:schemeClr val="tx1"/>
              </a:solidFill>
            </a:rPr>
            <a:t>- Plan+</a:t>
          </a: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Plan for the Golden Gate. Wherever water should be pipetted, enter </a:t>
          </a:r>
          <a:r>
            <a:rPr lang="de-DE" sz="1100" b="1" baseline="0">
              <a:solidFill>
                <a:schemeClr val="accent5"/>
              </a:solidFill>
            </a:rPr>
            <a:t>"water" </a:t>
          </a:r>
          <a:r>
            <a:rPr lang="de-DE" sz="1100" b="0" baseline="0">
              <a:solidFill>
                <a:schemeClr val="tx1"/>
              </a:solidFill>
            </a:rPr>
            <a:t>(not Water, wasser, Wasser). Volumes are calculated automatically based on total reaction volume (fill in metadata!) and the other parts.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PM_info+</a:t>
          </a:r>
          <a:endParaRPr lang="de-DE">
            <a:effectLst/>
          </a:endParaRP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Enter the composition of the plasmid mix here. Check that wells are not already occupied. </a:t>
          </a:r>
          <a:r>
            <a:rPr lang="de-DE" sz="1100" b="1" baseline="0">
              <a:solidFill>
                <a:schemeClr val="tx1"/>
              </a:solidFill>
            </a:rPr>
            <a:t>Use only empty wells of the "mtp_source"</a:t>
          </a:r>
          <a:r>
            <a:rPr lang="de-DE" sz="1100" b="0" baseline="0">
              <a:solidFill>
                <a:schemeClr val="tx1"/>
              </a:solidFill>
            </a:rPr>
            <a:t>.</a:t>
          </a:r>
          <a:r>
            <a:rPr lang="de-DE" sz="1100" b="1" baseline="0">
              <a:solidFill>
                <a:schemeClr val="tx1"/>
              </a:solidFill>
            </a:rPr>
            <a:t> </a:t>
          </a:r>
          <a:r>
            <a:rPr lang="de-DE" sz="1100" b="0" baseline="0">
              <a:solidFill>
                <a:schemeClr val="tx1"/>
              </a:solidFill>
            </a:rPr>
            <a:t>The plasmid mix is prepated from diluted parts. If you already have a plasmid mix: enter it in Plan+ and Plate_organization+, and leave PM_Info+ empty. </a:t>
          </a:r>
          <a:endParaRPr lang="de-DE" sz="1100" b="1" baseline="0">
            <a:solidFill>
              <a:schemeClr val="tx1"/>
            </a:solidFill>
          </a:endParaRP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DNA_dilution+</a:t>
          </a:r>
          <a:endParaRPr lang="de-DE">
            <a:effectLst/>
          </a:endParaRPr>
        </a:p>
        <a:p>
          <a:pPr lvl="1"/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DNA components that need to be diluted. Only the number of base pairs, measured concentration (ng/µL), final volume, and molarity need to be specified. Everything else is calculated automatically. Names are also filled in automatically once these fields are completed. Seq results (sequencing) is optional. </a:t>
          </a:r>
          <a:r>
            <a:rPr lang="de-DE" sz="11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Enter sufficient volume per part to avoid errors!</a:t>
          </a:r>
          <a:endParaRPr lang="de-DE" b="1">
            <a:solidFill>
              <a:schemeClr val="accent5"/>
            </a:solidFill>
            <a:effectLst/>
          </a:endParaRPr>
        </a:p>
        <a:p>
          <a:pPr lvl="0" algn="l"/>
          <a:endParaRPr lang="de-DE" sz="1100" b="1" baseline="0">
            <a:solidFill>
              <a:schemeClr val="tx1"/>
            </a:solidFill>
          </a:endParaRPr>
        </a:p>
        <a:p>
          <a:pPr lvl="1" algn="l"/>
          <a:endParaRPr lang="de-DE" sz="1100" b="0" baseline="0">
            <a:solidFill>
              <a:schemeClr val="tx1"/>
            </a:solidFill>
          </a:endParaRPr>
        </a:p>
        <a:p>
          <a:pPr lvl="1"/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2:K44"/>
  <sheetViews>
    <sheetView workbookViewId="0">
      <selection activeCell="B36" sqref="B36"/>
    </sheetView>
  </sheetViews>
  <sheetFormatPr baseColWidth="10" defaultColWidth="11.42578125" defaultRowHeight="15" x14ac:dyDescent="0.25"/>
  <sheetData>
    <row r="2" spans="2:7" x14ac:dyDescent="0.25">
      <c r="B2" s="7"/>
      <c r="C2" s="7"/>
    </row>
    <row r="3" spans="2:7" x14ac:dyDescent="0.25">
      <c r="B3" s="7"/>
      <c r="C3" s="7"/>
    </row>
    <row r="5" spans="2:7" x14ac:dyDescent="0.25">
      <c r="B5" s="7"/>
    </row>
    <row r="7" spans="2:7" x14ac:dyDescent="0.25">
      <c r="C7" s="33"/>
      <c r="D7" s="33"/>
      <c r="E7" s="33"/>
      <c r="F7" s="33"/>
      <c r="G7" s="33"/>
    </row>
    <row r="8" spans="2:7" x14ac:dyDescent="0.25">
      <c r="C8" s="33"/>
      <c r="D8" s="33"/>
      <c r="E8" s="33"/>
      <c r="F8" s="33"/>
      <c r="G8" s="33"/>
    </row>
    <row r="9" spans="2:7" x14ac:dyDescent="0.25">
      <c r="C9" s="33"/>
      <c r="D9" s="33"/>
      <c r="E9" s="33"/>
      <c r="F9" s="33"/>
      <c r="G9" s="33"/>
    </row>
    <row r="10" spans="2:7" x14ac:dyDescent="0.25">
      <c r="C10" s="33"/>
      <c r="D10" s="33"/>
      <c r="E10" s="33"/>
      <c r="F10" s="33"/>
      <c r="G10" s="33"/>
    </row>
    <row r="11" spans="2:7" x14ac:dyDescent="0.25">
      <c r="C11" s="33"/>
      <c r="D11" s="33"/>
      <c r="E11" s="33"/>
      <c r="F11" s="33"/>
      <c r="G11" s="33"/>
    </row>
    <row r="12" spans="2:7" x14ac:dyDescent="0.25">
      <c r="C12" s="33"/>
      <c r="D12" s="33"/>
      <c r="E12" s="33"/>
      <c r="F12" s="33"/>
      <c r="G12" s="33"/>
    </row>
    <row r="13" spans="2:7" x14ac:dyDescent="0.25">
      <c r="C13" s="33"/>
      <c r="D13" s="33"/>
      <c r="E13" s="33"/>
      <c r="F13" s="33"/>
      <c r="G13" s="33"/>
    </row>
    <row r="14" spans="2:7" x14ac:dyDescent="0.25">
      <c r="C14" s="33"/>
      <c r="D14" s="33"/>
      <c r="E14" s="33"/>
      <c r="F14" s="33"/>
      <c r="G14" s="33"/>
    </row>
    <row r="17" spans="2:11" x14ac:dyDescent="0.25">
      <c r="C17" s="33"/>
    </row>
    <row r="18" spans="2:11" x14ac:dyDescent="0.25">
      <c r="C18" s="33"/>
    </row>
    <row r="20" spans="2:11" x14ac:dyDescent="0.25">
      <c r="B20" s="7"/>
    </row>
    <row r="22" spans="2:11" x14ac:dyDescent="0.25">
      <c r="G22" s="7"/>
      <c r="I22" s="7"/>
      <c r="J22" s="7"/>
      <c r="K22" s="7"/>
    </row>
    <row r="23" spans="2:11" x14ac:dyDescent="0.25">
      <c r="G23" s="7"/>
    </row>
    <row r="24" spans="2:11" x14ac:dyDescent="0.25">
      <c r="G24" s="7"/>
      <c r="I24" s="7"/>
      <c r="J24" s="7"/>
      <c r="K24" s="7"/>
    </row>
    <row r="25" spans="2:11" x14ac:dyDescent="0.25">
      <c r="G25" s="7"/>
      <c r="I25" s="7"/>
    </row>
    <row r="26" spans="2:11" x14ac:dyDescent="0.25">
      <c r="G26" s="7"/>
    </row>
    <row r="28" spans="2:11" x14ac:dyDescent="0.25">
      <c r="B28" s="7"/>
    </row>
    <row r="32" spans="2:11" x14ac:dyDescent="0.25">
      <c r="D32" s="66"/>
    </row>
    <row r="33" spans="1:7" x14ac:dyDescent="0.25">
      <c r="G33" s="67"/>
    </row>
    <row r="37" spans="1:7" x14ac:dyDescent="0.25">
      <c r="D37" s="66"/>
    </row>
    <row r="39" spans="1:7" x14ac:dyDescent="0.25">
      <c r="A39" s="7"/>
      <c r="B39" s="7"/>
      <c r="C39" s="7"/>
      <c r="D39" s="7"/>
      <c r="E39" s="7"/>
    </row>
    <row r="40" spans="1:7" x14ac:dyDescent="0.25">
      <c r="A40" s="7"/>
      <c r="B40" s="7"/>
      <c r="C40" s="7"/>
      <c r="D40" s="7"/>
      <c r="E40" s="68"/>
    </row>
    <row r="41" spans="1:7" x14ac:dyDescent="0.25">
      <c r="A41" s="7"/>
      <c r="B41" s="7"/>
      <c r="C41" s="7"/>
      <c r="D41" s="7"/>
      <c r="E41" s="68"/>
    </row>
    <row r="42" spans="1:7" x14ac:dyDescent="0.25">
      <c r="A42" s="7"/>
      <c r="B42" s="7"/>
      <c r="C42" s="7"/>
      <c r="D42" s="7"/>
      <c r="E42" s="68"/>
    </row>
    <row r="43" spans="1:7" x14ac:dyDescent="0.25">
      <c r="A43" s="7"/>
      <c r="B43" s="7"/>
      <c r="C43" s="7"/>
      <c r="D43" s="7"/>
      <c r="E43" s="7"/>
    </row>
    <row r="44" spans="1:7" x14ac:dyDescent="0.25">
      <c r="A44" s="7"/>
      <c r="B44" s="7"/>
      <c r="C44" s="7"/>
      <c r="D44" s="7"/>
      <c r="E44" s="7"/>
    </row>
  </sheetData>
  <pageMargins left="0.7" right="0.7" top="0.78740157499999996" bottom="0.78740157499999996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N50"/>
  <sheetViews>
    <sheetView zoomScale="85" zoomScaleNormal="85" workbookViewId="0">
      <selection activeCell="B41" sqref="B41"/>
    </sheetView>
  </sheetViews>
  <sheetFormatPr baseColWidth="10" defaultColWidth="9.140625" defaultRowHeight="15" x14ac:dyDescent="0.25"/>
  <cols>
    <col min="1" max="1" width="44.28515625" customWidth="1"/>
    <col min="2" max="2" width="23.7109375" customWidth="1"/>
    <col min="3" max="3" width="17.42578125" bestFit="1" customWidth="1"/>
    <col min="4" max="4" width="29.140625" bestFit="1" customWidth="1"/>
    <col min="5" max="5" width="30.42578125" bestFit="1" customWidth="1"/>
    <col min="6" max="6" width="30.140625" bestFit="1" customWidth="1"/>
    <col min="7" max="7" width="20.140625" bestFit="1" customWidth="1"/>
    <col min="8" max="8" width="21" bestFit="1" customWidth="1"/>
    <col min="9" max="9" width="22.42578125" bestFit="1" customWidth="1"/>
    <col min="10" max="10" width="17.7109375" bestFit="1" customWidth="1"/>
    <col min="11" max="11" width="21.42578125" bestFit="1" customWidth="1"/>
    <col min="12" max="12" width="15.42578125" bestFit="1" customWidth="1"/>
    <col min="13" max="13" width="18" bestFit="1" customWidth="1"/>
    <col min="14" max="14" width="17.42578125" bestFit="1" customWidth="1"/>
    <col min="15" max="16" width="8" bestFit="1" customWidth="1"/>
    <col min="17" max="17" width="5" bestFit="1" customWidth="1"/>
    <col min="18" max="18" width="16.5703125" bestFit="1" customWidth="1"/>
    <col min="19" max="19" width="16.85546875" bestFit="1" customWidth="1"/>
    <col min="20" max="20" width="11.42578125" bestFit="1" customWidth="1"/>
  </cols>
  <sheetData>
    <row r="1" spans="1:13" x14ac:dyDescent="0.25">
      <c r="A1" s="34" t="s">
        <v>139</v>
      </c>
      <c r="B1" s="63"/>
      <c r="C1" s="63"/>
      <c r="D1" s="63"/>
      <c r="E1" s="63"/>
      <c r="F1" s="64"/>
      <c r="G1" s="64"/>
      <c r="H1" s="64"/>
      <c r="I1" s="64"/>
      <c r="J1" s="64"/>
    </row>
    <row r="2" spans="1:13" x14ac:dyDescent="0.25">
      <c r="A2" s="1" t="s">
        <v>0</v>
      </c>
      <c r="B2" s="62">
        <v>1</v>
      </c>
      <c r="C2" s="62">
        <v>2</v>
      </c>
      <c r="D2" s="62">
        <v>3</v>
      </c>
      <c r="E2" s="62">
        <v>4</v>
      </c>
      <c r="F2" s="62">
        <v>5</v>
      </c>
      <c r="G2" s="62">
        <v>6</v>
      </c>
      <c r="H2" s="62">
        <v>7</v>
      </c>
      <c r="I2" s="62">
        <v>8</v>
      </c>
      <c r="J2" s="62">
        <v>9</v>
      </c>
      <c r="K2" s="15">
        <v>10</v>
      </c>
      <c r="L2" s="15">
        <v>11</v>
      </c>
      <c r="M2" s="15">
        <v>12</v>
      </c>
    </row>
    <row r="3" spans="1:13" x14ac:dyDescent="0.25">
      <c r="A3" s="14" t="s">
        <v>1</v>
      </c>
      <c r="B3" s="65" t="s">
        <v>125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x14ac:dyDescent="0.25">
      <c r="A4" s="14" t="s">
        <v>2</v>
      </c>
      <c r="B4" s="65" t="s">
        <v>126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x14ac:dyDescent="0.25">
      <c r="A5" s="14" t="s">
        <v>3</v>
      </c>
      <c r="B5" s="65" t="s">
        <v>127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</row>
    <row r="6" spans="1:13" x14ac:dyDescent="0.25">
      <c r="A6" s="14" t="s">
        <v>4</v>
      </c>
      <c r="B6" s="65" t="s">
        <v>128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3" x14ac:dyDescent="0.25">
      <c r="A7" s="14" t="s">
        <v>5</v>
      </c>
      <c r="B7" s="65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</row>
    <row r="8" spans="1:13" x14ac:dyDescent="0.25">
      <c r="A8" s="14" t="s">
        <v>6</v>
      </c>
      <c r="B8" s="65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 spans="1:13" x14ac:dyDescent="0.25">
      <c r="A9" s="14" t="s">
        <v>7</v>
      </c>
      <c r="B9" s="65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25">
      <c r="A10" s="14" t="s">
        <v>8</v>
      </c>
      <c r="B10" s="65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25">
      <c r="A13" s="34" t="s">
        <v>140</v>
      </c>
      <c r="F13" s="5"/>
      <c r="G13" s="5"/>
      <c r="H13" s="5"/>
      <c r="I13" s="5"/>
      <c r="J13" s="5"/>
      <c r="K13" s="5"/>
      <c r="L13" s="5"/>
      <c r="M13" s="5"/>
    </row>
    <row r="14" spans="1:13" x14ac:dyDescent="0.25">
      <c r="A14" s="1" t="s">
        <v>0</v>
      </c>
      <c r="B14" s="13">
        <v>1</v>
      </c>
      <c r="C14" s="13">
        <v>2</v>
      </c>
      <c r="D14" s="13">
        <v>3</v>
      </c>
      <c r="E14" s="13">
        <v>4</v>
      </c>
      <c r="F14" s="13">
        <v>5</v>
      </c>
      <c r="G14" s="13">
        <v>6</v>
      </c>
      <c r="H14" s="13">
        <v>7</v>
      </c>
      <c r="I14" s="13">
        <v>8</v>
      </c>
      <c r="J14" s="13">
        <v>9</v>
      </c>
      <c r="K14" s="13">
        <v>10</v>
      </c>
      <c r="L14" s="13">
        <v>11</v>
      </c>
      <c r="M14" s="16">
        <v>12</v>
      </c>
    </row>
    <row r="15" spans="1:13" x14ac:dyDescent="0.25">
      <c r="A15" s="14" t="s">
        <v>1</v>
      </c>
      <c r="B15" s="65" t="s">
        <v>129</v>
      </c>
      <c r="C15" s="50"/>
      <c r="D15" s="50" t="s">
        <v>119</v>
      </c>
      <c r="E15" s="50"/>
      <c r="F15" s="50"/>
      <c r="G15" s="50"/>
      <c r="H15" s="50"/>
      <c r="I15" s="50"/>
      <c r="J15" s="50"/>
      <c r="K15" s="50"/>
      <c r="L15" s="50"/>
      <c r="M15" s="50"/>
    </row>
    <row r="16" spans="1:13" x14ac:dyDescent="0.25">
      <c r="A16" s="14" t="s">
        <v>2</v>
      </c>
      <c r="B16" s="65" t="s">
        <v>130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x14ac:dyDescent="0.25">
      <c r="A17" s="14" t="s">
        <v>3</v>
      </c>
      <c r="B17" s="65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 spans="1:13" x14ac:dyDescent="0.25">
      <c r="A18" s="14" t="s">
        <v>4</v>
      </c>
      <c r="B18" s="65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1:13" x14ac:dyDescent="0.25">
      <c r="A19" s="14" t="s">
        <v>5</v>
      </c>
      <c r="B19" s="65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x14ac:dyDescent="0.25">
      <c r="A20" s="14" t="s">
        <v>6</v>
      </c>
      <c r="B20" s="65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x14ac:dyDescent="0.25">
      <c r="A21" s="14" t="s">
        <v>7</v>
      </c>
      <c r="B21" s="6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1:13" x14ac:dyDescent="0.25">
      <c r="A22" s="14" t="s">
        <v>8</v>
      </c>
      <c r="B22" s="65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x14ac:dyDescent="0.25">
      <c r="B23" s="6"/>
    </row>
    <row r="25" spans="1:13" x14ac:dyDescent="0.25">
      <c r="A25" s="34" t="s">
        <v>141</v>
      </c>
      <c r="B25" s="63"/>
      <c r="C25" s="63"/>
      <c r="D25" s="63"/>
      <c r="E25" s="63"/>
      <c r="F25" s="64"/>
      <c r="G25" s="64"/>
    </row>
    <row r="26" spans="1:13" x14ac:dyDescent="0.25">
      <c r="A26" s="17" t="s">
        <v>0</v>
      </c>
      <c r="B26" s="62">
        <v>1</v>
      </c>
      <c r="C26" s="62">
        <v>2</v>
      </c>
      <c r="D26" s="62">
        <v>3</v>
      </c>
      <c r="E26" s="62">
        <v>4</v>
      </c>
      <c r="F26" s="62">
        <v>5</v>
      </c>
      <c r="G26" s="62">
        <v>6</v>
      </c>
      <c r="H26" s="15">
        <v>7</v>
      </c>
      <c r="I26" s="15">
        <v>8</v>
      </c>
      <c r="J26" s="15">
        <v>9</v>
      </c>
      <c r="K26" s="15">
        <v>10</v>
      </c>
      <c r="L26" s="15">
        <v>11</v>
      </c>
      <c r="M26" s="15">
        <v>12</v>
      </c>
    </row>
    <row r="27" spans="1:13" x14ac:dyDescent="0.25">
      <c r="A27" s="14" t="s">
        <v>1</v>
      </c>
      <c r="B27" s="65" t="s">
        <v>121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 spans="1:13" x14ac:dyDescent="0.25">
      <c r="A28" s="14" t="s">
        <v>2</v>
      </c>
      <c r="B28" s="65" t="s">
        <v>122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13" x14ac:dyDescent="0.25">
      <c r="A29" s="14" t="s">
        <v>3</v>
      </c>
      <c r="B29" s="65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 spans="1:13" x14ac:dyDescent="0.25">
      <c r="A30" s="14" t="s">
        <v>4</v>
      </c>
      <c r="B30" s="65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13" x14ac:dyDescent="0.25">
      <c r="A31" s="14" t="s">
        <v>5</v>
      </c>
      <c r="B31" s="65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x14ac:dyDescent="0.25">
      <c r="A32" s="14" t="s">
        <v>6</v>
      </c>
      <c r="B32" s="65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1:14" x14ac:dyDescent="0.25">
      <c r="A33" s="14" t="s">
        <v>7</v>
      </c>
      <c r="B33" s="65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 spans="1:14" x14ac:dyDescent="0.25">
      <c r="A34" s="14" t="s">
        <v>8</v>
      </c>
      <c r="B34" s="65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6" spans="1:14" x14ac:dyDescent="0.25">
      <c r="A36" s="4"/>
      <c r="B36" s="88" t="s">
        <v>157</v>
      </c>
    </row>
    <row r="37" spans="1:14" ht="15.75" thickBot="1" x14ac:dyDescent="0.3">
      <c r="A37" s="69" t="s">
        <v>112</v>
      </c>
      <c r="B37" s="69" t="s">
        <v>113</v>
      </c>
      <c r="E37" s="55" t="s">
        <v>145</v>
      </c>
      <c r="F37" s="56"/>
    </row>
    <row r="38" spans="1:14" ht="15.75" thickBot="1" x14ac:dyDescent="0.3">
      <c r="A38" s="70" t="s">
        <v>149</v>
      </c>
      <c r="B38" s="71">
        <v>10</v>
      </c>
      <c r="E38" s="59" t="s">
        <v>144</v>
      </c>
      <c r="F38" s="60">
        <v>1</v>
      </c>
    </row>
    <row r="39" spans="1:14" x14ac:dyDescent="0.25">
      <c r="A39" s="70" t="s">
        <v>151</v>
      </c>
      <c r="B39" s="72">
        <f>B38*2</f>
        <v>20</v>
      </c>
      <c r="C39" s="81" t="s">
        <v>154</v>
      </c>
      <c r="E39" s="91" t="s">
        <v>146</v>
      </c>
      <c r="F39" s="58">
        <f>F43/2</f>
        <v>25</v>
      </c>
    </row>
    <row r="40" spans="1:14" x14ac:dyDescent="0.25">
      <c r="A40" s="70" t="s">
        <v>150</v>
      </c>
      <c r="B40" s="80">
        <f>F42/F38</f>
        <v>40</v>
      </c>
      <c r="C40" s="81" t="s">
        <v>154</v>
      </c>
      <c r="E40" s="91" t="s">
        <v>148</v>
      </c>
      <c r="F40" s="58">
        <f>F43/20</f>
        <v>2.5</v>
      </c>
    </row>
    <row r="41" spans="1:14" ht="15.75" thickBot="1" x14ac:dyDescent="0.3">
      <c r="A41" s="70" t="s">
        <v>155</v>
      </c>
      <c r="B41" s="71">
        <v>5</v>
      </c>
      <c r="C41" t="str">
        <f t="shared" ref="C41:C42" si="0">IF(B41,"","&lt;-- Value missing")</f>
        <v/>
      </c>
      <c r="E41" s="57" t="s">
        <v>124</v>
      </c>
      <c r="F41" s="61">
        <f>B45-F39-F40-B41-B42</f>
        <v>12.5</v>
      </c>
    </row>
    <row r="42" spans="1:14" ht="15.75" thickBot="1" x14ac:dyDescent="0.3">
      <c r="A42" s="70" t="s">
        <v>156</v>
      </c>
      <c r="B42" s="71">
        <v>5</v>
      </c>
      <c r="C42" t="str">
        <f t="shared" si="0"/>
        <v/>
      </c>
      <c r="E42" s="57" t="s">
        <v>158</v>
      </c>
      <c r="F42" s="61">
        <f>SUM(F39:F41)</f>
        <v>40</v>
      </c>
    </row>
    <row r="43" spans="1:14" x14ac:dyDescent="0.25">
      <c r="A43" s="70" t="s">
        <v>142</v>
      </c>
      <c r="B43" s="71"/>
      <c r="C43" s="73" t="s">
        <v>153</v>
      </c>
      <c r="E43" s="91" t="s">
        <v>147</v>
      </c>
      <c r="F43" s="58">
        <f>B45</f>
        <v>50</v>
      </c>
      <c r="G43" s="73" t="s">
        <v>159</v>
      </c>
    </row>
    <row r="44" spans="1:14" x14ac:dyDescent="0.25">
      <c r="A44" s="70" t="s">
        <v>143</v>
      </c>
      <c r="B44" s="71"/>
      <c r="F44" s="89"/>
      <c r="G44" s="90"/>
      <c r="N44" s="11"/>
    </row>
    <row r="45" spans="1:14" x14ac:dyDescent="0.25">
      <c r="A45" s="70" t="s">
        <v>147</v>
      </c>
      <c r="B45" s="71">
        <v>50</v>
      </c>
      <c r="C45" t="str">
        <f t="shared" ref="C45" si="1">IF(B45,"","&lt;-- Value missing")</f>
        <v/>
      </c>
    </row>
    <row r="49" spans="4:13" x14ac:dyDescent="0.25">
      <c r="D49" s="12"/>
      <c r="E49" s="10"/>
      <c r="F49" s="10"/>
      <c r="G49" s="10"/>
      <c r="H49" s="10"/>
      <c r="I49" s="10"/>
      <c r="J49" s="10"/>
      <c r="K49" s="11"/>
      <c r="L49" s="11"/>
    </row>
    <row r="50" spans="4:13" x14ac:dyDescent="0.25">
      <c r="F50" s="12"/>
      <c r="G50" s="10"/>
      <c r="H50" s="10"/>
      <c r="I50" s="10"/>
      <c r="J50" s="10"/>
      <c r="K50" s="10"/>
      <c r="L50" s="10"/>
      <c r="M50" s="11"/>
    </row>
  </sheetData>
  <conditionalFormatting sqref="C41:C42">
    <cfRule type="expression" dxfId="1" priority="2">
      <formula>C41="&lt;-- Value missing"</formula>
    </cfRule>
  </conditionalFormatting>
  <conditionalFormatting sqref="C45">
    <cfRule type="expression" dxfId="0" priority="1">
      <formula>C45="&lt;-- Value missing"</formula>
    </cfRule>
  </conditionalFormatting>
  <pageMargins left="0.7" right="0.7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G98"/>
  <sheetViews>
    <sheetView workbookViewId="0">
      <selection activeCell="J74" sqref="J74"/>
    </sheetView>
  </sheetViews>
  <sheetFormatPr baseColWidth="10" defaultRowHeight="15" x14ac:dyDescent="0.25"/>
  <cols>
    <col min="1" max="1" width="9.5703125" style="1" bestFit="1" customWidth="1"/>
    <col min="3" max="5" width="21.42578125" style="54" customWidth="1"/>
    <col min="6" max="7" width="21.42578125" customWidth="1"/>
  </cols>
  <sheetData>
    <row r="1" spans="1:7" ht="15.75" thickBot="1" x14ac:dyDescent="0.3">
      <c r="A1" s="47" t="s">
        <v>115</v>
      </c>
      <c r="B1" s="36" t="s">
        <v>9</v>
      </c>
      <c r="C1" s="48" t="s">
        <v>138</v>
      </c>
      <c r="D1" s="48" t="s">
        <v>117</v>
      </c>
      <c r="E1" s="48" t="s">
        <v>118</v>
      </c>
      <c r="F1" s="82"/>
      <c r="G1" s="82"/>
    </row>
    <row r="2" spans="1:7" x14ac:dyDescent="0.25">
      <c r="A2" s="44">
        <v>1</v>
      </c>
      <c r="B2" s="25" t="s">
        <v>10</v>
      </c>
      <c r="C2" s="49" t="s">
        <v>129</v>
      </c>
      <c r="D2" s="49" t="s">
        <v>125</v>
      </c>
      <c r="E2" s="49" t="s">
        <v>126</v>
      </c>
      <c r="F2" s="83"/>
      <c r="G2" s="83"/>
    </row>
    <row r="3" spans="1:7" x14ac:dyDescent="0.25">
      <c r="A3" s="19">
        <v>2</v>
      </c>
      <c r="B3" s="23" t="s">
        <v>11</v>
      </c>
      <c r="C3" s="50" t="s">
        <v>130</v>
      </c>
      <c r="D3" s="50" t="s">
        <v>127</v>
      </c>
      <c r="E3" s="50" t="s">
        <v>128</v>
      </c>
      <c r="F3" s="84"/>
      <c r="G3" s="84"/>
    </row>
    <row r="4" spans="1:7" x14ac:dyDescent="0.25">
      <c r="A4" s="19">
        <v>3</v>
      </c>
      <c r="B4" s="23" t="s">
        <v>12</v>
      </c>
      <c r="C4" s="50"/>
      <c r="D4" s="50"/>
      <c r="E4" s="50"/>
      <c r="F4" s="84"/>
      <c r="G4" s="84"/>
    </row>
    <row r="5" spans="1:7" x14ac:dyDescent="0.25">
      <c r="A5" s="19">
        <v>4</v>
      </c>
      <c r="B5" s="23" t="s">
        <v>13</v>
      </c>
      <c r="C5" s="50"/>
      <c r="D5" s="50"/>
      <c r="E5" s="50"/>
      <c r="F5" s="84"/>
      <c r="G5" s="84"/>
    </row>
    <row r="6" spans="1:7" x14ac:dyDescent="0.25">
      <c r="A6" s="19">
        <v>5</v>
      </c>
      <c r="B6" s="23" t="s">
        <v>14</v>
      </c>
      <c r="C6" s="50"/>
      <c r="D6" s="50"/>
      <c r="E6" s="50"/>
      <c r="F6" s="84"/>
      <c r="G6" s="84"/>
    </row>
    <row r="7" spans="1:7" x14ac:dyDescent="0.25">
      <c r="A7" s="19">
        <v>6</v>
      </c>
      <c r="B7" s="23" t="s">
        <v>15</v>
      </c>
      <c r="C7" s="50"/>
      <c r="D7" s="50"/>
      <c r="E7" s="50"/>
      <c r="F7" s="84"/>
      <c r="G7" s="84"/>
    </row>
    <row r="8" spans="1:7" x14ac:dyDescent="0.25">
      <c r="A8" s="19">
        <v>7</v>
      </c>
      <c r="B8" s="23" t="s">
        <v>16</v>
      </c>
      <c r="C8" s="50"/>
      <c r="D8" s="50"/>
      <c r="E8" s="50"/>
      <c r="F8" s="84"/>
      <c r="G8" s="84"/>
    </row>
    <row r="9" spans="1:7" ht="15.75" thickBot="1" x14ac:dyDescent="0.3">
      <c r="A9" s="20">
        <v>8</v>
      </c>
      <c r="B9" s="24" t="s">
        <v>17</v>
      </c>
      <c r="C9" s="51"/>
      <c r="D9" s="51"/>
      <c r="E9" s="51"/>
      <c r="F9" s="85"/>
      <c r="G9" s="85"/>
    </row>
    <row r="10" spans="1:7" x14ac:dyDescent="0.25">
      <c r="A10" s="18">
        <v>9</v>
      </c>
      <c r="B10" s="45" t="s">
        <v>18</v>
      </c>
      <c r="C10" s="49"/>
      <c r="D10" s="49"/>
      <c r="E10" s="49"/>
      <c r="F10" s="83"/>
      <c r="G10" s="83"/>
    </row>
    <row r="11" spans="1:7" x14ac:dyDescent="0.25">
      <c r="A11" s="19">
        <v>10</v>
      </c>
      <c r="B11" s="1" t="s">
        <v>19</v>
      </c>
      <c r="C11" s="50"/>
      <c r="D11" s="50"/>
      <c r="E11" s="50"/>
      <c r="F11" s="84"/>
      <c r="G11" s="84"/>
    </row>
    <row r="12" spans="1:7" x14ac:dyDescent="0.25">
      <c r="A12" s="19">
        <v>11</v>
      </c>
      <c r="B12" s="1" t="s">
        <v>20</v>
      </c>
      <c r="C12" s="50"/>
      <c r="D12" s="50"/>
      <c r="E12" s="50"/>
      <c r="F12" s="84"/>
      <c r="G12" s="84"/>
    </row>
    <row r="13" spans="1:7" x14ac:dyDescent="0.25">
      <c r="A13" s="19">
        <v>12</v>
      </c>
      <c r="B13" s="1" t="s">
        <v>21</v>
      </c>
      <c r="C13" s="50"/>
      <c r="D13" s="50"/>
      <c r="E13" s="50"/>
      <c r="F13" s="84"/>
      <c r="G13" s="84"/>
    </row>
    <row r="14" spans="1:7" x14ac:dyDescent="0.25">
      <c r="A14" s="19">
        <v>13</v>
      </c>
      <c r="B14" s="1" t="s">
        <v>22</v>
      </c>
      <c r="C14" s="50"/>
      <c r="D14" s="50"/>
      <c r="E14" s="50"/>
      <c r="F14" s="84"/>
      <c r="G14" s="84"/>
    </row>
    <row r="15" spans="1:7" x14ac:dyDescent="0.25">
      <c r="A15" s="19">
        <v>14</v>
      </c>
      <c r="B15" s="1" t="s">
        <v>23</v>
      </c>
      <c r="C15" s="50"/>
      <c r="D15" s="50"/>
      <c r="E15" s="50"/>
      <c r="F15" s="84"/>
      <c r="G15" s="84"/>
    </row>
    <row r="16" spans="1:7" x14ac:dyDescent="0.25">
      <c r="A16" s="19">
        <v>15</v>
      </c>
      <c r="B16" s="1" t="s">
        <v>24</v>
      </c>
      <c r="C16" s="50"/>
      <c r="D16" s="50"/>
      <c r="E16" s="50"/>
      <c r="F16" s="84"/>
      <c r="G16" s="84"/>
    </row>
    <row r="17" spans="1:7" ht="15.75" thickBot="1" x14ac:dyDescent="0.3">
      <c r="A17" s="20">
        <v>16</v>
      </c>
      <c r="B17" s="46" t="s">
        <v>25</v>
      </c>
      <c r="C17" s="51"/>
      <c r="D17" s="51"/>
      <c r="E17" s="51"/>
      <c r="F17" s="85"/>
      <c r="G17" s="85"/>
    </row>
    <row r="18" spans="1:7" x14ac:dyDescent="0.25">
      <c r="A18" s="18">
        <v>17</v>
      </c>
      <c r="B18" s="45" t="s">
        <v>26</v>
      </c>
      <c r="C18" s="49"/>
      <c r="D18" s="49"/>
      <c r="E18" s="49"/>
      <c r="F18" s="83"/>
      <c r="G18" s="83"/>
    </row>
    <row r="19" spans="1:7" x14ac:dyDescent="0.25">
      <c r="A19" s="19">
        <v>18</v>
      </c>
      <c r="B19" s="1" t="s">
        <v>27</v>
      </c>
      <c r="C19" s="50"/>
      <c r="D19" s="50"/>
      <c r="E19" s="50"/>
      <c r="F19" s="84"/>
      <c r="G19" s="84"/>
    </row>
    <row r="20" spans="1:7" x14ac:dyDescent="0.25">
      <c r="A20" s="19">
        <v>19</v>
      </c>
      <c r="B20" s="1" t="s">
        <v>28</v>
      </c>
      <c r="C20" s="50"/>
      <c r="D20" s="50"/>
      <c r="E20" s="50"/>
      <c r="F20" s="84"/>
      <c r="G20" s="84"/>
    </row>
    <row r="21" spans="1:7" x14ac:dyDescent="0.25">
      <c r="A21" s="19">
        <v>20</v>
      </c>
      <c r="B21" s="1" t="s">
        <v>29</v>
      </c>
      <c r="C21" s="50"/>
      <c r="D21" s="50"/>
      <c r="E21" s="50"/>
      <c r="F21" s="84"/>
      <c r="G21" s="84"/>
    </row>
    <row r="22" spans="1:7" x14ac:dyDescent="0.25">
      <c r="A22" s="19">
        <v>21</v>
      </c>
      <c r="B22" s="1" t="s">
        <v>30</v>
      </c>
      <c r="C22" s="50"/>
      <c r="D22" s="50"/>
      <c r="E22" s="50"/>
      <c r="F22" s="84"/>
      <c r="G22" s="84"/>
    </row>
    <row r="23" spans="1:7" x14ac:dyDescent="0.25">
      <c r="A23" s="19">
        <v>22</v>
      </c>
      <c r="B23" s="1" t="s">
        <v>31</v>
      </c>
      <c r="C23" s="50"/>
      <c r="D23" s="50"/>
      <c r="E23" s="50"/>
      <c r="F23" s="84"/>
      <c r="G23" s="84"/>
    </row>
    <row r="24" spans="1:7" x14ac:dyDescent="0.25">
      <c r="A24" s="19">
        <v>23</v>
      </c>
      <c r="B24" s="1" t="s">
        <v>32</v>
      </c>
      <c r="C24" s="50"/>
      <c r="D24" s="50"/>
      <c r="E24" s="50"/>
      <c r="F24" s="84"/>
      <c r="G24" s="84"/>
    </row>
    <row r="25" spans="1:7" ht="15.75" thickBot="1" x14ac:dyDescent="0.3">
      <c r="A25" s="20">
        <v>24</v>
      </c>
      <c r="B25" s="46" t="s">
        <v>33</v>
      </c>
      <c r="C25" s="51"/>
      <c r="D25" s="51"/>
      <c r="E25" s="51"/>
      <c r="F25" s="85"/>
      <c r="G25" s="85"/>
    </row>
    <row r="26" spans="1:7" x14ac:dyDescent="0.25">
      <c r="A26" s="18">
        <v>25</v>
      </c>
      <c r="B26" s="45" t="s">
        <v>34</v>
      </c>
      <c r="C26" s="49"/>
      <c r="D26" s="49"/>
      <c r="E26" s="49"/>
      <c r="F26" s="83"/>
      <c r="G26" s="83"/>
    </row>
    <row r="27" spans="1:7" x14ac:dyDescent="0.25">
      <c r="A27" s="19">
        <v>26</v>
      </c>
      <c r="B27" s="1" t="s">
        <v>35</v>
      </c>
      <c r="C27" s="50"/>
      <c r="D27" s="50"/>
      <c r="E27" s="50"/>
      <c r="F27" s="84"/>
      <c r="G27" s="84"/>
    </row>
    <row r="28" spans="1:7" x14ac:dyDescent="0.25">
      <c r="A28" s="19">
        <v>27</v>
      </c>
      <c r="B28" s="1" t="s">
        <v>36</v>
      </c>
      <c r="C28" s="50"/>
      <c r="D28" s="50"/>
      <c r="E28" s="50"/>
      <c r="F28" s="84"/>
      <c r="G28" s="84"/>
    </row>
    <row r="29" spans="1:7" x14ac:dyDescent="0.25">
      <c r="A29" s="19">
        <v>28</v>
      </c>
      <c r="B29" s="1" t="s">
        <v>37</v>
      </c>
      <c r="C29" s="50"/>
      <c r="D29" s="50"/>
      <c r="E29" s="50"/>
      <c r="F29" s="84"/>
      <c r="G29" s="84"/>
    </row>
    <row r="30" spans="1:7" x14ac:dyDescent="0.25">
      <c r="A30" s="19">
        <v>29</v>
      </c>
      <c r="B30" s="1" t="s">
        <v>38</v>
      </c>
      <c r="C30" s="50"/>
      <c r="D30" s="50"/>
      <c r="E30" s="50"/>
      <c r="F30" s="84"/>
      <c r="G30" s="84"/>
    </row>
    <row r="31" spans="1:7" x14ac:dyDescent="0.25">
      <c r="A31" s="19">
        <v>30</v>
      </c>
      <c r="B31" s="1" t="s">
        <v>39</v>
      </c>
      <c r="C31" s="50"/>
      <c r="D31" s="50"/>
      <c r="E31" s="50"/>
      <c r="F31" s="84"/>
      <c r="G31" s="84"/>
    </row>
    <row r="32" spans="1:7" x14ac:dyDescent="0.25">
      <c r="A32" s="19">
        <v>31</v>
      </c>
      <c r="B32" s="1" t="s">
        <v>40</v>
      </c>
      <c r="C32" s="50"/>
      <c r="D32" s="50"/>
      <c r="E32" s="50"/>
      <c r="F32" s="84"/>
      <c r="G32" s="84"/>
    </row>
    <row r="33" spans="1:7" ht="15.75" thickBot="1" x14ac:dyDescent="0.3">
      <c r="A33" s="20">
        <v>32</v>
      </c>
      <c r="B33" s="46" t="s">
        <v>41</v>
      </c>
      <c r="C33" s="51"/>
      <c r="D33" s="51"/>
      <c r="E33" s="51"/>
      <c r="F33" s="85"/>
      <c r="G33" s="85"/>
    </row>
    <row r="34" spans="1:7" x14ac:dyDescent="0.25">
      <c r="A34" s="18">
        <v>33</v>
      </c>
      <c r="B34" s="45" t="s">
        <v>42</v>
      </c>
      <c r="C34" s="49"/>
      <c r="D34" s="49"/>
      <c r="E34" s="49"/>
      <c r="F34" s="83"/>
      <c r="G34" s="83"/>
    </row>
    <row r="35" spans="1:7" x14ac:dyDescent="0.25">
      <c r="A35" s="19">
        <v>34</v>
      </c>
      <c r="B35" s="1" t="s">
        <v>43</v>
      </c>
      <c r="C35" s="50"/>
      <c r="D35" s="50"/>
      <c r="E35" s="50"/>
      <c r="F35" s="84"/>
      <c r="G35" s="84"/>
    </row>
    <row r="36" spans="1:7" x14ac:dyDescent="0.25">
      <c r="A36" s="19">
        <v>35</v>
      </c>
      <c r="B36" s="1" t="s">
        <v>44</v>
      </c>
      <c r="C36" s="50"/>
      <c r="D36" s="50"/>
      <c r="E36" s="50"/>
      <c r="F36" s="84"/>
      <c r="G36" s="84"/>
    </row>
    <row r="37" spans="1:7" x14ac:dyDescent="0.25">
      <c r="A37" s="19">
        <v>36</v>
      </c>
      <c r="B37" s="1" t="s">
        <v>45</v>
      </c>
      <c r="C37" s="50"/>
      <c r="D37" s="50"/>
      <c r="E37" s="50"/>
      <c r="F37" s="84"/>
      <c r="G37" s="84"/>
    </row>
    <row r="38" spans="1:7" x14ac:dyDescent="0.25">
      <c r="A38" s="19">
        <v>37</v>
      </c>
      <c r="B38" s="1" t="s">
        <v>46</v>
      </c>
      <c r="C38" s="50"/>
      <c r="D38" s="50"/>
      <c r="E38" s="50"/>
      <c r="F38" s="84"/>
      <c r="G38" s="84"/>
    </row>
    <row r="39" spans="1:7" x14ac:dyDescent="0.25">
      <c r="A39" s="19">
        <v>38</v>
      </c>
      <c r="B39" s="1" t="s">
        <v>47</v>
      </c>
      <c r="C39" s="50"/>
      <c r="D39" s="50"/>
      <c r="E39" s="50"/>
      <c r="F39" s="84"/>
      <c r="G39" s="84"/>
    </row>
    <row r="40" spans="1:7" x14ac:dyDescent="0.25">
      <c r="A40" s="19">
        <v>39</v>
      </c>
      <c r="B40" s="1" t="s">
        <v>48</v>
      </c>
      <c r="C40" s="50"/>
      <c r="D40" s="50"/>
      <c r="E40" s="50"/>
      <c r="F40" s="84"/>
      <c r="G40" s="84"/>
    </row>
    <row r="41" spans="1:7" ht="15.75" thickBot="1" x14ac:dyDescent="0.3">
      <c r="A41" s="20">
        <v>40</v>
      </c>
      <c r="B41" s="46" t="s">
        <v>49</v>
      </c>
      <c r="C41" s="51"/>
      <c r="D41" s="51"/>
      <c r="E41" s="51"/>
      <c r="F41" s="85"/>
      <c r="G41" s="85"/>
    </row>
    <row r="42" spans="1:7" x14ac:dyDescent="0.25">
      <c r="A42" s="18">
        <v>41</v>
      </c>
      <c r="B42" s="45" t="s">
        <v>50</v>
      </c>
      <c r="C42" s="49"/>
      <c r="D42" s="49"/>
      <c r="E42" s="49"/>
      <c r="F42" s="83"/>
      <c r="G42" s="83"/>
    </row>
    <row r="43" spans="1:7" x14ac:dyDescent="0.25">
      <c r="A43" s="19">
        <v>42</v>
      </c>
      <c r="B43" s="1" t="s">
        <v>51</v>
      </c>
      <c r="C43" s="50"/>
      <c r="D43" s="50"/>
      <c r="E43" s="50"/>
      <c r="F43" s="84"/>
      <c r="G43" s="84"/>
    </row>
    <row r="44" spans="1:7" x14ac:dyDescent="0.25">
      <c r="A44" s="19">
        <v>43</v>
      </c>
      <c r="B44" s="1" t="s">
        <v>52</v>
      </c>
      <c r="C44" s="50"/>
      <c r="D44" s="50"/>
      <c r="E44" s="50"/>
      <c r="F44" s="84"/>
      <c r="G44" s="84"/>
    </row>
    <row r="45" spans="1:7" x14ac:dyDescent="0.25">
      <c r="A45" s="19">
        <v>44</v>
      </c>
      <c r="B45" s="1" t="s">
        <v>53</v>
      </c>
      <c r="C45" s="50"/>
      <c r="D45" s="50"/>
      <c r="E45" s="50"/>
      <c r="F45" s="84"/>
      <c r="G45" s="84"/>
    </row>
    <row r="46" spans="1:7" x14ac:dyDescent="0.25">
      <c r="A46" s="19">
        <v>45</v>
      </c>
      <c r="B46" s="1" t="s">
        <v>54</v>
      </c>
      <c r="C46" s="50"/>
      <c r="D46" s="50"/>
      <c r="E46" s="50"/>
      <c r="F46" s="84"/>
      <c r="G46" s="84"/>
    </row>
    <row r="47" spans="1:7" x14ac:dyDescent="0.25">
      <c r="A47" s="19">
        <v>46</v>
      </c>
      <c r="B47" s="1" t="s">
        <v>55</v>
      </c>
      <c r="C47" s="50"/>
      <c r="D47" s="50"/>
      <c r="E47" s="50"/>
      <c r="F47" s="84"/>
      <c r="G47" s="84"/>
    </row>
    <row r="48" spans="1:7" x14ac:dyDescent="0.25">
      <c r="A48" s="19">
        <v>47</v>
      </c>
      <c r="B48" s="1" t="s">
        <v>56</v>
      </c>
      <c r="C48" s="50"/>
      <c r="D48" s="50"/>
      <c r="E48" s="50"/>
      <c r="F48" s="84"/>
      <c r="G48" s="84"/>
    </row>
    <row r="49" spans="1:7" ht="15.75" thickBot="1" x14ac:dyDescent="0.3">
      <c r="A49" s="20">
        <v>48</v>
      </c>
      <c r="B49" s="46" t="s">
        <v>57</v>
      </c>
      <c r="C49" s="52"/>
      <c r="D49" s="52"/>
      <c r="E49" s="52"/>
      <c r="F49" s="86"/>
      <c r="G49" s="86"/>
    </row>
    <row r="50" spans="1:7" x14ac:dyDescent="0.25">
      <c r="A50" s="18">
        <v>49</v>
      </c>
      <c r="B50" s="39" t="s">
        <v>58</v>
      </c>
      <c r="C50" s="49"/>
      <c r="D50" s="49"/>
      <c r="E50" s="49"/>
      <c r="F50" s="83"/>
      <c r="G50" s="83"/>
    </row>
    <row r="51" spans="1:7" x14ac:dyDescent="0.25">
      <c r="A51" s="19">
        <v>50</v>
      </c>
      <c r="B51" s="23" t="s">
        <v>59</v>
      </c>
      <c r="C51" s="50"/>
      <c r="D51" s="50"/>
      <c r="E51" s="50"/>
      <c r="F51" s="84"/>
      <c r="G51" s="84"/>
    </row>
    <row r="52" spans="1:7" x14ac:dyDescent="0.25">
      <c r="A52" s="19">
        <v>51</v>
      </c>
      <c r="B52" s="23" t="s">
        <v>60</v>
      </c>
      <c r="C52" s="50"/>
      <c r="D52" s="50"/>
      <c r="E52" s="50"/>
      <c r="F52" s="84"/>
      <c r="G52" s="84"/>
    </row>
    <row r="53" spans="1:7" x14ac:dyDescent="0.25">
      <c r="A53" s="19">
        <v>52</v>
      </c>
      <c r="B53" s="23" t="s">
        <v>61</v>
      </c>
      <c r="C53" s="50"/>
      <c r="D53" s="50"/>
      <c r="E53" s="50"/>
      <c r="F53" s="84"/>
      <c r="G53" s="84"/>
    </row>
    <row r="54" spans="1:7" x14ac:dyDescent="0.25">
      <c r="A54" s="19">
        <v>53</v>
      </c>
      <c r="B54" s="23" t="s">
        <v>62</v>
      </c>
      <c r="C54" s="50"/>
      <c r="D54" s="50"/>
      <c r="E54" s="50"/>
      <c r="F54" s="84"/>
      <c r="G54" s="84"/>
    </row>
    <row r="55" spans="1:7" x14ac:dyDescent="0.25">
      <c r="A55" s="19">
        <v>54</v>
      </c>
      <c r="B55" s="23" t="s">
        <v>63</v>
      </c>
      <c r="C55" s="50"/>
      <c r="D55" s="50"/>
      <c r="E55" s="50"/>
      <c r="F55" s="84"/>
      <c r="G55" s="84"/>
    </row>
    <row r="56" spans="1:7" x14ac:dyDescent="0.25">
      <c r="A56" s="19">
        <v>55</v>
      </c>
      <c r="B56" s="23" t="s">
        <v>64</v>
      </c>
      <c r="C56" s="50"/>
      <c r="D56" s="50"/>
      <c r="E56" s="50"/>
      <c r="F56" s="84"/>
      <c r="G56" s="84"/>
    </row>
    <row r="57" spans="1:7" ht="15.75" thickBot="1" x14ac:dyDescent="0.3">
      <c r="A57" s="20">
        <v>56</v>
      </c>
      <c r="B57" s="24" t="s">
        <v>65</v>
      </c>
      <c r="C57" s="51"/>
      <c r="D57" s="51"/>
      <c r="E57" s="51"/>
      <c r="F57" s="85"/>
      <c r="G57" s="85"/>
    </row>
    <row r="58" spans="1:7" x14ac:dyDescent="0.25">
      <c r="A58" s="18">
        <v>57</v>
      </c>
      <c r="B58" s="45" t="s">
        <v>69</v>
      </c>
      <c r="C58" s="49"/>
      <c r="D58" s="49"/>
      <c r="E58" s="49"/>
      <c r="F58" s="83"/>
      <c r="G58" s="83"/>
    </row>
    <row r="59" spans="1:7" x14ac:dyDescent="0.25">
      <c r="A59" s="19">
        <v>58</v>
      </c>
      <c r="B59" s="1" t="s">
        <v>70</v>
      </c>
      <c r="C59" s="50"/>
      <c r="D59" s="50"/>
      <c r="E59" s="50"/>
      <c r="F59" s="84"/>
      <c r="G59" s="84"/>
    </row>
    <row r="60" spans="1:7" x14ac:dyDescent="0.25">
      <c r="A60" s="19">
        <v>59</v>
      </c>
      <c r="B60" s="1" t="s">
        <v>71</v>
      </c>
      <c r="C60" s="50"/>
      <c r="D60" s="50"/>
      <c r="E60" s="50"/>
      <c r="F60" s="84"/>
      <c r="G60" s="84"/>
    </row>
    <row r="61" spans="1:7" x14ac:dyDescent="0.25">
      <c r="A61" s="19">
        <v>60</v>
      </c>
      <c r="B61" s="1" t="s">
        <v>72</v>
      </c>
      <c r="C61" s="50"/>
      <c r="D61" s="50"/>
      <c r="E61" s="50"/>
      <c r="F61" s="84"/>
      <c r="G61" s="84"/>
    </row>
    <row r="62" spans="1:7" x14ac:dyDescent="0.25">
      <c r="A62" s="19">
        <v>61</v>
      </c>
      <c r="B62" s="1" t="s">
        <v>73</v>
      </c>
      <c r="C62" s="50"/>
      <c r="D62" s="50"/>
      <c r="E62" s="50"/>
      <c r="F62" s="84"/>
      <c r="G62" s="84"/>
    </row>
    <row r="63" spans="1:7" x14ac:dyDescent="0.25">
      <c r="A63" s="19">
        <v>62</v>
      </c>
      <c r="B63" s="1" t="s">
        <v>74</v>
      </c>
      <c r="C63" s="50"/>
      <c r="D63" s="50"/>
      <c r="E63" s="50"/>
      <c r="F63" s="84"/>
      <c r="G63" s="84"/>
    </row>
    <row r="64" spans="1:7" x14ac:dyDescent="0.25">
      <c r="A64" s="19">
        <v>63</v>
      </c>
      <c r="B64" s="1" t="s">
        <v>75</v>
      </c>
      <c r="C64" s="50"/>
      <c r="D64" s="50"/>
      <c r="E64" s="50"/>
      <c r="F64" s="84"/>
      <c r="G64" s="84"/>
    </row>
    <row r="65" spans="1:7" ht="15.75" thickBot="1" x14ac:dyDescent="0.3">
      <c r="A65" s="20">
        <v>64</v>
      </c>
      <c r="B65" s="46" t="s">
        <v>76</v>
      </c>
      <c r="C65" s="51"/>
      <c r="D65" s="51"/>
      <c r="E65" s="51"/>
      <c r="F65" s="85"/>
      <c r="G65" s="85"/>
    </row>
    <row r="66" spans="1:7" x14ac:dyDescent="0.25">
      <c r="A66" s="18">
        <v>65</v>
      </c>
      <c r="B66" s="45" t="s">
        <v>77</v>
      </c>
      <c r="C66" s="49"/>
      <c r="D66" s="49"/>
      <c r="E66" s="49"/>
      <c r="F66" s="83"/>
      <c r="G66" s="83"/>
    </row>
    <row r="67" spans="1:7" x14ac:dyDescent="0.25">
      <c r="A67" s="19">
        <v>66</v>
      </c>
      <c r="B67" s="1" t="s">
        <v>78</v>
      </c>
      <c r="C67" s="50"/>
      <c r="D67" s="50"/>
      <c r="E67" s="50"/>
      <c r="F67" s="84"/>
      <c r="G67" s="84"/>
    </row>
    <row r="68" spans="1:7" x14ac:dyDescent="0.25">
      <c r="A68" s="19">
        <v>67</v>
      </c>
      <c r="B68" s="1" t="s">
        <v>79</v>
      </c>
      <c r="C68" s="50"/>
      <c r="D68" s="50"/>
      <c r="E68" s="50"/>
      <c r="F68" s="84"/>
      <c r="G68" s="84"/>
    </row>
    <row r="69" spans="1:7" x14ac:dyDescent="0.25">
      <c r="A69" s="19">
        <v>68</v>
      </c>
      <c r="B69" s="1" t="s">
        <v>80</v>
      </c>
      <c r="C69" s="50"/>
      <c r="D69" s="50"/>
      <c r="E69" s="50"/>
      <c r="F69" s="84"/>
      <c r="G69" s="84"/>
    </row>
    <row r="70" spans="1:7" x14ac:dyDescent="0.25">
      <c r="A70" s="19">
        <v>69</v>
      </c>
      <c r="B70" s="1" t="s">
        <v>81</v>
      </c>
      <c r="C70" s="50"/>
      <c r="D70" s="50"/>
      <c r="E70" s="50"/>
      <c r="F70" s="84"/>
      <c r="G70" s="84"/>
    </row>
    <row r="71" spans="1:7" x14ac:dyDescent="0.25">
      <c r="A71" s="19">
        <v>70</v>
      </c>
      <c r="B71" s="1" t="s">
        <v>82</v>
      </c>
      <c r="C71" s="50"/>
      <c r="D71" s="50"/>
      <c r="E71" s="50"/>
      <c r="F71" s="84"/>
      <c r="G71" s="84"/>
    </row>
    <row r="72" spans="1:7" x14ac:dyDescent="0.25">
      <c r="A72" s="19">
        <v>71</v>
      </c>
      <c r="B72" s="1" t="s">
        <v>83</v>
      </c>
      <c r="C72" s="50"/>
      <c r="D72" s="50"/>
      <c r="E72" s="50"/>
      <c r="F72" s="84"/>
      <c r="G72" s="84"/>
    </row>
    <row r="73" spans="1:7" ht="15.75" thickBot="1" x14ac:dyDescent="0.3">
      <c r="A73" s="20">
        <v>72</v>
      </c>
      <c r="B73" s="46" t="s">
        <v>84</v>
      </c>
      <c r="C73" s="51"/>
      <c r="D73" s="51"/>
      <c r="E73" s="51"/>
      <c r="F73" s="85"/>
      <c r="G73" s="85"/>
    </row>
    <row r="74" spans="1:7" x14ac:dyDescent="0.25">
      <c r="A74" s="18">
        <v>73</v>
      </c>
      <c r="B74" s="45" t="s">
        <v>85</v>
      </c>
      <c r="C74" s="49"/>
      <c r="D74" s="49"/>
      <c r="E74" s="49"/>
      <c r="F74" s="83"/>
      <c r="G74" s="83"/>
    </row>
    <row r="75" spans="1:7" x14ac:dyDescent="0.25">
      <c r="A75" s="19">
        <v>74</v>
      </c>
      <c r="B75" s="1" t="s">
        <v>86</v>
      </c>
      <c r="C75" s="50"/>
      <c r="D75" s="50"/>
      <c r="E75" s="50"/>
      <c r="F75" s="84"/>
      <c r="G75" s="84"/>
    </row>
    <row r="76" spans="1:7" x14ac:dyDescent="0.25">
      <c r="A76" s="19">
        <v>75</v>
      </c>
      <c r="B76" s="1" t="s">
        <v>87</v>
      </c>
      <c r="C76" s="50"/>
      <c r="D76" s="50"/>
      <c r="E76" s="50"/>
      <c r="F76" s="84"/>
      <c r="G76" s="84"/>
    </row>
    <row r="77" spans="1:7" x14ac:dyDescent="0.25">
      <c r="A77" s="19">
        <v>76</v>
      </c>
      <c r="B77" s="1" t="s">
        <v>88</v>
      </c>
      <c r="C77" s="50"/>
      <c r="D77" s="50"/>
      <c r="E77" s="50"/>
      <c r="F77" s="84"/>
      <c r="G77" s="84"/>
    </row>
    <row r="78" spans="1:7" x14ac:dyDescent="0.25">
      <c r="A78" s="19">
        <v>77</v>
      </c>
      <c r="B78" s="1" t="s">
        <v>89</v>
      </c>
      <c r="C78" s="50"/>
      <c r="D78" s="50"/>
      <c r="E78" s="50"/>
      <c r="F78" s="84"/>
      <c r="G78" s="84"/>
    </row>
    <row r="79" spans="1:7" x14ac:dyDescent="0.25">
      <c r="A79" s="19">
        <v>78</v>
      </c>
      <c r="B79" s="1" t="s">
        <v>90</v>
      </c>
      <c r="C79" s="50"/>
      <c r="D79" s="50"/>
      <c r="E79" s="50"/>
      <c r="F79" s="84"/>
      <c r="G79" s="84"/>
    </row>
    <row r="80" spans="1:7" x14ac:dyDescent="0.25">
      <c r="A80" s="19">
        <v>79</v>
      </c>
      <c r="B80" s="1" t="s">
        <v>91</v>
      </c>
      <c r="C80" s="50"/>
      <c r="D80" s="50"/>
      <c r="E80" s="50"/>
      <c r="F80" s="84"/>
      <c r="G80" s="84"/>
    </row>
    <row r="81" spans="1:7" ht="15.75" thickBot="1" x14ac:dyDescent="0.3">
      <c r="A81" s="20">
        <v>80</v>
      </c>
      <c r="B81" s="46" t="s">
        <v>92</v>
      </c>
      <c r="C81" s="51"/>
      <c r="D81" s="51"/>
      <c r="E81" s="51"/>
      <c r="F81" s="85"/>
      <c r="G81" s="85"/>
    </row>
    <row r="82" spans="1:7" x14ac:dyDescent="0.25">
      <c r="A82" s="18">
        <v>81</v>
      </c>
      <c r="B82" s="45" t="s">
        <v>93</v>
      </c>
      <c r="C82" s="49"/>
      <c r="D82" s="49"/>
      <c r="E82" s="49"/>
      <c r="F82" s="83"/>
      <c r="G82" s="83"/>
    </row>
    <row r="83" spans="1:7" x14ac:dyDescent="0.25">
      <c r="A83" s="19">
        <v>82</v>
      </c>
      <c r="B83" s="1" t="s">
        <v>94</v>
      </c>
      <c r="C83" s="50"/>
      <c r="D83" s="50"/>
      <c r="E83" s="50"/>
      <c r="F83" s="84"/>
      <c r="G83" s="84"/>
    </row>
    <row r="84" spans="1:7" x14ac:dyDescent="0.25">
      <c r="A84" s="19">
        <v>83</v>
      </c>
      <c r="B84" s="1" t="s">
        <v>95</v>
      </c>
      <c r="C84" s="50"/>
      <c r="D84" s="50"/>
      <c r="E84" s="50"/>
      <c r="F84" s="84"/>
      <c r="G84" s="84"/>
    </row>
    <row r="85" spans="1:7" x14ac:dyDescent="0.25">
      <c r="A85" s="19">
        <v>84</v>
      </c>
      <c r="B85" s="1" t="s">
        <v>96</v>
      </c>
      <c r="C85" s="50"/>
      <c r="D85" s="50"/>
      <c r="E85" s="50"/>
      <c r="F85" s="84"/>
      <c r="G85" s="84"/>
    </row>
    <row r="86" spans="1:7" x14ac:dyDescent="0.25">
      <c r="A86" s="19">
        <v>85</v>
      </c>
      <c r="B86" s="1" t="s">
        <v>97</v>
      </c>
      <c r="C86" s="50"/>
      <c r="D86" s="50"/>
      <c r="E86" s="50"/>
      <c r="F86" s="84"/>
      <c r="G86" s="84"/>
    </row>
    <row r="87" spans="1:7" x14ac:dyDescent="0.25">
      <c r="A87" s="19">
        <v>86</v>
      </c>
      <c r="B87" s="1" t="s">
        <v>98</v>
      </c>
      <c r="C87" s="50"/>
      <c r="D87" s="50"/>
      <c r="E87" s="50"/>
      <c r="F87" s="84"/>
      <c r="G87" s="84"/>
    </row>
    <row r="88" spans="1:7" x14ac:dyDescent="0.25">
      <c r="A88" s="19">
        <v>87</v>
      </c>
      <c r="B88" s="1" t="s">
        <v>99</v>
      </c>
      <c r="C88" s="50"/>
      <c r="D88" s="50"/>
      <c r="E88" s="50"/>
      <c r="F88" s="84"/>
      <c r="G88" s="84"/>
    </row>
    <row r="89" spans="1:7" ht="15.75" thickBot="1" x14ac:dyDescent="0.3">
      <c r="A89" s="22">
        <v>88</v>
      </c>
      <c r="B89" s="15" t="s">
        <v>100</v>
      </c>
      <c r="C89" s="51"/>
      <c r="D89" s="51"/>
      <c r="E89" s="51"/>
      <c r="F89" s="85"/>
      <c r="G89" s="85"/>
    </row>
    <row r="90" spans="1:7" x14ac:dyDescent="0.25">
      <c r="A90" s="18">
        <v>89</v>
      </c>
      <c r="B90" s="39" t="s">
        <v>101</v>
      </c>
      <c r="C90" s="49"/>
      <c r="D90" s="49"/>
      <c r="E90" s="49"/>
      <c r="F90" s="83"/>
      <c r="G90" s="83"/>
    </row>
    <row r="91" spans="1:7" x14ac:dyDescent="0.25">
      <c r="A91" s="19">
        <v>90</v>
      </c>
      <c r="B91" s="23" t="s">
        <v>102</v>
      </c>
      <c r="C91" s="50"/>
      <c r="D91" s="50"/>
      <c r="E91" s="50"/>
      <c r="F91" s="84"/>
      <c r="G91" s="84"/>
    </row>
    <row r="92" spans="1:7" x14ac:dyDescent="0.25">
      <c r="A92" s="19">
        <v>91</v>
      </c>
      <c r="B92" s="23" t="s">
        <v>103</v>
      </c>
      <c r="C92" s="50"/>
      <c r="D92" s="50"/>
      <c r="E92" s="50"/>
      <c r="F92" s="84"/>
      <c r="G92" s="84"/>
    </row>
    <row r="93" spans="1:7" x14ac:dyDescent="0.25">
      <c r="A93" s="19">
        <v>92</v>
      </c>
      <c r="B93" s="23" t="s">
        <v>104</v>
      </c>
      <c r="C93" s="50"/>
      <c r="D93" s="50"/>
      <c r="E93" s="50"/>
      <c r="F93" s="84"/>
      <c r="G93" s="84"/>
    </row>
    <row r="94" spans="1:7" x14ac:dyDescent="0.25">
      <c r="A94" s="19">
        <v>93</v>
      </c>
      <c r="B94" s="23" t="s">
        <v>105</v>
      </c>
      <c r="C94" s="50"/>
      <c r="D94" s="50"/>
      <c r="E94" s="50"/>
      <c r="F94" s="84"/>
      <c r="G94" s="84"/>
    </row>
    <row r="95" spans="1:7" x14ac:dyDescent="0.25">
      <c r="A95" s="19">
        <v>94</v>
      </c>
      <c r="B95" s="23" t="s">
        <v>106</v>
      </c>
      <c r="C95" s="50"/>
      <c r="D95" s="50"/>
      <c r="E95" s="50"/>
      <c r="F95" s="84"/>
      <c r="G95" s="84"/>
    </row>
    <row r="96" spans="1:7" x14ac:dyDescent="0.25">
      <c r="A96" s="19">
        <v>95</v>
      </c>
      <c r="B96" s="23" t="s">
        <v>107</v>
      </c>
      <c r="C96" s="50"/>
      <c r="D96" s="50"/>
      <c r="E96" s="50"/>
      <c r="F96" s="84"/>
      <c r="G96" s="84"/>
    </row>
    <row r="97" spans="1:7" ht="15.75" thickBot="1" x14ac:dyDescent="0.3">
      <c r="A97" s="20">
        <v>96</v>
      </c>
      <c r="B97" s="24" t="s">
        <v>108</v>
      </c>
      <c r="C97" s="53"/>
      <c r="D97" s="53"/>
      <c r="E97" s="53"/>
      <c r="F97" s="87"/>
      <c r="G97" s="87"/>
    </row>
    <row r="98" spans="1:7" x14ac:dyDescent="0.25">
      <c r="A98" s="17"/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1:H97"/>
  <sheetViews>
    <sheetView tabSelected="1" zoomScaleNormal="100" workbookViewId="0">
      <pane ySplit="1" topLeftCell="A2" activePane="bottomLeft" state="frozen"/>
      <selection pane="bottomLeft" activeCell="K9" sqref="K9"/>
    </sheetView>
  </sheetViews>
  <sheetFormatPr baseColWidth="10" defaultColWidth="9.140625" defaultRowHeight="15" x14ac:dyDescent="0.25"/>
  <cols>
    <col min="1" max="1" width="9.5703125" style="1" bestFit="1" customWidth="1"/>
    <col min="2" max="5" width="21.42578125" style="54" customWidth="1"/>
    <col min="7" max="8" width="19" bestFit="1" customWidth="1"/>
    <col min="11" max="11" width="16.7109375" bestFit="1" customWidth="1"/>
    <col min="12" max="12" width="11.7109375" bestFit="1" customWidth="1"/>
  </cols>
  <sheetData>
    <row r="1" spans="1:8" ht="15.75" customHeight="1" thickBot="1" x14ac:dyDescent="0.3">
      <c r="A1" s="35" t="s">
        <v>115</v>
      </c>
      <c r="B1" s="48" t="s">
        <v>160</v>
      </c>
      <c r="C1" s="48" t="s">
        <v>120</v>
      </c>
      <c r="D1" s="48" t="s">
        <v>114</v>
      </c>
      <c r="E1" s="48" t="s">
        <v>123</v>
      </c>
      <c r="F1" s="36" t="s">
        <v>9</v>
      </c>
      <c r="G1" s="37" t="s">
        <v>111</v>
      </c>
      <c r="H1" s="38" t="s">
        <v>116</v>
      </c>
    </row>
    <row r="2" spans="1:8" x14ac:dyDescent="0.25">
      <c r="A2" s="18">
        <v>1</v>
      </c>
      <c r="B2" s="49" t="s">
        <v>129</v>
      </c>
      <c r="C2" s="49" t="s">
        <v>121</v>
      </c>
      <c r="D2" s="49" t="s">
        <v>119</v>
      </c>
      <c r="E2" s="49" t="s">
        <v>152</v>
      </c>
      <c r="F2" s="39" t="s">
        <v>10</v>
      </c>
      <c r="G2" s="40" t="s">
        <v>110</v>
      </c>
      <c r="H2" s="41"/>
    </row>
    <row r="3" spans="1:8" x14ac:dyDescent="0.25">
      <c r="A3" s="19">
        <v>2</v>
      </c>
      <c r="B3" s="50" t="s">
        <v>130</v>
      </c>
      <c r="C3" s="50" t="s">
        <v>122</v>
      </c>
      <c r="D3" s="50" t="s">
        <v>119</v>
      </c>
      <c r="E3" s="50" t="s">
        <v>152</v>
      </c>
      <c r="F3" s="23" t="s">
        <v>11</v>
      </c>
      <c r="G3" s="9" t="s">
        <v>110</v>
      </c>
      <c r="H3" s="42"/>
    </row>
    <row r="4" spans="1:8" x14ac:dyDescent="0.25">
      <c r="A4" s="19">
        <v>3</v>
      </c>
      <c r="B4" s="50"/>
      <c r="C4" s="50"/>
      <c r="D4" s="50"/>
      <c r="E4" s="50"/>
      <c r="F4" s="23" t="s">
        <v>12</v>
      </c>
      <c r="G4" s="9" t="s">
        <v>110</v>
      </c>
      <c r="H4" s="42"/>
    </row>
    <row r="5" spans="1:8" x14ac:dyDescent="0.25">
      <c r="A5" s="19">
        <v>4</v>
      </c>
      <c r="B5" s="50"/>
      <c r="C5" s="50"/>
      <c r="D5" s="50"/>
      <c r="E5" s="50"/>
      <c r="F5" s="23" t="s">
        <v>13</v>
      </c>
      <c r="G5" s="9" t="s">
        <v>110</v>
      </c>
      <c r="H5" s="42"/>
    </row>
    <row r="6" spans="1:8" x14ac:dyDescent="0.25">
      <c r="A6" s="19">
        <v>5</v>
      </c>
      <c r="B6" s="50"/>
      <c r="C6" s="50"/>
      <c r="D6" s="50"/>
      <c r="E6" s="50"/>
      <c r="F6" s="23" t="s">
        <v>14</v>
      </c>
      <c r="G6" s="9" t="s">
        <v>110</v>
      </c>
      <c r="H6" s="42"/>
    </row>
    <row r="7" spans="1:8" x14ac:dyDescent="0.25">
      <c r="A7" s="19">
        <v>6</v>
      </c>
      <c r="B7" s="50"/>
      <c r="C7" s="50"/>
      <c r="D7" s="50"/>
      <c r="E7" s="50"/>
      <c r="F7" s="23" t="s">
        <v>15</v>
      </c>
      <c r="G7" s="9" t="s">
        <v>110</v>
      </c>
      <c r="H7" s="42"/>
    </row>
    <row r="8" spans="1:8" x14ac:dyDescent="0.25">
      <c r="A8" s="19">
        <v>7</v>
      </c>
      <c r="B8" s="50"/>
      <c r="C8" s="50"/>
      <c r="D8" s="50"/>
      <c r="E8" s="50"/>
      <c r="F8" s="23" t="s">
        <v>16</v>
      </c>
      <c r="G8" s="9" t="s">
        <v>110</v>
      </c>
      <c r="H8" s="42"/>
    </row>
    <row r="9" spans="1:8" ht="15.75" thickBot="1" x14ac:dyDescent="0.3">
      <c r="A9" s="20">
        <v>8</v>
      </c>
      <c r="B9" s="51"/>
      <c r="C9" s="51"/>
      <c r="D9" s="51"/>
      <c r="E9" s="51"/>
      <c r="F9" s="24" t="s">
        <v>17</v>
      </c>
      <c r="G9" s="21" t="s">
        <v>110</v>
      </c>
      <c r="H9" s="43"/>
    </row>
    <row r="10" spans="1:8" x14ac:dyDescent="0.25">
      <c r="A10" s="18">
        <v>9</v>
      </c>
      <c r="B10" s="49"/>
      <c r="C10" s="49"/>
      <c r="D10" s="49"/>
      <c r="E10" s="49"/>
      <c r="F10" s="39" t="s">
        <v>18</v>
      </c>
      <c r="G10" s="40" t="s">
        <v>110</v>
      </c>
      <c r="H10" s="41"/>
    </row>
    <row r="11" spans="1:8" x14ac:dyDescent="0.25">
      <c r="A11" s="19">
        <v>10</v>
      </c>
      <c r="B11" s="50"/>
      <c r="C11" s="50"/>
      <c r="D11" s="50"/>
      <c r="E11" s="50"/>
      <c r="F11" s="23" t="s">
        <v>19</v>
      </c>
      <c r="G11" s="9" t="s">
        <v>110</v>
      </c>
      <c r="H11" s="42"/>
    </row>
    <row r="12" spans="1:8" x14ac:dyDescent="0.25">
      <c r="A12" s="19">
        <v>11</v>
      </c>
      <c r="B12" s="50"/>
      <c r="C12" s="50"/>
      <c r="D12" s="50"/>
      <c r="E12" s="50"/>
      <c r="F12" s="23" t="s">
        <v>20</v>
      </c>
      <c r="G12" s="9" t="s">
        <v>110</v>
      </c>
      <c r="H12" s="42"/>
    </row>
    <row r="13" spans="1:8" x14ac:dyDescent="0.25">
      <c r="A13" s="19">
        <v>12</v>
      </c>
      <c r="B13" s="50"/>
      <c r="C13" s="50"/>
      <c r="D13" s="50"/>
      <c r="E13" s="50"/>
      <c r="F13" s="23" t="s">
        <v>21</v>
      </c>
      <c r="G13" s="9" t="s">
        <v>110</v>
      </c>
      <c r="H13" s="42"/>
    </row>
    <row r="14" spans="1:8" x14ac:dyDescent="0.25">
      <c r="A14" s="19">
        <v>13</v>
      </c>
      <c r="B14" s="50"/>
      <c r="C14" s="50"/>
      <c r="D14" s="50"/>
      <c r="E14" s="50"/>
      <c r="F14" s="23" t="s">
        <v>22</v>
      </c>
      <c r="G14" s="9" t="s">
        <v>110</v>
      </c>
      <c r="H14" s="42"/>
    </row>
    <row r="15" spans="1:8" x14ac:dyDescent="0.25">
      <c r="A15" s="19">
        <v>14</v>
      </c>
      <c r="B15" s="50"/>
      <c r="C15" s="50"/>
      <c r="D15" s="50"/>
      <c r="E15" s="50"/>
      <c r="F15" s="23" t="s">
        <v>23</v>
      </c>
      <c r="G15" s="9" t="s">
        <v>110</v>
      </c>
      <c r="H15" s="42"/>
    </row>
    <row r="16" spans="1:8" x14ac:dyDescent="0.25">
      <c r="A16" s="19">
        <v>15</v>
      </c>
      <c r="B16" s="50"/>
      <c r="C16" s="50"/>
      <c r="D16" s="50"/>
      <c r="E16" s="50"/>
      <c r="F16" s="23" t="s">
        <v>24</v>
      </c>
      <c r="G16" s="9" t="s">
        <v>110</v>
      </c>
      <c r="H16" s="42"/>
    </row>
    <row r="17" spans="1:8" ht="15.75" thickBot="1" x14ac:dyDescent="0.3">
      <c r="A17" s="20">
        <v>16</v>
      </c>
      <c r="B17" s="51"/>
      <c r="C17" s="51"/>
      <c r="D17" s="51"/>
      <c r="E17" s="51"/>
      <c r="F17" s="24" t="s">
        <v>25</v>
      </c>
      <c r="G17" s="21" t="s">
        <v>110</v>
      </c>
      <c r="H17" s="43"/>
    </row>
    <row r="18" spans="1:8" x14ac:dyDescent="0.25">
      <c r="A18" s="18">
        <v>17</v>
      </c>
      <c r="B18" s="49"/>
      <c r="C18" s="49"/>
      <c r="D18" s="49"/>
      <c r="E18" s="49"/>
      <c r="F18" s="39" t="s">
        <v>26</v>
      </c>
      <c r="G18" s="40" t="s">
        <v>110</v>
      </c>
      <c r="H18" s="41"/>
    </row>
    <row r="19" spans="1:8" x14ac:dyDescent="0.25">
      <c r="A19" s="19">
        <v>18</v>
      </c>
      <c r="B19" s="50"/>
      <c r="C19" s="50"/>
      <c r="D19" s="50"/>
      <c r="E19" s="50"/>
      <c r="F19" s="23" t="s">
        <v>27</v>
      </c>
      <c r="G19" s="9" t="s">
        <v>110</v>
      </c>
      <c r="H19" s="42"/>
    </row>
    <row r="20" spans="1:8" x14ac:dyDescent="0.25">
      <c r="A20" s="19">
        <v>19</v>
      </c>
      <c r="B20" s="50"/>
      <c r="C20" s="50"/>
      <c r="D20" s="50"/>
      <c r="E20" s="50"/>
      <c r="F20" s="23" t="s">
        <v>28</v>
      </c>
      <c r="G20" s="9" t="s">
        <v>110</v>
      </c>
      <c r="H20" s="42"/>
    </row>
    <row r="21" spans="1:8" x14ac:dyDescent="0.25">
      <c r="A21" s="19">
        <v>20</v>
      </c>
      <c r="B21" s="50"/>
      <c r="C21" s="50"/>
      <c r="D21" s="50"/>
      <c r="E21" s="50"/>
      <c r="F21" s="23" t="s">
        <v>29</v>
      </c>
      <c r="G21" s="9" t="s">
        <v>110</v>
      </c>
      <c r="H21" s="42"/>
    </row>
    <row r="22" spans="1:8" x14ac:dyDescent="0.25">
      <c r="A22" s="19">
        <v>21</v>
      </c>
      <c r="B22" s="50"/>
      <c r="C22" s="50"/>
      <c r="D22" s="50"/>
      <c r="E22" s="50"/>
      <c r="F22" s="23" t="s">
        <v>30</v>
      </c>
      <c r="G22" s="9" t="s">
        <v>110</v>
      </c>
      <c r="H22" s="42"/>
    </row>
    <row r="23" spans="1:8" x14ac:dyDescent="0.25">
      <c r="A23" s="19">
        <v>22</v>
      </c>
      <c r="B23" s="50"/>
      <c r="C23" s="50"/>
      <c r="D23" s="50"/>
      <c r="E23" s="50"/>
      <c r="F23" s="23" t="s">
        <v>31</v>
      </c>
      <c r="G23" s="9" t="s">
        <v>110</v>
      </c>
      <c r="H23" s="42"/>
    </row>
    <row r="24" spans="1:8" x14ac:dyDescent="0.25">
      <c r="A24" s="19">
        <v>23</v>
      </c>
      <c r="B24" s="50"/>
      <c r="C24" s="50"/>
      <c r="D24" s="50"/>
      <c r="E24" s="50"/>
      <c r="F24" s="23" t="s">
        <v>32</v>
      </c>
      <c r="G24" s="9" t="s">
        <v>110</v>
      </c>
      <c r="H24" s="42"/>
    </row>
    <row r="25" spans="1:8" ht="15.75" thickBot="1" x14ac:dyDescent="0.3">
      <c r="A25" s="20">
        <v>24</v>
      </c>
      <c r="B25" s="51"/>
      <c r="C25" s="51"/>
      <c r="D25" s="51"/>
      <c r="E25" s="51"/>
      <c r="F25" s="24" t="s">
        <v>33</v>
      </c>
      <c r="G25" s="21" t="s">
        <v>110</v>
      </c>
      <c r="H25" s="43"/>
    </row>
    <row r="26" spans="1:8" x14ac:dyDescent="0.25">
      <c r="A26" s="18">
        <v>25</v>
      </c>
      <c r="B26" s="49"/>
      <c r="C26" s="49"/>
      <c r="D26" s="49"/>
      <c r="E26" s="49"/>
      <c r="F26" s="39" t="s">
        <v>34</v>
      </c>
      <c r="G26" s="40" t="s">
        <v>110</v>
      </c>
      <c r="H26" s="41"/>
    </row>
    <row r="27" spans="1:8" x14ac:dyDescent="0.25">
      <c r="A27" s="19">
        <v>26</v>
      </c>
      <c r="B27" s="50"/>
      <c r="C27" s="50"/>
      <c r="D27" s="50"/>
      <c r="E27" s="50"/>
      <c r="F27" s="23" t="s">
        <v>35</v>
      </c>
      <c r="G27" s="9" t="s">
        <v>110</v>
      </c>
      <c r="H27" s="42"/>
    </row>
    <row r="28" spans="1:8" x14ac:dyDescent="0.25">
      <c r="A28" s="19">
        <v>27</v>
      </c>
      <c r="B28" s="50"/>
      <c r="C28" s="50"/>
      <c r="D28" s="50"/>
      <c r="E28" s="50"/>
      <c r="F28" s="23" t="s">
        <v>36</v>
      </c>
      <c r="G28" s="9" t="s">
        <v>110</v>
      </c>
      <c r="H28" s="42"/>
    </row>
    <row r="29" spans="1:8" x14ac:dyDescent="0.25">
      <c r="A29" s="19">
        <v>28</v>
      </c>
      <c r="B29" s="50"/>
      <c r="C29" s="50"/>
      <c r="D29" s="50"/>
      <c r="E29" s="50"/>
      <c r="F29" s="23" t="s">
        <v>37</v>
      </c>
      <c r="G29" s="9" t="s">
        <v>110</v>
      </c>
      <c r="H29" s="42"/>
    </row>
    <row r="30" spans="1:8" x14ac:dyDescent="0.25">
      <c r="A30" s="19">
        <v>29</v>
      </c>
      <c r="B30" s="50"/>
      <c r="C30" s="50"/>
      <c r="D30" s="50"/>
      <c r="E30" s="50"/>
      <c r="F30" s="23" t="s">
        <v>38</v>
      </c>
      <c r="G30" s="9" t="s">
        <v>110</v>
      </c>
      <c r="H30" s="42"/>
    </row>
    <row r="31" spans="1:8" x14ac:dyDescent="0.25">
      <c r="A31" s="19">
        <v>30</v>
      </c>
      <c r="B31" s="50"/>
      <c r="C31" s="50"/>
      <c r="D31" s="50"/>
      <c r="E31" s="50"/>
      <c r="F31" s="23" t="s">
        <v>39</v>
      </c>
      <c r="G31" s="9" t="s">
        <v>110</v>
      </c>
      <c r="H31" s="42"/>
    </row>
    <row r="32" spans="1:8" x14ac:dyDescent="0.25">
      <c r="A32" s="19">
        <v>31</v>
      </c>
      <c r="B32" s="50"/>
      <c r="C32" s="50"/>
      <c r="D32" s="50"/>
      <c r="E32" s="50"/>
      <c r="F32" s="23" t="s">
        <v>40</v>
      </c>
      <c r="G32" s="9" t="s">
        <v>110</v>
      </c>
      <c r="H32" s="42"/>
    </row>
    <row r="33" spans="1:8" ht="15.75" thickBot="1" x14ac:dyDescent="0.3">
      <c r="A33" s="20">
        <v>32</v>
      </c>
      <c r="B33" s="51"/>
      <c r="C33" s="51"/>
      <c r="D33" s="51"/>
      <c r="E33" s="51"/>
      <c r="F33" s="24" t="s">
        <v>41</v>
      </c>
      <c r="G33" s="21" t="s">
        <v>110</v>
      </c>
      <c r="H33" s="43"/>
    </row>
    <row r="34" spans="1:8" x14ac:dyDescent="0.25">
      <c r="A34" s="18">
        <v>33</v>
      </c>
      <c r="B34" s="49"/>
      <c r="C34" s="49"/>
      <c r="D34" s="49"/>
      <c r="E34" s="49"/>
      <c r="F34" s="39" t="s">
        <v>42</v>
      </c>
      <c r="G34" s="40" t="s">
        <v>110</v>
      </c>
      <c r="H34" s="41"/>
    </row>
    <row r="35" spans="1:8" x14ac:dyDescent="0.25">
      <c r="A35" s="19">
        <v>34</v>
      </c>
      <c r="B35" s="50"/>
      <c r="C35" s="50"/>
      <c r="D35" s="50"/>
      <c r="E35" s="50"/>
      <c r="F35" s="23" t="s">
        <v>43</v>
      </c>
      <c r="G35" s="9" t="s">
        <v>110</v>
      </c>
      <c r="H35" s="42"/>
    </row>
    <row r="36" spans="1:8" x14ac:dyDescent="0.25">
      <c r="A36" s="19">
        <v>35</v>
      </c>
      <c r="B36" s="50"/>
      <c r="C36" s="50"/>
      <c r="D36" s="50"/>
      <c r="E36" s="50"/>
      <c r="F36" s="23" t="s">
        <v>44</v>
      </c>
      <c r="G36" s="9" t="s">
        <v>110</v>
      </c>
      <c r="H36" s="42"/>
    </row>
    <row r="37" spans="1:8" x14ac:dyDescent="0.25">
      <c r="A37" s="19">
        <v>36</v>
      </c>
      <c r="B37" s="50"/>
      <c r="C37" s="50"/>
      <c r="D37" s="50"/>
      <c r="E37" s="50"/>
      <c r="F37" s="23" t="s">
        <v>45</v>
      </c>
      <c r="G37" s="9" t="s">
        <v>110</v>
      </c>
      <c r="H37" s="42"/>
    </row>
    <row r="38" spans="1:8" x14ac:dyDescent="0.25">
      <c r="A38" s="19">
        <v>37</v>
      </c>
      <c r="B38" s="50"/>
      <c r="C38" s="50"/>
      <c r="D38" s="50"/>
      <c r="E38" s="50"/>
      <c r="F38" s="23" t="s">
        <v>46</v>
      </c>
      <c r="G38" s="9" t="s">
        <v>110</v>
      </c>
      <c r="H38" s="42"/>
    </row>
    <row r="39" spans="1:8" x14ac:dyDescent="0.25">
      <c r="A39" s="19">
        <v>38</v>
      </c>
      <c r="B39" s="50"/>
      <c r="C39" s="50"/>
      <c r="D39" s="50"/>
      <c r="E39" s="50"/>
      <c r="F39" s="23" t="s">
        <v>47</v>
      </c>
      <c r="G39" s="9" t="s">
        <v>110</v>
      </c>
      <c r="H39" s="42"/>
    </row>
    <row r="40" spans="1:8" x14ac:dyDescent="0.25">
      <c r="A40" s="19">
        <v>39</v>
      </c>
      <c r="B40" s="50"/>
      <c r="C40" s="50"/>
      <c r="D40" s="50"/>
      <c r="E40" s="50"/>
      <c r="F40" s="23" t="s">
        <v>48</v>
      </c>
      <c r="G40" s="9" t="s">
        <v>110</v>
      </c>
      <c r="H40" s="42"/>
    </row>
    <row r="41" spans="1:8" ht="15.75" thickBot="1" x14ac:dyDescent="0.3">
      <c r="A41" s="20">
        <v>40</v>
      </c>
      <c r="B41" s="51"/>
      <c r="C41" s="51"/>
      <c r="D41" s="51"/>
      <c r="E41" s="51"/>
      <c r="F41" s="24" t="s">
        <v>49</v>
      </c>
      <c r="G41" s="21" t="s">
        <v>110</v>
      </c>
      <c r="H41" s="43"/>
    </row>
    <row r="42" spans="1:8" x14ac:dyDescent="0.25">
      <c r="A42" s="18">
        <v>41</v>
      </c>
      <c r="B42" s="49"/>
      <c r="C42" s="49"/>
      <c r="D42" s="49"/>
      <c r="E42" s="49"/>
      <c r="F42" s="39" t="s">
        <v>50</v>
      </c>
      <c r="G42" s="40" t="s">
        <v>110</v>
      </c>
      <c r="H42" s="41"/>
    </row>
    <row r="43" spans="1:8" x14ac:dyDescent="0.25">
      <c r="A43" s="19">
        <v>42</v>
      </c>
      <c r="B43" s="50"/>
      <c r="C43" s="50"/>
      <c r="D43" s="50"/>
      <c r="E43" s="50"/>
      <c r="F43" s="23" t="s">
        <v>51</v>
      </c>
      <c r="G43" s="9" t="s">
        <v>110</v>
      </c>
      <c r="H43" s="42"/>
    </row>
    <row r="44" spans="1:8" x14ac:dyDescent="0.25">
      <c r="A44" s="19">
        <v>43</v>
      </c>
      <c r="B44" s="50"/>
      <c r="C44" s="50"/>
      <c r="D44" s="50"/>
      <c r="E44" s="50"/>
      <c r="F44" s="23" t="s">
        <v>52</v>
      </c>
      <c r="G44" s="9" t="s">
        <v>110</v>
      </c>
      <c r="H44" s="42"/>
    </row>
    <row r="45" spans="1:8" x14ac:dyDescent="0.25">
      <c r="A45" s="19">
        <v>44</v>
      </c>
      <c r="B45" s="50"/>
      <c r="C45" s="50"/>
      <c r="D45" s="50"/>
      <c r="E45" s="50"/>
      <c r="F45" s="23" t="s">
        <v>53</v>
      </c>
      <c r="G45" s="9" t="s">
        <v>110</v>
      </c>
      <c r="H45" s="42"/>
    </row>
    <row r="46" spans="1:8" x14ac:dyDescent="0.25">
      <c r="A46" s="19">
        <v>45</v>
      </c>
      <c r="B46" s="50"/>
      <c r="C46" s="50"/>
      <c r="D46" s="50"/>
      <c r="E46" s="50"/>
      <c r="F46" s="23" t="s">
        <v>54</v>
      </c>
      <c r="G46" s="9" t="s">
        <v>110</v>
      </c>
      <c r="H46" s="42"/>
    </row>
    <row r="47" spans="1:8" x14ac:dyDescent="0.25">
      <c r="A47" s="19">
        <v>46</v>
      </c>
      <c r="B47" s="50"/>
      <c r="C47" s="50"/>
      <c r="D47" s="50"/>
      <c r="E47" s="50"/>
      <c r="F47" s="23" t="s">
        <v>55</v>
      </c>
      <c r="G47" s="9" t="s">
        <v>110</v>
      </c>
      <c r="H47" s="42"/>
    </row>
    <row r="48" spans="1:8" x14ac:dyDescent="0.25">
      <c r="A48" s="19">
        <v>47</v>
      </c>
      <c r="B48" s="50"/>
      <c r="C48" s="50"/>
      <c r="D48" s="50"/>
      <c r="E48" s="50"/>
      <c r="F48" s="23" t="s">
        <v>56</v>
      </c>
      <c r="G48" s="9" t="s">
        <v>110</v>
      </c>
      <c r="H48" s="42"/>
    </row>
    <row r="49" spans="1:8" ht="15.75" thickBot="1" x14ac:dyDescent="0.3">
      <c r="A49" s="20">
        <v>48</v>
      </c>
      <c r="B49" s="52"/>
      <c r="C49" s="52"/>
      <c r="D49" s="52"/>
      <c r="E49" s="52"/>
      <c r="F49" s="24" t="s">
        <v>57</v>
      </c>
      <c r="G49" s="21" t="s">
        <v>110</v>
      </c>
      <c r="H49" s="43"/>
    </row>
    <row r="50" spans="1:8" x14ac:dyDescent="0.25">
      <c r="A50" s="18">
        <v>49</v>
      </c>
      <c r="B50" s="49"/>
      <c r="C50" s="49"/>
      <c r="D50" s="49"/>
      <c r="E50" s="49"/>
      <c r="F50" s="39" t="s">
        <v>58</v>
      </c>
      <c r="G50" s="40" t="s">
        <v>110</v>
      </c>
      <c r="H50" s="41"/>
    </row>
    <row r="51" spans="1:8" x14ac:dyDescent="0.25">
      <c r="A51" s="19">
        <v>50</v>
      </c>
      <c r="B51" s="50"/>
      <c r="C51" s="50"/>
      <c r="D51" s="50"/>
      <c r="E51" s="50"/>
      <c r="F51" s="23" t="s">
        <v>59</v>
      </c>
      <c r="G51" s="9" t="s">
        <v>110</v>
      </c>
      <c r="H51" s="42"/>
    </row>
    <row r="52" spans="1:8" x14ac:dyDescent="0.25">
      <c r="A52" s="19">
        <v>51</v>
      </c>
      <c r="B52" s="50"/>
      <c r="C52" s="50"/>
      <c r="D52" s="50"/>
      <c r="E52" s="50"/>
      <c r="F52" s="23" t="s">
        <v>60</v>
      </c>
      <c r="G52" s="9" t="s">
        <v>110</v>
      </c>
      <c r="H52" s="42"/>
    </row>
    <row r="53" spans="1:8" x14ac:dyDescent="0.25">
      <c r="A53" s="19">
        <v>52</v>
      </c>
      <c r="B53" s="50"/>
      <c r="C53" s="50"/>
      <c r="D53" s="50"/>
      <c r="E53" s="50"/>
      <c r="F53" s="23" t="s">
        <v>61</v>
      </c>
      <c r="G53" s="9" t="s">
        <v>110</v>
      </c>
      <c r="H53" s="42"/>
    </row>
    <row r="54" spans="1:8" x14ac:dyDescent="0.25">
      <c r="A54" s="19">
        <v>53</v>
      </c>
      <c r="B54" s="50"/>
      <c r="C54" s="50"/>
      <c r="D54" s="50"/>
      <c r="E54" s="50"/>
      <c r="F54" s="23" t="s">
        <v>62</v>
      </c>
      <c r="G54" s="9" t="s">
        <v>110</v>
      </c>
      <c r="H54" s="42"/>
    </row>
    <row r="55" spans="1:8" x14ac:dyDescent="0.25">
      <c r="A55" s="19">
        <v>54</v>
      </c>
      <c r="B55" s="50"/>
      <c r="C55" s="50"/>
      <c r="D55" s="50"/>
      <c r="E55" s="50"/>
      <c r="F55" s="23" t="s">
        <v>63</v>
      </c>
      <c r="G55" s="9" t="s">
        <v>110</v>
      </c>
      <c r="H55" s="42"/>
    </row>
    <row r="56" spans="1:8" x14ac:dyDescent="0.25">
      <c r="A56" s="19">
        <v>55</v>
      </c>
      <c r="B56" s="50"/>
      <c r="C56" s="50"/>
      <c r="D56" s="50"/>
      <c r="E56" s="50"/>
      <c r="F56" s="23" t="s">
        <v>64</v>
      </c>
      <c r="G56" s="9" t="s">
        <v>110</v>
      </c>
      <c r="H56" s="42"/>
    </row>
    <row r="57" spans="1:8" ht="15.75" thickBot="1" x14ac:dyDescent="0.3">
      <c r="A57" s="20">
        <v>56</v>
      </c>
      <c r="B57" s="51"/>
      <c r="C57" s="51"/>
      <c r="D57" s="51"/>
      <c r="E57" s="51"/>
      <c r="F57" s="24" t="s">
        <v>65</v>
      </c>
      <c r="G57" s="21" t="s">
        <v>110</v>
      </c>
      <c r="H57" s="43"/>
    </row>
    <row r="58" spans="1:8" x14ac:dyDescent="0.25">
      <c r="A58" s="18">
        <v>57</v>
      </c>
      <c r="B58" s="49"/>
      <c r="C58" s="49"/>
      <c r="D58" s="49"/>
      <c r="E58" s="49"/>
      <c r="F58" s="39" t="s">
        <v>69</v>
      </c>
      <c r="G58" s="40" t="s">
        <v>110</v>
      </c>
      <c r="H58" s="41"/>
    </row>
    <row r="59" spans="1:8" x14ac:dyDescent="0.25">
      <c r="A59" s="19">
        <v>58</v>
      </c>
      <c r="B59" s="50"/>
      <c r="C59" s="50"/>
      <c r="D59" s="50"/>
      <c r="E59" s="50"/>
      <c r="F59" s="23" t="s">
        <v>70</v>
      </c>
      <c r="G59" s="9" t="s">
        <v>110</v>
      </c>
      <c r="H59" s="42"/>
    </row>
    <row r="60" spans="1:8" x14ac:dyDescent="0.25">
      <c r="A60" s="19">
        <v>59</v>
      </c>
      <c r="B60" s="50"/>
      <c r="C60" s="50"/>
      <c r="D60" s="50"/>
      <c r="E60" s="50"/>
      <c r="F60" s="23" t="s">
        <v>71</v>
      </c>
      <c r="G60" s="9" t="s">
        <v>110</v>
      </c>
      <c r="H60" s="42"/>
    </row>
    <row r="61" spans="1:8" x14ac:dyDescent="0.25">
      <c r="A61" s="19">
        <v>60</v>
      </c>
      <c r="B61" s="50"/>
      <c r="C61" s="50"/>
      <c r="D61" s="50"/>
      <c r="E61" s="50"/>
      <c r="F61" s="23" t="s">
        <v>72</v>
      </c>
      <c r="G61" s="9" t="s">
        <v>110</v>
      </c>
      <c r="H61" s="42"/>
    </row>
    <row r="62" spans="1:8" x14ac:dyDescent="0.25">
      <c r="A62" s="19">
        <v>61</v>
      </c>
      <c r="B62" s="50"/>
      <c r="C62" s="50"/>
      <c r="D62" s="50"/>
      <c r="E62" s="50"/>
      <c r="F62" s="23" t="s">
        <v>73</v>
      </c>
      <c r="G62" s="9" t="s">
        <v>110</v>
      </c>
      <c r="H62" s="42"/>
    </row>
    <row r="63" spans="1:8" x14ac:dyDescent="0.25">
      <c r="A63" s="19">
        <v>62</v>
      </c>
      <c r="B63" s="50"/>
      <c r="C63" s="50"/>
      <c r="D63" s="50"/>
      <c r="E63" s="50"/>
      <c r="F63" s="23" t="s">
        <v>74</v>
      </c>
      <c r="G63" s="9" t="s">
        <v>110</v>
      </c>
      <c r="H63" s="42"/>
    </row>
    <row r="64" spans="1:8" x14ac:dyDescent="0.25">
      <c r="A64" s="19">
        <v>63</v>
      </c>
      <c r="B64" s="50"/>
      <c r="C64" s="50"/>
      <c r="D64" s="50"/>
      <c r="E64" s="50"/>
      <c r="F64" s="23" t="s">
        <v>75</v>
      </c>
      <c r="G64" s="9" t="s">
        <v>110</v>
      </c>
      <c r="H64" s="42"/>
    </row>
    <row r="65" spans="1:8" ht="15.75" thickBot="1" x14ac:dyDescent="0.3">
      <c r="A65" s="20">
        <v>64</v>
      </c>
      <c r="B65" s="51"/>
      <c r="C65" s="51"/>
      <c r="D65" s="51"/>
      <c r="E65" s="51"/>
      <c r="F65" s="24" t="s">
        <v>76</v>
      </c>
      <c r="G65" s="21" t="s">
        <v>110</v>
      </c>
      <c r="H65" s="43"/>
    </row>
    <row r="66" spans="1:8" x14ac:dyDescent="0.25">
      <c r="A66" s="18">
        <v>65</v>
      </c>
      <c r="B66" s="49"/>
      <c r="C66" s="49"/>
      <c r="D66" s="49"/>
      <c r="E66" s="49"/>
      <c r="F66" s="39" t="s">
        <v>77</v>
      </c>
      <c r="G66" s="40" t="s">
        <v>110</v>
      </c>
      <c r="H66" s="41"/>
    </row>
    <row r="67" spans="1:8" x14ac:dyDescent="0.25">
      <c r="A67" s="19">
        <v>66</v>
      </c>
      <c r="B67" s="50"/>
      <c r="C67" s="50"/>
      <c r="D67" s="50"/>
      <c r="E67" s="50"/>
      <c r="F67" s="23" t="s">
        <v>78</v>
      </c>
      <c r="G67" s="9" t="s">
        <v>110</v>
      </c>
      <c r="H67" s="42"/>
    </row>
    <row r="68" spans="1:8" x14ac:dyDescent="0.25">
      <c r="A68" s="19">
        <v>67</v>
      </c>
      <c r="B68" s="50"/>
      <c r="C68" s="50"/>
      <c r="D68" s="50"/>
      <c r="E68" s="50"/>
      <c r="F68" s="23" t="s">
        <v>79</v>
      </c>
      <c r="G68" s="9" t="s">
        <v>110</v>
      </c>
      <c r="H68" s="42"/>
    </row>
    <row r="69" spans="1:8" x14ac:dyDescent="0.25">
      <c r="A69" s="19">
        <v>68</v>
      </c>
      <c r="B69" s="50"/>
      <c r="C69" s="50"/>
      <c r="D69" s="50"/>
      <c r="E69" s="50"/>
      <c r="F69" s="23" t="s">
        <v>80</v>
      </c>
      <c r="G69" s="9" t="s">
        <v>110</v>
      </c>
      <c r="H69" s="42"/>
    </row>
    <row r="70" spans="1:8" x14ac:dyDescent="0.25">
      <c r="A70" s="19">
        <v>69</v>
      </c>
      <c r="B70" s="50"/>
      <c r="C70" s="50"/>
      <c r="D70" s="50"/>
      <c r="E70" s="50"/>
      <c r="F70" s="23" t="s">
        <v>81</v>
      </c>
      <c r="G70" s="9" t="s">
        <v>110</v>
      </c>
      <c r="H70" s="42"/>
    </row>
    <row r="71" spans="1:8" x14ac:dyDescent="0.25">
      <c r="A71" s="19">
        <v>70</v>
      </c>
      <c r="B71" s="50"/>
      <c r="C71" s="50"/>
      <c r="D71" s="50"/>
      <c r="E71" s="50"/>
      <c r="F71" s="23" t="s">
        <v>82</v>
      </c>
      <c r="G71" s="9" t="s">
        <v>110</v>
      </c>
      <c r="H71" s="42"/>
    </row>
    <row r="72" spans="1:8" x14ac:dyDescent="0.25">
      <c r="A72" s="19">
        <v>71</v>
      </c>
      <c r="B72" s="50"/>
      <c r="C72" s="50"/>
      <c r="D72" s="50"/>
      <c r="E72" s="50"/>
      <c r="F72" s="23" t="s">
        <v>83</v>
      </c>
      <c r="G72" s="9" t="s">
        <v>110</v>
      </c>
      <c r="H72" s="42"/>
    </row>
    <row r="73" spans="1:8" ht="15.75" thickBot="1" x14ac:dyDescent="0.3">
      <c r="A73" s="20">
        <v>72</v>
      </c>
      <c r="B73" s="51"/>
      <c r="C73" s="51"/>
      <c r="D73" s="51"/>
      <c r="E73" s="51"/>
      <c r="F73" s="24" t="s">
        <v>84</v>
      </c>
      <c r="G73" s="21" t="s">
        <v>110</v>
      </c>
      <c r="H73" s="43"/>
    </row>
    <row r="74" spans="1:8" x14ac:dyDescent="0.25">
      <c r="A74" s="18">
        <v>73</v>
      </c>
      <c r="B74" s="49"/>
      <c r="C74" s="49"/>
      <c r="D74" s="49"/>
      <c r="E74" s="49"/>
      <c r="F74" s="39" t="s">
        <v>85</v>
      </c>
      <c r="G74" s="40" t="s">
        <v>110</v>
      </c>
      <c r="H74" s="41"/>
    </row>
    <row r="75" spans="1:8" x14ac:dyDescent="0.25">
      <c r="A75" s="19">
        <v>74</v>
      </c>
      <c r="B75" s="50"/>
      <c r="C75" s="50"/>
      <c r="D75" s="50"/>
      <c r="E75" s="50"/>
      <c r="F75" s="23" t="s">
        <v>86</v>
      </c>
      <c r="G75" s="9" t="s">
        <v>110</v>
      </c>
      <c r="H75" s="42"/>
    </row>
    <row r="76" spans="1:8" x14ac:dyDescent="0.25">
      <c r="A76" s="19">
        <v>75</v>
      </c>
      <c r="B76" s="50"/>
      <c r="C76" s="50"/>
      <c r="D76" s="50"/>
      <c r="E76" s="50"/>
      <c r="F76" s="23" t="s">
        <v>87</v>
      </c>
      <c r="G76" s="9" t="s">
        <v>110</v>
      </c>
      <c r="H76" s="42"/>
    </row>
    <row r="77" spans="1:8" x14ac:dyDescent="0.25">
      <c r="A77" s="19">
        <v>76</v>
      </c>
      <c r="B77" s="50"/>
      <c r="C77" s="50"/>
      <c r="D77" s="50"/>
      <c r="E77" s="50"/>
      <c r="F77" s="23" t="s">
        <v>88</v>
      </c>
      <c r="G77" s="9" t="s">
        <v>110</v>
      </c>
      <c r="H77" s="42"/>
    </row>
    <row r="78" spans="1:8" x14ac:dyDescent="0.25">
      <c r="A78" s="19">
        <v>77</v>
      </c>
      <c r="B78" s="50"/>
      <c r="C78" s="50"/>
      <c r="D78" s="50"/>
      <c r="E78" s="50"/>
      <c r="F78" s="23" t="s">
        <v>89</v>
      </c>
      <c r="G78" s="9" t="s">
        <v>110</v>
      </c>
      <c r="H78" s="42"/>
    </row>
    <row r="79" spans="1:8" x14ac:dyDescent="0.25">
      <c r="A79" s="19">
        <v>78</v>
      </c>
      <c r="B79" s="50"/>
      <c r="C79" s="50"/>
      <c r="D79" s="50"/>
      <c r="E79" s="50"/>
      <c r="F79" s="23" t="s">
        <v>90</v>
      </c>
      <c r="G79" s="9" t="s">
        <v>110</v>
      </c>
      <c r="H79" s="42"/>
    </row>
    <row r="80" spans="1:8" x14ac:dyDescent="0.25">
      <c r="A80" s="19">
        <v>79</v>
      </c>
      <c r="B80" s="50"/>
      <c r="C80" s="50"/>
      <c r="D80" s="50"/>
      <c r="E80" s="50"/>
      <c r="F80" s="23" t="s">
        <v>91</v>
      </c>
      <c r="G80" s="9" t="s">
        <v>110</v>
      </c>
      <c r="H80" s="42"/>
    </row>
    <row r="81" spans="1:8" ht="15.75" thickBot="1" x14ac:dyDescent="0.3">
      <c r="A81" s="20">
        <v>80</v>
      </c>
      <c r="B81" s="51"/>
      <c r="C81" s="51"/>
      <c r="D81" s="51"/>
      <c r="E81" s="51"/>
      <c r="F81" s="24" t="s">
        <v>92</v>
      </c>
      <c r="G81" s="21" t="s">
        <v>110</v>
      </c>
      <c r="H81" s="43"/>
    </row>
    <row r="82" spans="1:8" x14ac:dyDescent="0.25">
      <c r="A82" s="18">
        <v>81</v>
      </c>
      <c r="B82" s="49"/>
      <c r="C82" s="49"/>
      <c r="D82" s="49"/>
      <c r="E82" s="49"/>
      <c r="F82" s="39" t="s">
        <v>93</v>
      </c>
      <c r="G82" s="40" t="s">
        <v>110</v>
      </c>
      <c r="H82" s="41"/>
    </row>
    <row r="83" spans="1:8" x14ac:dyDescent="0.25">
      <c r="A83" s="19">
        <v>82</v>
      </c>
      <c r="B83" s="50"/>
      <c r="C83" s="50"/>
      <c r="D83" s="50"/>
      <c r="E83" s="50"/>
      <c r="F83" s="23" t="s">
        <v>94</v>
      </c>
      <c r="G83" s="9" t="s">
        <v>110</v>
      </c>
      <c r="H83" s="42"/>
    </row>
    <row r="84" spans="1:8" x14ac:dyDescent="0.25">
      <c r="A84" s="19">
        <v>83</v>
      </c>
      <c r="B84" s="50"/>
      <c r="C84" s="50"/>
      <c r="D84" s="50"/>
      <c r="E84" s="50"/>
      <c r="F84" s="23" t="s">
        <v>95</v>
      </c>
      <c r="G84" s="9" t="s">
        <v>110</v>
      </c>
      <c r="H84" s="42"/>
    </row>
    <row r="85" spans="1:8" x14ac:dyDescent="0.25">
      <c r="A85" s="19">
        <v>84</v>
      </c>
      <c r="B85" s="50"/>
      <c r="C85" s="50"/>
      <c r="D85" s="50"/>
      <c r="E85" s="50"/>
      <c r="F85" s="23" t="s">
        <v>96</v>
      </c>
      <c r="G85" s="9" t="s">
        <v>110</v>
      </c>
      <c r="H85" s="42"/>
    </row>
    <row r="86" spans="1:8" x14ac:dyDescent="0.25">
      <c r="A86" s="19">
        <v>85</v>
      </c>
      <c r="B86" s="50"/>
      <c r="C86" s="50"/>
      <c r="D86" s="50"/>
      <c r="E86" s="50"/>
      <c r="F86" s="23" t="s">
        <v>97</v>
      </c>
      <c r="G86" s="9" t="s">
        <v>110</v>
      </c>
      <c r="H86" s="42"/>
    </row>
    <row r="87" spans="1:8" x14ac:dyDescent="0.25">
      <c r="A87" s="19">
        <v>86</v>
      </c>
      <c r="B87" s="50"/>
      <c r="C87" s="50"/>
      <c r="D87" s="50"/>
      <c r="E87" s="50"/>
      <c r="F87" s="23" t="s">
        <v>98</v>
      </c>
      <c r="G87" s="9" t="s">
        <v>110</v>
      </c>
      <c r="H87" s="42"/>
    </row>
    <row r="88" spans="1:8" x14ac:dyDescent="0.25">
      <c r="A88" s="19">
        <v>87</v>
      </c>
      <c r="B88" s="50"/>
      <c r="C88" s="50"/>
      <c r="D88" s="50"/>
      <c r="E88" s="50"/>
      <c r="F88" s="23" t="s">
        <v>99</v>
      </c>
      <c r="G88" s="9" t="s">
        <v>110</v>
      </c>
      <c r="H88" s="42"/>
    </row>
    <row r="89" spans="1:8" ht="15.75" thickBot="1" x14ac:dyDescent="0.3">
      <c r="A89" s="20">
        <v>88</v>
      </c>
      <c r="B89" s="51"/>
      <c r="C89" s="51"/>
      <c r="D89" s="51"/>
      <c r="E89" s="51"/>
      <c r="F89" s="24" t="s">
        <v>100</v>
      </c>
      <c r="G89" s="21" t="s">
        <v>110</v>
      </c>
      <c r="H89" s="43"/>
    </row>
    <row r="90" spans="1:8" x14ac:dyDescent="0.25">
      <c r="A90" s="18">
        <v>89</v>
      </c>
      <c r="B90" s="49"/>
      <c r="C90" s="49"/>
      <c r="D90" s="49"/>
      <c r="E90" s="49"/>
      <c r="F90" s="39" t="s">
        <v>101</v>
      </c>
      <c r="G90" s="40" t="s">
        <v>110</v>
      </c>
      <c r="H90" s="41"/>
    </row>
    <row r="91" spans="1:8" x14ac:dyDescent="0.25">
      <c r="A91" s="19">
        <v>90</v>
      </c>
      <c r="B91" s="50"/>
      <c r="C91" s="50"/>
      <c r="D91" s="50"/>
      <c r="E91" s="50"/>
      <c r="F91" s="23" t="s">
        <v>102</v>
      </c>
      <c r="G91" s="9" t="s">
        <v>110</v>
      </c>
      <c r="H91" s="42"/>
    </row>
    <row r="92" spans="1:8" x14ac:dyDescent="0.25">
      <c r="A92" s="19">
        <v>91</v>
      </c>
      <c r="B92" s="50"/>
      <c r="C92" s="50"/>
      <c r="D92" s="50"/>
      <c r="E92" s="50"/>
      <c r="F92" s="23" t="s">
        <v>103</v>
      </c>
      <c r="G92" s="9" t="s">
        <v>110</v>
      </c>
      <c r="H92" s="42"/>
    </row>
    <row r="93" spans="1:8" x14ac:dyDescent="0.25">
      <c r="A93" s="19">
        <v>92</v>
      </c>
      <c r="B93" s="50"/>
      <c r="C93" s="50"/>
      <c r="D93" s="50"/>
      <c r="E93" s="50"/>
      <c r="F93" s="23" t="s">
        <v>104</v>
      </c>
      <c r="G93" s="9" t="s">
        <v>110</v>
      </c>
      <c r="H93" s="42"/>
    </row>
    <row r="94" spans="1:8" x14ac:dyDescent="0.25">
      <c r="A94" s="19">
        <v>93</v>
      </c>
      <c r="B94" s="50"/>
      <c r="C94" s="50"/>
      <c r="D94" s="50"/>
      <c r="E94" s="50"/>
      <c r="F94" s="23" t="s">
        <v>105</v>
      </c>
      <c r="G94" s="9" t="s">
        <v>110</v>
      </c>
      <c r="H94" s="42"/>
    </row>
    <row r="95" spans="1:8" x14ac:dyDescent="0.25">
      <c r="A95" s="19">
        <v>94</v>
      </c>
      <c r="B95" s="50"/>
      <c r="C95" s="50"/>
      <c r="D95" s="50"/>
      <c r="E95" s="50"/>
      <c r="F95" s="23" t="s">
        <v>106</v>
      </c>
      <c r="G95" s="9" t="s">
        <v>110</v>
      </c>
      <c r="H95" s="42"/>
    </row>
    <row r="96" spans="1:8" x14ac:dyDescent="0.25">
      <c r="A96" s="19">
        <v>95</v>
      </c>
      <c r="B96" s="50"/>
      <c r="C96" s="50"/>
      <c r="D96" s="50"/>
      <c r="E96" s="50"/>
      <c r="F96" s="23" t="s">
        <v>107</v>
      </c>
      <c r="G96" s="9" t="s">
        <v>110</v>
      </c>
      <c r="H96" s="42"/>
    </row>
    <row r="97" spans="1:8" ht="15.75" thickBot="1" x14ac:dyDescent="0.3">
      <c r="A97" s="20">
        <v>96</v>
      </c>
      <c r="B97" s="53"/>
      <c r="C97" s="53"/>
      <c r="D97" s="53"/>
      <c r="E97" s="53"/>
      <c r="F97" s="24" t="s">
        <v>108</v>
      </c>
      <c r="G97" s="21" t="s">
        <v>110</v>
      </c>
      <c r="H97" s="43"/>
    </row>
  </sheetData>
  <autoFilter ref="A1:H97" xr:uid="{00000000-0009-0000-0000-000003000000}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7"/>
  <sheetViews>
    <sheetView workbookViewId="0">
      <selection activeCell="D37" sqref="D37"/>
    </sheetView>
  </sheetViews>
  <sheetFormatPr baseColWidth="10" defaultColWidth="11.42578125" defaultRowHeight="15" x14ac:dyDescent="0.25"/>
  <cols>
    <col min="1" max="1" width="22.28515625" style="3" bestFit="1" customWidth="1"/>
    <col min="2" max="2" width="11.42578125" style="3"/>
    <col min="3" max="3" width="20.5703125" style="3" bestFit="1" customWidth="1"/>
    <col min="5" max="5" width="24.140625" customWidth="1"/>
    <col min="7" max="7" width="18.140625" style="3" customWidth="1"/>
    <col min="9" max="9" width="24.140625" customWidth="1"/>
    <col min="11" max="11" width="18.140625" style="3" customWidth="1"/>
    <col min="13" max="13" width="13.85546875" bestFit="1" customWidth="1"/>
    <col min="14" max="14" width="11.42578125" customWidth="1"/>
    <col min="15" max="15" width="13.85546875" bestFit="1" customWidth="1"/>
  </cols>
  <sheetData>
    <row r="1" spans="1:15" ht="15.75" thickBot="1" x14ac:dyDescent="0.3">
      <c r="A1" s="4" t="s">
        <v>136</v>
      </c>
      <c r="B1" s="4" t="s">
        <v>9</v>
      </c>
      <c r="C1" s="4" t="s">
        <v>137</v>
      </c>
      <c r="E1" s="4" t="s">
        <v>136</v>
      </c>
      <c r="F1" s="4" t="s">
        <v>9</v>
      </c>
      <c r="G1" s="4" t="s">
        <v>137</v>
      </c>
      <c r="I1" s="4" t="s">
        <v>136</v>
      </c>
      <c r="J1" s="4" t="s">
        <v>9</v>
      </c>
      <c r="K1" s="4" t="s">
        <v>137</v>
      </c>
      <c r="M1" s="4" t="s">
        <v>134</v>
      </c>
      <c r="N1" s="4" t="s">
        <v>9</v>
      </c>
      <c r="O1" s="4" t="s">
        <v>133</v>
      </c>
    </row>
    <row r="2" spans="1:15" x14ac:dyDescent="0.25">
      <c r="A2" s="77" t="str">
        <f>IF('Plate organization+'!B15="","",'Plate organization+'!B15)</f>
        <v>UNS1_fwd und UNS4_rev</v>
      </c>
      <c r="B2" s="77" t="s">
        <v>10</v>
      </c>
      <c r="C2" s="77" t="str">
        <f t="shared" ref="C2:C33" si="0">IF(A2=0,"",A2)</f>
        <v>UNS1_fwd und UNS4_rev</v>
      </c>
      <c r="E2" s="26" t="str">
        <f>IF('Plate organization+'!B3="","",'Plate organization+'!B3)</f>
        <v>UNS1_fwd</v>
      </c>
      <c r="F2" s="26" t="s">
        <v>10</v>
      </c>
      <c r="G2" s="26" t="str">
        <f t="shared" ref="G2:G10" si="1">IF(E2=0,"",E2)</f>
        <v>UNS1_fwd</v>
      </c>
      <c r="I2" s="29" t="str">
        <f>IF('Plate organization+'!B27="","",'Plate organization+'!B27)</f>
        <v>Template 1</v>
      </c>
      <c r="J2" s="29" t="s">
        <v>10</v>
      </c>
      <c r="K2" s="29" t="str">
        <f t="shared" ref="K2:K10" si="2">IF(I2=0,"",I2)</f>
        <v>Template 1</v>
      </c>
      <c r="M2" s="74" t="s">
        <v>152</v>
      </c>
      <c r="N2" s="75" t="s">
        <v>10</v>
      </c>
      <c r="O2" s="75" t="str">
        <f t="shared" ref="O2:O9" si="3">IF(M2=0,"",M2)</f>
        <v>water</v>
      </c>
    </row>
    <row r="3" spans="1:15" x14ac:dyDescent="0.25">
      <c r="A3" s="78" t="str">
        <f>IF('Plate organization+'!B16="","",'Plate organization+'!B16)</f>
        <v>UNS4_fwd und UNS10_rev</v>
      </c>
      <c r="B3" s="78" t="s">
        <v>11</v>
      </c>
      <c r="C3" s="78" t="str">
        <f t="shared" si="0"/>
        <v>UNS4_fwd und UNS10_rev</v>
      </c>
      <c r="E3" s="27" t="str">
        <f>IF('Plate organization+'!B4="","",'Plate organization+'!B4)</f>
        <v>UNS4_rev</v>
      </c>
      <c r="F3" s="27" t="s">
        <v>11</v>
      </c>
      <c r="G3" s="27" t="str">
        <f t="shared" si="1"/>
        <v>UNS4_rev</v>
      </c>
      <c r="I3" s="30" t="str">
        <f>IF('Plate organization+'!B28="","",'Plate organization+'!B28)</f>
        <v>Template 2</v>
      </c>
      <c r="J3" s="30" t="s">
        <v>11</v>
      </c>
      <c r="K3" s="30" t="str">
        <f t="shared" si="2"/>
        <v>Template 2</v>
      </c>
      <c r="M3" s="74"/>
      <c r="N3" s="74" t="s">
        <v>11</v>
      </c>
      <c r="O3" s="74" t="str">
        <f t="shared" si="3"/>
        <v/>
      </c>
    </row>
    <row r="4" spans="1:15" x14ac:dyDescent="0.25">
      <c r="A4" s="78" t="str">
        <f>IF('Plate organization+'!B17="","",'Plate organization+'!B17)</f>
        <v/>
      </c>
      <c r="B4" s="78" t="s">
        <v>12</v>
      </c>
      <c r="C4" s="78" t="str">
        <f t="shared" si="0"/>
        <v/>
      </c>
      <c r="E4" s="27" t="str">
        <f>IF('Plate organization+'!B5="","",'Plate organization+'!B5)</f>
        <v>UNS4_fwd</v>
      </c>
      <c r="F4" s="27" t="s">
        <v>12</v>
      </c>
      <c r="G4" s="27" t="str">
        <f t="shared" si="1"/>
        <v>UNS4_fwd</v>
      </c>
      <c r="I4" s="30" t="str">
        <f>IF('Plate organization+'!B29="","",'Plate organization+'!B29)</f>
        <v/>
      </c>
      <c r="J4" s="30" t="s">
        <v>12</v>
      </c>
      <c r="K4" s="30" t="str">
        <f t="shared" si="2"/>
        <v/>
      </c>
      <c r="M4" s="74"/>
      <c r="N4" s="74" t="s">
        <v>12</v>
      </c>
      <c r="O4" s="74" t="str">
        <f t="shared" si="3"/>
        <v/>
      </c>
    </row>
    <row r="5" spans="1:15" x14ac:dyDescent="0.25">
      <c r="A5" s="78" t="str">
        <f>IF('Plate organization+'!B18="","",'Plate organization+'!B18)</f>
        <v/>
      </c>
      <c r="B5" s="78" t="s">
        <v>13</v>
      </c>
      <c r="C5" s="78" t="str">
        <f t="shared" si="0"/>
        <v/>
      </c>
      <c r="E5" s="27" t="str">
        <f>IF('Plate organization+'!B6="","",'Plate organization+'!B6)</f>
        <v>UNS10_rev</v>
      </c>
      <c r="F5" s="27" t="s">
        <v>13</v>
      </c>
      <c r="G5" s="27" t="str">
        <f t="shared" si="1"/>
        <v>UNS10_rev</v>
      </c>
      <c r="I5" s="30" t="str">
        <f>IF('Plate organization+'!B30="","",'Plate organization+'!B30)</f>
        <v/>
      </c>
      <c r="J5" s="30" t="s">
        <v>13</v>
      </c>
      <c r="K5" s="30" t="str">
        <f t="shared" si="2"/>
        <v/>
      </c>
      <c r="M5" s="74"/>
      <c r="N5" s="74" t="s">
        <v>13</v>
      </c>
      <c r="O5" s="74" t="str">
        <f t="shared" si="3"/>
        <v/>
      </c>
    </row>
    <row r="6" spans="1:15" x14ac:dyDescent="0.25">
      <c r="A6" s="78" t="str">
        <f>IF('Plate organization+'!B19="","",'Plate organization+'!B19)</f>
        <v/>
      </c>
      <c r="B6" s="78" t="s">
        <v>14</v>
      </c>
      <c r="C6" s="78" t="str">
        <f t="shared" si="0"/>
        <v/>
      </c>
      <c r="E6" s="27" t="str">
        <f>IF('Plate organization+'!B7="","",'Plate organization+'!B7)</f>
        <v/>
      </c>
      <c r="F6" s="27" t="s">
        <v>14</v>
      </c>
      <c r="G6" s="27" t="str">
        <f t="shared" si="1"/>
        <v/>
      </c>
      <c r="I6" s="30" t="str">
        <f>IF('Plate organization+'!B31="","",'Plate organization+'!B31)</f>
        <v/>
      </c>
      <c r="J6" s="30" t="s">
        <v>14</v>
      </c>
      <c r="K6" s="30" t="str">
        <f t="shared" si="2"/>
        <v/>
      </c>
      <c r="M6" s="74"/>
      <c r="N6" s="74" t="s">
        <v>14</v>
      </c>
      <c r="O6" s="74" t="str">
        <f t="shared" si="3"/>
        <v/>
      </c>
    </row>
    <row r="7" spans="1:15" x14ac:dyDescent="0.25">
      <c r="A7" s="78" t="str">
        <f>IF('Plate organization+'!B20="","",'Plate organization+'!B20)</f>
        <v/>
      </c>
      <c r="B7" s="78" t="s">
        <v>15</v>
      </c>
      <c r="C7" s="78" t="str">
        <f t="shared" si="0"/>
        <v/>
      </c>
      <c r="E7" s="27" t="str">
        <f>IF('Plate organization+'!B8="","",'Plate organization+'!B8)</f>
        <v/>
      </c>
      <c r="F7" s="27" t="s">
        <v>15</v>
      </c>
      <c r="G7" s="27" t="str">
        <f t="shared" si="1"/>
        <v/>
      </c>
      <c r="I7" s="30" t="str">
        <f>IF('Plate organization+'!B32="","",'Plate organization+'!B32)</f>
        <v/>
      </c>
      <c r="J7" s="30" t="s">
        <v>15</v>
      </c>
      <c r="K7" s="30" t="str">
        <f t="shared" si="2"/>
        <v/>
      </c>
      <c r="M7" s="74"/>
      <c r="N7" s="74" t="s">
        <v>15</v>
      </c>
      <c r="O7" s="74" t="str">
        <f t="shared" si="3"/>
        <v/>
      </c>
    </row>
    <row r="8" spans="1:15" x14ac:dyDescent="0.25">
      <c r="A8" s="78" t="str">
        <f>IF('Plate organization+'!B21="","",'Plate organization+'!B21)</f>
        <v/>
      </c>
      <c r="B8" s="78" t="s">
        <v>16</v>
      </c>
      <c r="C8" s="78" t="str">
        <f t="shared" si="0"/>
        <v/>
      </c>
      <c r="E8" s="27" t="str">
        <f>IF('Plate organization+'!B9="","",'Plate organization+'!B9)</f>
        <v/>
      </c>
      <c r="F8" s="27" t="s">
        <v>16</v>
      </c>
      <c r="G8" s="27" t="str">
        <f t="shared" si="1"/>
        <v/>
      </c>
      <c r="I8" s="30" t="str">
        <f>IF('Plate organization+'!B33="","",'Plate organization+'!B33)</f>
        <v/>
      </c>
      <c r="J8" s="30" t="s">
        <v>16</v>
      </c>
      <c r="K8" s="30" t="str">
        <f t="shared" si="2"/>
        <v/>
      </c>
      <c r="M8" s="74"/>
      <c r="N8" s="74" t="s">
        <v>16</v>
      </c>
      <c r="O8" s="74" t="str">
        <f t="shared" si="3"/>
        <v/>
      </c>
    </row>
    <row r="9" spans="1:15" ht="15.75" thickBot="1" x14ac:dyDescent="0.3">
      <c r="A9" s="79" t="str">
        <f>IF('Plate organization+'!B22="","",'Plate organization+'!B22)</f>
        <v/>
      </c>
      <c r="B9" s="79" t="s">
        <v>17</v>
      </c>
      <c r="C9" s="79" t="str">
        <f t="shared" si="0"/>
        <v/>
      </c>
      <c r="E9" s="28" t="str">
        <f>IF('Plate organization+'!B10="","",'Plate organization+'!B10)</f>
        <v/>
      </c>
      <c r="F9" s="28" t="s">
        <v>17</v>
      </c>
      <c r="G9" s="28" t="str">
        <f t="shared" si="1"/>
        <v/>
      </c>
      <c r="I9" s="31" t="str">
        <f>IF('Plate organization+'!B34="","",'Plate organization+'!B34)</f>
        <v/>
      </c>
      <c r="J9" s="31" t="s">
        <v>17</v>
      </c>
      <c r="K9" s="31" t="str">
        <f t="shared" si="2"/>
        <v/>
      </c>
      <c r="M9" s="74"/>
      <c r="N9" s="76" t="s">
        <v>17</v>
      </c>
      <c r="O9" s="76" t="str">
        <f t="shared" si="3"/>
        <v/>
      </c>
    </row>
    <row r="10" spans="1:15" x14ac:dyDescent="0.25">
      <c r="A10" s="77" t="str">
        <f>IF('Plate organization+'!C15="","",'Plate organization+'!C15)</f>
        <v/>
      </c>
      <c r="B10" s="77" t="s">
        <v>18</v>
      </c>
      <c r="C10" s="77" t="str">
        <f t="shared" si="0"/>
        <v/>
      </c>
      <c r="E10" s="26" t="str">
        <f>IF('Plate organization+'!C3="","",'Plate organization+'!C3)</f>
        <v/>
      </c>
      <c r="F10" s="26" t="s">
        <v>18</v>
      </c>
      <c r="G10" s="26" t="str">
        <f t="shared" si="1"/>
        <v/>
      </c>
      <c r="I10" s="29" t="str">
        <f>IF('Plate organization+'!C27="","",'Plate organization+'!C27)</f>
        <v/>
      </c>
      <c r="J10" s="29" t="s">
        <v>18</v>
      </c>
      <c r="K10" s="29" t="str">
        <f t="shared" si="2"/>
        <v/>
      </c>
    </row>
    <row r="11" spans="1:15" x14ac:dyDescent="0.25">
      <c r="A11" s="78" t="str">
        <f>IF('Plate organization+'!C16="","",'Plate organization+'!C16)</f>
        <v/>
      </c>
      <c r="B11" s="78" t="s">
        <v>19</v>
      </c>
      <c r="C11" s="78" t="str">
        <f>IF(A11=0,"",A11)</f>
        <v/>
      </c>
      <c r="E11" s="27" t="str">
        <f>IF('Plate organization+'!C4="","",'Plate organization+'!C4)</f>
        <v/>
      </c>
      <c r="F11" s="27" t="s">
        <v>19</v>
      </c>
      <c r="G11" s="27" t="str">
        <f>IF(E11=0,"",E11)</f>
        <v/>
      </c>
      <c r="I11" s="30" t="str">
        <f>IF('Plate organization+'!C28="","",'Plate organization+'!C28)</f>
        <v/>
      </c>
      <c r="J11" s="30" t="s">
        <v>19</v>
      </c>
      <c r="K11" s="30" t="str">
        <f>IF(I11=0,"",I11)</f>
        <v/>
      </c>
    </row>
    <row r="12" spans="1:15" x14ac:dyDescent="0.25">
      <c r="A12" s="78" t="str">
        <f>IF('Plate organization+'!C17="","",'Plate organization+'!C17)</f>
        <v/>
      </c>
      <c r="B12" s="78" t="s">
        <v>20</v>
      </c>
      <c r="C12" s="78" t="str">
        <f t="shared" si="0"/>
        <v/>
      </c>
      <c r="E12" s="27" t="str">
        <f>IF('Plate organization+'!C5="","",'Plate organization+'!C5)</f>
        <v/>
      </c>
      <c r="F12" s="27" t="s">
        <v>20</v>
      </c>
      <c r="G12" s="27" t="str">
        <f t="shared" ref="G12:G75" si="4">IF(E12=0,"",E12)</f>
        <v/>
      </c>
      <c r="I12" s="30" t="str">
        <f>IF('Plate organization+'!C29="","",'Plate organization+'!C29)</f>
        <v/>
      </c>
      <c r="J12" s="30" t="s">
        <v>20</v>
      </c>
      <c r="K12" s="30" t="str">
        <f t="shared" ref="K12:K71" si="5">IF(I12=0,"",I12)</f>
        <v/>
      </c>
    </row>
    <row r="13" spans="1:15" x14ac:dyDescent="0.25">
      <c r="A13" s="78" t="str">
        <f>IF('Plate organization+'!C18="","",'Plate organization+'!C18)</f>
        <v/>
      </c>
      <c r="B13" s="78" t="s">
        <v>21</v>
      </c>
      <c r="C13" s="78" t="str">
        <f t="shared" si="0"/>
        <v/>
      </c>
      <c r="E13" s="27" t="str">
        <f>IF('Plate organization+'!C6="","",'Plate organization+'!C6)</f>
        <v/>
      </c>
      <c r="F13" s="27" t="s">
        <v>21</v>
      </c>
      <c r="G13" s="27" t="str">
        <f t="shared" si="4"/>
        <v/>
      </c>
      <c r="I13" s="30" t="str">
        <f>IF('Plate organization+'!C30="","",'Plate organization+'!C30)</f>
        <v/>
      </c>
      <c r="J13" s="30" t="s">
        <v>21</v>
      </c>
      <c r="K13" s="30" t="str">
        <f t="shared" si="5"/>
        <v/>
      </c>
    </row>
    <row r="14" spans="1:15" x14ac:dyDescent="0.25">
      <c r="A14" s="78" t="str">
        <f>IF('Plate organization+'!C19="","",'Plate organization+'!C19)</f>
        <v/>
      </c>
      <c r="B14" s="78" t="s">
        <v>22</v>
      </c>
      <c r="C14" s="78" t="str">
        <f t="shared" si="0"/>
        <v/>
      </c>
      <c r="E14" s="27" t="str">
        <f>IF('Plate organization+'!C7="","",'Plate organization+'!C7)</f>
        <v/>
      </c>
      <c r="F14" s="27" t="s">
        <v>22</v>
      </c>
      <c r="G14" s="27" t="str">
        <f t="shared" si="4"/>
        <v/>
      </c>
      <c r="I14" s="30" t="str">
        <f>IF('Plate organization+'!C31="","",'Plate organization+'!C31)</f>
        <v/>
      </c>
      <c r="J14" s="30" t="s">
        <v>22</v>
      </c>
      <c r="K14" s="30" t="str">
        <f t="shared" si="5"/>
        <v/>
      </c>
    </row>
    <row r="15" spans="1:15" x14ac:dyDescent="0.25">
      <c r="A15" s="78" t="str">
        <f>IF('Plate organization+'!C20="","",'Plate organization+'!C20)</f>
        <v/>
      </c>
      <c r="B15" s="78" t="s">
        <v>23</v>
      </c>
      <c r="C15" s="78" t="str">
        <f t="shared" si="0"/>
        <v/>
      </c>
      <c r="E15" s="27" t="str">
        <f>IF('Plate organization+'!C8="","",'Plate organization+'!C8)</f>
        <v/>
      </c>
      <c r="F15" s="27" t="s">
        <v>23</v>
      </c>
      <c r="G15" s="27" t="str">
        <f t="shared" si="4"/>
        <v/>
      </c>
      <c r="I15" s="30" t="str">
        <f>IF('Plate organization+'!C32="","",'Plate organization+'!C32)</f>
        <v/>
      </c>
      <c r="J15" s="30" t="s">
        <v>23</v>
      </c>
      <c r="K15" s="30" t="str">
        <f t="shared" si="5"/>
        <v/>
      </c>
    </row>
    <row r="16" spans="1:15" x14ac:dyDescent="0.25">
      <c r="A16" s="78" t="str">
        <f>IF('Plate organization+'!C21="","",'Plate organization+'!C21)</f>
        <v/>
      </c>
      <c r="B16" s="78" t="s">
        <v>24</v>
      </c>
      <c r="C16" s="78" t="str">
        <f t="shared" si="0"/>
        <v/>
      </c>
      <c r="E16" s="27" t="str">
        <f>IF('Plate organization+'!C9="","",'Plate organization+'!C9)</f>
        <v/>
      </c>
      <c r="F16" s="27" t="s">
        <v>24</v>
      </c>
      <c r="G16" s="27" t="str">
        <f t="shared" si="4"/>
        <v/>
      </c>
      <c r="I16" s="30" t="str">
        <f>IF('Plate organization+'!C33="","",'Plate organization+'!C33)</f>
        <v/>
      </c>
      <c r="J16" s="30" t="s">
        <v>24</v>
      </c>
      <c r="K16" s="30" t="str">
        <f t="shared" si="5"/>
        <v/>
      </c>
    </row>
    <row r="17" spans="1:11" ht="15.75" thickBot="1" x14ac:dyDescent="0.3">
      <c r="A17" s="79" t="str">
        <f>IF('Plate organization+'!C22="","",'Plate organization+'!C22)</f>
        <v/>
      </c>
      <c r="B17" s="79" t="s">
        <v>25</v>
      </c>
      <c r="C17" s="79" t="str">
        <f t="shared" si="0"/>
        <v/>
      </c>
      <c r="E17" s="28" t="str">
        <f>IF('Plate organization+'!C10="","",'Plate organization+'!C10)</f>
        <v/>
      </c>
      <c r="F17" s="28" t="s">
        <v>25</v>
      </c>
      <c r="G17" s="28" t="str">
        <f t="shared" si="4"/>
        <v/>
      </c>
      <c r="I17" s="31" t="str">
        <f>IF('Plate organization+'!C34="","",'Plate organization+'!C34)</f>
        <v/>
      </c>
      <c r="J17" s="31" t="s">
        <v>25</v>
      </c>
      <c r="K17" s="31" t="str">
        <f t="shared" si="5"/>
        <v/>
      </c>
    </row>
    <row r="18" spans="1:11" x14ac:dyDescent="0.25">
      <c r="A18" s="77" t="str">
        <f>IF('Plate organization+'!D15="","",'Plate organization+'!D15)</f>
        <v>Mastermix1</v>
      </c>
      <c r="B18" s="77" t="s">
        <v>26</v>
      </c>
      <c r="C18" s="77" t="str">
        <f t="shared" si="0"/>
        <v>Mastermix1</v>
      </c>
      <c r="E18" s="26" t="str">
        <f>IF('Plate organization+'!D3="","",'Plate organization+'!D3)</f>
        <v/>
      </c>
      <c r="F18" s="26" t="s">
        <v>26</v>
      </c>
      <c r="G18" s="26" t="str">
        <f t="shared" si="4"/>
        <v/>
      </c>
      <c r="I18" s="29" t="str">
        <f>IF('Plate organization+'!D27="","",'Plate organization+'!D27)</f>
        <v/>
      </c>
      <c r="J18" s="29" t="s">
        <v>26</v>
      </c>
      <c r="K18" s="29" t="str">
        <f t="shared" si="5"/>
        <v/>
      </c>
    </row>
    <row r="19" spans="1:11" x14ac:dyDescent="0.25">
      <c r="A19" s="78" t="str">
        <f>IF('Plate organization+'!D16="","",'Plate organization+'!D16)</f>
        <v/>
      </c>
      <c r="B19" s="78" t="s">
        <v>27</v>
      </c>
      <c r="C19" s="78" t="str">
        <f t="shared" si="0"/>
        <v/>
      </c>
      <c r="E19" s="27" t="str">
        <f>IF('Plate organization+'!D4="","",'Plate organization+'!D4)</f>
        <v/>
      </c>
      <c r="F19" s="27" t="s">
        <v>27</v>
      </c>
      <c r="G19" s="27" t="str">
        <f t="shared" si="4"/>
        <v/>
      </c>
      <c r="I19" s="30" t="str">
        <f>IF('Plate organization+'!D28="","",'Plate organization+'!D28)</f>
        <v/>
      </c>
      <c r="J19" s="30" t="s">
        <v>27</v>
      </c>
      <c r="K19" s="30" t="str">
        <f t="shared" ref="K19:K25" si="6">IF(I19=0,"",I19)</f>
        <v/>
      </c>
    </row>
    <row r="20" spans="1:11" x14ac:dyDescent="0.25">
      <c r="A20" s="78" t="str">
        <f>IF('Plate organization+'!D17="","",'Plate organization+'!D17)</f>
        <v/>
      </c>
      <c r="B20" s="78" t="s">
        <v>28</v>
      </c>
      <c r="C20" s="78" t="str">
        <f t="shared" si="0"/>
        <v/>
      </c>
      <c r="E20" s="27" t="str">
        <f>IF('Plate organization+'!D5="","",'Plate organization+'!D5)</f>
        <v/>
      </c>
      <c r="F20" s="27" t="s">
        <v>28</v>
      </c>
      <c r="G20" s="27" t="str">
        <f t="shared" si="4"/>
        <v/>
      </c>
      <c r="I20" s="30" t="str">
        <f>IF('Plate organization+'!D29="","",'Plate organization+'!D29)</f>
        <v/>
      </c>
      <c r="J20" s="30" t="s">
        <v>28</v>
      </c>
      <c r="K20" s="30" t="str">
        <f t="shared" si="6"/>
        <v/>
      </c>
    </row>
    <row r="21" spans="1:11" x14ac:dyDescent="0.25">
      <c r="A21" s="78" t="str">
        <f>IF('Plate organization+'!D18="","",'Plate organization+'!D18)</f>
        <v/>
      </c>
      <c r="B21" s="78" t="s">
        <v>29</v>
      </c>
      <c r="C21" s="78" t="str">
        <f t="shared" si="0"/>
        <v/>
      </c>
      <c r="E21" s="27" t="str">
        <f>IF('Plate organization+'!D6="","",'Plate organization+'!D6)</f>
        <v/>
      </c>
      <c r="F21" s="27" t="s">
        <v>29</v>
      </c>
      <c r="G21" s="27" t="str">
        <f t="shared" si="4"/>
        <v/>
      </c>
      <c r="I21" s="30" t="str">
        <f>IF('Plate organization+'!D30="","",'Plate organization+'!D30)</f>
        <v/>
      </c>
      <c r="J21" s="30" t="s">
        <v>29</v>
      </c>
      <c r="K21" s="30" t="str">
        <f t="shared" si="6"/>
        <v/>
      </c>
    </row>
    <row r="22" spans="1:11" x14ac:dyDescent="0.25">
      <c r="A22" s="78" t="str">
        <f>IF('Plate organization+'!D19="","",'Plate organization+'!D19)</f>
        <v/>
      </c>
      <c r="B22" s="78" t="s">
        <v>30</v>
      </c>
      <c r="C22" s="78" t="str">
        <f t="shared" si="0"/>
        <v/>
      </c>
      <c r="E22" s="27" t="str">
        <f>IF('Plate organization+'!D7="","",'Plate organization+'!D7)</f>
        <v/>
      </c>
      <c r="F22" s="27" t="s">
        <v>30</v>
      </c>
      <c r="G22" s="27" t="str">
        <f t="shared" si="4"/>
        <v/>
      </c>
      <c r="I22" s="30" t="str">
        <f>IF('Plate organization+'!D31="","",'Plate organization+'!D31)</f>
        <v/>
      </c>
      <c r="J22" s="30" t="s">
        <v>30</v>
      </c>
      <c r="K22" s="30" t="str">
        <f t="shared" si="6"/>
        <v/>
      </c>
    </row>
    <row r="23" spans="1:11" x14ac:dyDescent="0.25">
      <c r="A23" s="78" t="str">
        <f>IF('Plate organization+'!D20="","",'Plate organization+'!D20)</f>
        <v/>
      </c>
      <c r="B23" s="78" t="s">
        <v>31</v>
      </c>
      <c r="C23" s="78" t="str">
        <f t="shared" si="0"/>
        <v/>
      </c>
      <c r="E23" s="27" t="str">
        <f>IF('Plate organization+'!D8="","",'Plate organization+'!D8)</f>
        <v/>
      </c>
      <c r="F23" s="27" t="s">
        <v>31</v>
      </c>
      <c r="G23" s="27" t="str">
        <f t="shared" si="4"/>
        <v/>
      </c>
      <c r="I23" s="30" t="str">
        <f>IF('Plate organization+'!D32="","",'Plate organization+'!D32)</f>
        <v/>
      </c>
      <c r="J23" s="30" t="s">
        <v>31</v>
      </c>
      <c r="K23" s="30" t="str">
        <f t="shared" si="6"/>
        <v/>
      </c>
    </row>
    <row r="24" spans="1:11" x14ac:dyDescent="0.25">
      <c r="A24" s="78" t="str">
        <f>IF('Plate organization+'!D21="","",'Plate organization+'!D21)</f>
        <v/>
      </c>
      <c r="B24" s="78" t="s">
        <v>32</v>
      </c>
      <c r="C24" s="78" t="str">
        <f t="shared" si="0"/>
        <v/>
      </c>
      <c r="E24" s="27" t="str">
        <f>IF('Plate organization+'!D9="","",'Plate organization+'!D9)</f>
        <v/>
      </c>
      <c r="F24" s="27" t="s">
        <v>32</v>
      </c>
      <c r="G24" s="27" t="str">
        <f t="shared" si="4"/>
        <v/>
      </c>
      <c r="I24" s="30" t="str">
        <f>IF('Plate organization+'!D33="","",'Plate organization+'!D33)</f>
        <v/>
      </c>
      <c r="J24" s="30" t="s">
        <v>32</v>
      </c>
      <c r="K24" s="30" t="str">
        <f t="shared" si="6"/>
        <v/>
      </c>
    </row>
    <row r="25" spans="1:11" ht="15.75" thickBot="1" x14ac:dyDescent="0.3">
      <c r="A25" s="79" t="str">
        <f>IF('Plate organization+'!D22="","",'Plate organization+'!D22)</f>
        <v/>
      </c>
      <c r="B25" s="79" t="s">
        <v>33</v>
      </c>
      <c r="C25" s="79" t="str">
        <f t="shared" si="0"/>
        <v/>
      </c>
      <c r="E25" s="28" t="str">
        <f>IF('Plate organization+'!D10="","",'Plate organization+'!D10)</f>
        <v/>
      </c>
      <c r="F25" s="28" t="s">
        <v>33</v>
      </c>
      <c r="G25" s="28" t="str">
        <f t="shared" si="4"/>
        <v/>
      </c>
      <c r="I25" s="31" t="str">
        <f>IF('Plate organization+'!D34="","",'Plate organization+'!D34)</f>
        <v/>
      </c>
      <c r="J25" s="31" t="s">
        <v>33</v>
      </c>
      <c r="K25" s="31" t="str">
        <f t="shared" si="6"/>
        <v/>
      </c>
    </row>
    <row r="26" spans="1:11" x14ac:dyDescent="0.25">
      <c r="A26" s="77" t="str">
        <f>IF('Plate organization+'!E15="","",'Plate organization+'!E15)</f>
        <v/>
      </c>
      <c r="B26" s="77" t="s">
        <v>34</v>
      </c>
      <c r="C26" s="77" t="str">
        <f t="shared" si="0"/>
        <v/>
      </c>
      <c r="E26" s="26" t="str">
        <f>IF('Plate organization+'!E3="","",'Plate organization+'!E3)</f>
        <v/>
      </c>
      <c r="F26" s="26" t="s">
        <v>34</v>
      </c>
      <c r="G26" s="26" t="str">
        <f t="shared" si="4"/>
        <v/>
      </c>
      <c r="I26" s="29" t="str">
        <f>IF('Plate organization+'!E27="","",'Plate organization+'!E27)</f>
        <v/>
      </c>
      <c r="J26" s="29" t="s">
        <v>34</v>
      </c>
      <c r="K26" s="29" t="str">
        <f t="shared" si="5"/>
        <v/>
      </c>
    </row>
    <row r="27" spans="1:11" x14ac:dyDescent="0.25">
      <c r="A27" s="78" t="str">
        <f>IF('Plate organization+'!E16="","",'Plate organization+'!E16)</f>
        <v/>
      </c>
      <c r="B27" s="78" t="s">
        <v>35</v>
      </c>
      <c r="C27" s="78" t="str">
        <f t="shared" si="0"/>
        <v/>
      </c>
      <c r="E27" s="27" t="str">
        <f>IF('Plate organization+'!E4="","",'Plate organization+'!E4)</f>
        <v/>
      </c>
      <c r="F27" s="27" t="s">
        <v>35</v>
      </c>
      <c r="G27" s="27" t="str">
        <f t="shared" si="4"/>
        <v/>
      </c>
      <c r="I27" s="30" t="str">
        <f>IF('Plate organization+'!E28="","",'Plate organization+'!E28)</f>
        <v/>
      </c>
      <c r="J27" s="30" t="s">
        <v>35</v>
      </c>
      <c r="K27" s="30" t="str">
        <f t="shared" ref="K27:K33" si="7">IF(I27=0,"",I27)</f>
        <v/>
      </c>
    </row>
    <row r="28" spans="1:11" x14ac:dyDescent="0.25">
      <c r="A28" s="78" t="str">
        <f>IF('Plate organization+'!E17="","",'Plate organization+'!E17)</f>
        <v/>
      </c>
      <c r="B28" s="78" t="s">
        <v>36</v>
      </c>
      <c r="C28" s="78" t="str">
        <f t="shared" si="0"/>
        <v/>
      </c>
      <c r="E28" s="27" t="str">
        <f>IF('Plate organization+'!E5="","",'Plate organization+'!E5)</f>
        <v/>
      </c>
      <c r="F28" s="27" t="s">
        <v>36</v>
      </c>
      <c r="G28" s="27" t="str">
        <f t="shared" si="4"/>
        <v/>
      </c>
      <c r="I28" s="30" t="str">
        <f>IF('Plate organization+'!E29="","",'Plate organization+'!E29)</f>
        <v/>
      </c>
      <c r="J28" s="30" t="s">
        <v>36</v>
      </c>
      <c r="K28" s="30" t="str">
        <f t="shared" si="7"/>
        <v/>
      </c>
    </row>
    <row r="29" spans="1:11" x14ac:dyDescent="0.25">
      <c r="A29" s="78" t="str">
        <f>IF('Plate organization+'!E18="","",'Plate organization+'!E18)</f>
        <v/>
      </c>
      <c r="B29" s="78" t="s">
        <v>37</v>
      </c>
      <c r="C29" s="78" t="str">
        <f t="shared" si="0"/>
        <v/>
      </c>
      <c r="E29" s="27" t="str">
        <f>IF('Plate organization+'!E6="","",'Plate organization+'!E6)</f>
        <v/>
      </c>
      <c r="F29" s="27" t="s">
        <v>37</v>
      </c>
      <c r="G29" s="27" t="str">
        <f t="shared" si="4"/>
        <v/>
      </c>
      <c r="I29" s="30" t="str">
        <f>IF('Plate organization+'!E30="","",'Plate organization+'!E30)</f>
        <v/>
      </c>
      <c r="J29" s="30" t="s">
        <v>37</v>
      </c>
      <c r="K29" s="30" t="str">
        <f t="shared" si="7"/>
        <v/>
      </c>
    </row>
    <row r="30" spans="1:11" x14ac:dyDescent="0.25">
      <c r="A30" s="78" t="str">
        <f>IF('Plate organization+'!E19="","",'Plate organization+'!E19)</f>
        <v/>
      </c>
      <c r="B30" s="78" t="s">
        <v>38</v>
      </c>
      <c r="C30" s="78" t="str">
        <f t="shared" si="0"/>
        <v/>
      </c>
      <c r="E30" s="27" t="str">
        <f>IF('Plate organization+'!E7="","",'Plate organization+'!E7)</f>
        <v/>
      </c>
      <c r="F30" s="27" t="s">
        <v>38</v>
      </c>
      <c r="G30" s="27" t="str">
        <f t="shared" si="4"/>
        <v/>
      </c>
      <c r="I30" s="30" t="str">
        <f>IF('Plate organization+'!E31="","",'Plate organization+'!E31)</f>
        <v/>
      </c>
      <c r="J30" s="30" t="s">
        <v>38</v>
      </c>
      <c r="K30" s="30" t="str">
        <f t="shared" si="7"/>
        <v/>
      </c>
    </row>
    <row r="31" spans="1:11" x14ac:dyDescent="0.25">
      <c r="A31" s="78" t="str">
        <f>IF('Plate organization+'!E20="","",'Plate organization+'!E20)</f>
        <v/>
      </c>
      <c r="B31" s="78" t="s">
        <v>39</v>
      </c>
      <c r="C31" s="78" t="str">
        <f t="shared" si="0"/>
        <v/>
      </c>
      <c r="E31" s="27" t="str">
        <f>IF('Plate organization+'!E8="","",'Plate organization+'!E8)</f>
        <v/>
      </c>
      <c r="F31" s="27" t="s">
        <v>39</v>
      </c>
      <c r="G31" s="27" t="str">
        <f t="shared" si="4"/>
        <v/>
      </c>
      <c r="I31" s="30" t="str">
        <f>IF('Plate organization+'!E32="","",'Plate organization+'!E32)</f>
        <v/>
      </c>
      <c r="J31" s="30" t="s">
        <v>39</v>
      </c>
      <c r="K31" s="30" t="str">
        <f t="shared" si="7"/>
        <v/>
      </c>
    </row>
    <row r="32" spans="1:11" x14ac:dyDescent="0.25">
      <c r="A32" s="78" t="str">
        <f>IF('Plate organization+'!E21="","",'Plate organization+'!E21)</f>
        <v/>
      </c>
      <c r="B32" s="78" t="s">
        <v>40</v>
      </c>
      <c r="C32" s="78" t="str">
        <f t="shared" si="0"/>
        <v/>
      </c>
      <c r="E32" s="27" t="str">
        <f>IF('Plate organization+'!E9="","",'Plate organization+'!E9)</f>
        <v/>
      </c>
      <c r="F32" s="27" t="s">
        <v>40</v>
      </c>
      <c r="G32" s="27" t="str">
        <f t="shared" si="4"/>
        <v/>
      </c>
      <c r="I32" s="30" t="str">
        <f>IF('Plate organization+'!E33="","",'Plate organization+'!E33)</f>
        <v/>
      </c>
      <c r="J32" s="30" t="s">
        <v>40</v>
      </c>
      <c r="K32" s="30" t="str">
        <f t="shared" si="7"/>
        <v/>
      </c>
    </row>
    <row r="33" spans="1:11" ht="15.75" thickBot="1" x14ac:dyDescent="0.3">
      <c r="A33" s="79" t="str">
        <f>IF('Plate organization+'!E22="","",'Plate organization+'!E22)</f>
        <v/>
      </c>
      <c r="B33" s="79" t="s">
        <v>41</v>
      </c>
      <c r="C33" s="79" t="str">
        <f t="shared" si="0"/>
        <v/>
      </c>
      <c r="E33" s="28" t="str">
        <f>IF('Plate organization+'!E10="","",'Plate organization+'!E10)</f>
        <v/>
      </c>
      <c r="F33" s="28" t="s">
        <v>41</v>
      </c>
      <c r="G33" s="28" t="str">
        <f t="shared" si="4"/>
        <v/>
      </c>
      <c r="I33" s="31" t="str">
        <f>IF('Plate organization+'!E34="","",'Plate organization+'!E34)</f>
        <v/>
      </c>
      <c r="J33" s="31" t="s">
        <v>41</v>
      </c>
      <c r="K33" s="31" t="str">
        <f t="shared" si="7"/>
        <v/>
      </c>
    </row>
    <row r="34" spans="1:11" x14ac:dyDescent="0.25">
      <c r="A34" s="77" t="str">
        <f>IF('Plate organization+'!F15="","",'Plate organization+'!F15)</f>
        <v/>
      </c>
      <c r="B34" s="77" t="s">
        <v>42</v>
      </c>
      <c r="C34" s="77" t="str">
        <f t="shared" ref="C34:C65" si="8">IF(A34=0,"",A34)</f>
        <v/>
      </c>
      <c r="E34" s="26" t="str">
        <f>IF('Plate organization+'!F3="","",'Plate organization+'!F3)</f>
        <v/>
      </c>
      <c r="F34" s="26" t="s">
        <v>42</v>
      </c>
      <c r="G34" s="26" t="str">
        <f t="shared" si="4"/>
        <v/>
      </c>
      <c r="I34" s="29" t="str">
        <f>IF('Plate organization+'!F27="","",'Plate organization+'!F27)</f>
        <v/>
      </c>
      <c r="J34" s="29" t="s">
        <v>42</v>
      </c>
      <c r="K34" s="29" t="str">
        <f t="shared" si="5"/>
        <v/>
      </c>
    </row>
    <row r="35" spans="1:11" x14ac:dyDescent="0.25">
      <c r="A35" s="78" t="str">
        <f>IF('Plate organization+'!F16="","",'Plate organization+'!F16)</f>
        <v/>
      </c>
      <c r="B35" s="78" t="s">
        <v>43</v>
      </c>
      <c r="C35" s="78" t="str">
        <f t="shared" si="8"/>
        <v/>
      </c>
      <c r="E35" s="27" t="str">
        <f>IF('Plate organization+'!F4="","",'Plate organization+'!F4)</f>
        <v/>
      </c>
      <c r="F35" s="27" t="s">
        <v>43</v>
      </c>
      <c r="G35" s="27" t="str">
        <f t="shared" si="4"/>
        <v/>
      </c>
      <c r="I35" s="30" t="str">
        <f>IF('Plate organization+'!F28="","",'Plate organization+'!F28)</f>
        <v/>
      </c>
      <c r="J35" s="30" t="s">
        <v>43</v>
      </c>
      <c r="K35" s="30" t="str">
        <f t="shared" ref="K35:K41" si="9">IF(I35=0,"",I35)</f>
        <v/>
      </c>
    </row>
    <row r="36" spans="1:11" x14ac:dyDescent="0.25">
      <c r="A36" s="78" t="str">
        <f>IF('Plate organization+'!F17="","",'Plate organization+'!F17)</f>
        <v/>
      </c>
      <c r="B36" s="78" t="s">
        <v>44</v>
      </c>
      <c r="C36" s="78" t="str">
        <f t="shared" si="8"/>
        <v/>
      </c>
      <c r="E36" s="27" t="str">
        <f>IF('Plate organization+'!F5="","",'Plate organization+'!F5)</f>
        <v/>
      </c>
      <c r="F36" s="27" t="s">
        <v>44</v>
      </c>
      <c r="G36" s="27" t="str">
        <f t="shared" si="4"/>
        <v/>
      </c>
      <c r="I36" s="30" t="str">
        <f>IF('Plate organization+'!F29="","",'Plate organization+'!F29)</f>
        <v/>
      </c>
      <c r="J36" s="30" t="s">
        <v>44</v>
      </c>
      <c r="K36" s="30" t="str">
        <f t="shared" si="9"/>
        <v/>
      </c>
    </row>
    <row r="37" spans="1:11" x14ac:dyDescent="0.25">
      <c r="A37" s="78" t="str">
        <f>IF('Plate organization+'!F18="","",'Plate organization+'!F18)</f>
        <v/>
      </c>
      <c r="B37" s="78" t="s">
        <v>45</v>
      </c>
      <c r="C37" s="78" t="str">
        <f t="shared" si="8"/>
        <v/>
      </c>
      <c r="E37" s="27" t="str">
        <f>IF('Plate organization+'!F6="","",'Plate organization+'!F6)</f>
        <v/>
      </c>
      <c r="F37" s="27" t="s">
        <v>45</v>
      </c>
      <c r="G37" s="27" t="str">
        <f t="shared" si="4"/>
        <v/>
      </c>
      <c r="I37" s="30" t="str">
        <f>IF('Plate organization+'!F30="","",'Plate organization+'!F30)</f>
        <v/>
      </c>
      <c r="J37" s="30" t="s">
        <v>45</v>
      </c>
      <c r="K37" s="30" t="str">
        <f t="shared" si="9"/>
        <v/>
      </c>
    </row>
    <row r="38" spans="1:11" x14ac:dyDescent="0.25">
      <c r="A38" s="78" t="str">
        <f>IF('Plate organization+'!F19="","",'Plate organization+'!F19)</f>
        <v/>
      </c>
      <c r="B38" s="78" t="s">
        <v>46</v>
      </c>
      <c r="C38" s="78" t="str">
        <f t="shared" si="8"/>
        <v/>
      </c>
      <c r="E38" s="27" t="str">
        <f>IF('Plate organization+'!F7="","",'Plate organization+'!F7)</f>
        <v/>
      </c>
      <c r="F38" s="27" t="s">
        <v>46</v>
      </c>
      <c r="G38" s="27" t="str">
        <f t="shared" si="4"/>
        <v/>
      </c>
      <c r="I38" s="30" t="str">
        <f>IF('Plate organization+'!F31="","",'Plate organization+'!F31)</f>
        <v/>
      </c>
      <c r="J38" s="30" t="s">
        <v>46</v>
      </c>
      <c r="K38" s="30" t="str">
        <f t="shared" si="9"/>
        <v/>
      </c>
    </row>
    <row r="39" spans="1:11" x14ac:dyDescent="0.25">
      <c r="A39" s="78" t="str">
        <f>IF('Plate organization+'!F20="","",'Plate organization+'!F20)</f>
        <v/>
      </c>
      <c r="B39" s="78" t="s">
        <v>47</v>
      </c>
      <c r="C39" s="78" t="str">
        <f t="shared" si="8"/>
        <v/>
      </c>
      <c r="E39" s="27" t="str">
        <f>IF('Plate organization+'!F8="","",'Plate organization+'!F8)</f>
        <v/>
      </c>
      <c r="F39" s="27" t="s">
        <v>47</v>
      </c>
      <c r="G39" s="27" t="str">
        <f t="shared" si="4"/>
        <v/>
      </c>
      <c r="I39" s="30" t="str">
        <f>IF('Plate organization+'!F32="","",'Plate organization+'!F32)</f>
        <v/>
      </c>
      <c r="J39" s="30" t="s">
        <v>47</v>
      </c>
      <c r="K39" s="30" t="str">
        <f t="shared" si="9"/>
        <v/>
      </c>
    </row>
    <row r="40" spans="1:11" x14ac:dyDescent="0.25">
      <c r="A40" s="78" t="str">
        <f>IF('Plate organization+'!F21="","",'Plate organization+'!F21)</f>
        <v/>
      </c>
      <c r="B40" s="78" t="s">
        <v>48</v>
      </c>
      <c r="C40" s="78" t="str">
        <f t="shared" si="8"/>
        <v/>
      </c>
      <c r="E40" s="27" t="str">
        <f>IF('Plate organization+'!F9="","",'Plate organization+'!F9)</f>
        <v/>
      </c>
      <c r="F40" s="27" t="s">
        <v>48</v>
      </c>
      <c r="G40" s="27" t="str">
        <f t="shared" si="4"/>
        <v/>
      </c>
      <c r="I40" s="30" t="str">
        <f>IF('Plate organization+'!F33="","",'Plate organization+'!F33)</f>
        <v/>
      </c>
      <c r="J40" s="30" t="s">
        <v>48</v>
      </c>
      <c r="K40" s="30" t="str">
        <f t="shared" si="9"/>
        <v/>
      </c>
    </row>
    <row r="41" spans="1:11" ht="15.75" thickBot="1" x14ac:dyDescent="0.3">
      <c r="A41" s="79" t="str">
        <f>IF('Plate organization+'!F22="","",'Plate organization+'!F22)</f>
        <v/>
      </c>
      <c r="B41" s="79" t="s">
        <v>49</v>
      </c>
      <c r="C41" s="79" t="str">
        <f t="shared" si="8"/>
        <v/>
      </c>
      <c r="E41" s="28" t="str">
        <f>IF('Plate organization+'!F10="","",'Plate organization+'!F10)</f>
        <v/>
      </c>
      <c r="F41" s="28" t="s">
        <v>49</v>
      </c>
      <c r="G41" s="28" t="str">
        <f t="shared" si="4"/>
        <v/>
      </c>
      <c r="I41" s="31" t="str">
        <f>IF('Plate organization+'!F34="","",'Plate organization+'!F34)</f>
        <v/>
      </c>
      <c r="J41" s="31" t="s">
        <v>49</v>
      </c>
      <c r="K41" s="31" t="str">
        <f t="shared" si="9"/>
        <v/>
      </c>
    </row>
    <row r="42" spans="1:11" x14ac:dyDescent="0.25">
      <c r="A42" s="77" t="str">
        <f>IF('Plate organization+'!G15="","",'Plate organization+'!G15)</f>
        <v/>
      </c>
      <c r="B42" s="77" t="s">
        <v>50</v>
      </c>
      <c r="C42" s="77" t="str">
        <f t="shared" si="8"/>
        <v/>
      </c>
      <c r="E42" s="26" t="str">
        <f>IF('Plate organization+'!G3="","",'Plate organization+'!G3)</f>
        <v/>
      </c>
      <c r="F42" s="26" t="s">
        <v>50</v>
      </c>
      <c r="G42" s="26" t="str">
        <f t="shared" si="4"/>
        <v/>
      </c>
      <c r="I42" s="29" t="str">
        <f>IF('Plate organization+'!G27="","",'Plate organization+'!G27)</f>
        <v/>
      </c>
      <c r="J42" s="29" t="s">
        <v>50</v>
      </c>
      <c r="K42" s="29" t="str">
        <f t="shared" si="5"/>
        <v/>
      </c>
    </row>
    <row r="43" spans="1:11" x14ac:dyDescent="0.25">
      <c r="A43" s="78" t="str">
        <f>IF('Plate organization+'!G16="","",'Plate organization+'!G16)</f>
        <v/>
      </c>
      <c r="B43" s="78" t="s">
        <v>51</v>
      </c>
      <c r="C43" s="78" t="str">
        <f t="shared" si="8"/>
        <v/>
      </c>
      <c r="E43" s="27" t="str">
        <f>IF('Plate organization+'!G4="","",'Plate organization+'!G4)</f>
        <v/>
      </c>
      <c r="F43" s="27" t="s">
        <v>51</v>
      </c>
      <c r="G43" s="27" t="str">
        <f t="shared" si="4"/>
        <v/>
      </c>
      <c r="I43" s="30" t="str">
        <f>IF('Plate organization+'!G28="","",'Plate organization+'!G28)</f>
        <v/>
      </c>
      <c r="J43" s="30" t="s">
        <v>51</v>
      </c>
      <c r="K43" s="30" t="str">
        <f t="shared" si="5"/>
        <v/>
      </c>
    </row>
    <row r="44" spans="1:11" x14ac:dyDescent="0.25">
      <c r="A44" s="78" t="str">
        <f>IF('Plate organization+'!G17="","",'Plate organization+'!G17)</f>
        <v/>
      </c>
      <c r="B44" s="78" t="s">
        <v>52</v>
      </c>
      <c r="C44" s="78" t="str">
        <f t="shared" si="8"/>
        <v/>
      </c>
      <c r="E44" s="27" t="str">
        <f>IF('Plate organization+'!G5="","",'Plate organization+'!G5)</f>
        <v/>
      </c>
      <c r="F44" s="27" t="s">
        <v>52</v>
      </c>
      <c r="G44" s="27" t="str">
        <f t="shared" si="4"/>
        <v/>
      </c>
      <c r="I44" s="30" t="str">
        <f>IF('Plate organization+'!G29="","",'Plate organization+'!G29)</f>
        <v/>
      </c>
      <c r="J44" s="30" t="s">
        <v>52</v>
      </c>
      <c r="K44" s="30" t="str">
        <f t="shared" si="5"/>
        <v/>
      </c>
    </row>
    <row r="45" spans="1:11" x14ac:dyDescent="0.25">
      <c r="A45" s="78" t="str">
        <f>IF('Plate organization+'!G18="","",'Plate organization+'!G18)</f>
        <v/>
      </c>
      <c r="B45" s="78" t="s">
        <v>53</v>
      </c>
      <c r="C45" s="78" t="str">
        <f t="shared" si="8"/>
        <v/>
      </c>
      <c r="E45" s="27" t="str">
        <f>IF('Plate organization+'!G6="","",'Plate organization+'!G6)</f>
        <v/>
      </c>
      <c r="F45" s="27" t="s">
        <v>53</v>
      </c>
      <c r="G45" s="27" t="str">
        <f t="shared" si="4"/>
        <v/>
      </c>
      <c r="I45" s="30" t="str">
        <f>IF('Plate organization+'!G30="","",'Plate organization+'!G30)</f>
        <v/>
      </c>
      <c r="J45" s="30" t="s">
        <v>53</v>
      </c>
      <c r="K45" s="30" t="str">
        <f t="shared" si="5"/>
        <v/>
      </c>
    </row>
    <row r="46" spans="1:11" x14ac:dyDescent="0.25">
      <c r="A46" s="78" t="str">
        <f>IF('Plate organization+'!G19="","",'Plate organization+'!G19)</f>
        <v/>
      </c>
      <c r="B46" s="78" t="s">
        <v>54</v>
      </c>
      <c r="C46" s="78" t="str">
        <f t="shared" si="8"/>
        <v/>
      </c>
      <c r="E46" s="27" t="str">
        <f>IF('Plate organization+'!G7="","",'Plate organization+'!G7)</f>
        <v/>
      </c>
      <c r="F46" s="27" t="s">
        <v>54</v>
      </c>
      <c r="G46" s="27" t="str">
        <f t="shared" si="4"/>
        <v/>
      </c>
      <c r="I46" s="30" t="str">
        <f>IF('Plate organization+'!G31="","",'Plate organization+'!G31)</f>
        <v/>
      </c>
      <c r="J46" s="30" t="s">
        <v>54</v>
      </c>
      <c r="K46" s="30" t="str">
        <f t="shared" si="5"/>
        <v/>
      </c>
    </row>
    <row r="47" spans="1:11" x14ac:dyDescent="0.25">
      <c r="A47" s="78" t="str">
        <f>IF('Plate organization+'!G20="","",'Plate organization+'!G20)</f>
        <v/>
      </c>
      <c r="B47" s="78" t="s">
        <v>55</v>
      </c>
      <c r="C47" s="78" t="str">
        <f t="shared" si="8"/>
        <v/>
      </c>
      <c r="E47" s="27" t="str">
        <f>IF('Plate organization+'!G8="","",'Plate organization+'!G8)</f>
        <v/>
      </c>
      <c r="F47" s="27" t="s">
        <v>55</v>
      </c>
      <c r="G47" s="27" t="str">
        <f t="shared" si="4"/>
        <v/>
      </c>
      <c r="I47" s="30" t="str">
        <f>IF('Plate organization+'!G32="","",'Plate organization+'!G32)</f>
        <v/>
      </c>
      <c r="J47" s="30" t="s">
        <v>55</v>
      </c>
      <c r="K47" s="30" t="str">
        <f t="shared" si="5"/>
        <v/>
      </c>
    </row>
    <row r="48" spans="1:11" x14ac:dyDescent="0.25">
      <c r="A48" s="78" t="str">
        <f>IF('Plate organization+'!G21="","",'Plate organization+'!G21)</f>
        <v/>
      </c>
      <c r="B48" s="78" t="s">
        <v>56</v>
      </c>
      <c r="C48" s="78" t="str">
        <f t="shared" si="8"/>
        <v/>
      </c>
      <c r="E48" s="27" t="str">
        <f>IF('Plate organization+'!G9="","",'Plate organization+'!G9)</f>
        <v/>
      </c>
      <c r="F48" s="27" t="s">
        <v>56</v>
      </c>
      <c r="G48" s="27" t="str">
        <f t="shared" si="4"/>
        <v/>
      </c>
      <c r="I48" s="30" t="str">
        <f>IF('Plate organization+'!G33="","",'Plate organization+'!G33)</f>
        <v/>
      </c>
      <c r="J48" s="30" t="s">
        <v>56</v>
      </c>
      <c r="K48" s="30" t="str">
        <f t="shared" si="5"/>
        <v/>
      </c>
    </row>
    <row r="49" spans="1:11" ht="15.75" thickBot="1" x14ac:dyDescent="0.3">
      <c r="A49" s="79" t="str">
        <f>IF('Plate organization+'!G22="","",'Plate organization+'!G22)</f>
        <v/>
      </c>
      <c r="B49" s="79" t="s">
        <v>57</v>
      </c>
      <c r="C49" s="79" t="str">
        <f t="shared" si="8"/>
        <v/>
      </c>
      <c r="E49" s="28" t="str">
        <f>IF('Plate organization+'!G10="","",'Plate organization+'!G10)</f>
        <v/>
      </c>
      <c r="F49" s="28" t="s">
        <v>57</v>
      </c>
      <c r="G49" s="28" t="str">
        <f t="shared" si="4"/>
        <v/>
      </c>
      <c r="I49" s="31" t="str">
        <f>IF('Plate organization+'!G34="","",'Plate organization+'!G34)</f>
        <v/>
      </c>
      <c r="J49" s="31" t="s">
        <v>57</v>
      </c>
      <c r="K49" s="31" t="str">
        <f t="shared" si="5"/>
        <v/>
      </c>
    </row>
    <row r="50" spans="1:11" x14ac:dyDescent="0.25">
      <c r="A50" s="77" t="str">
        <f>IF('Plate organization+'!H15="","",'Plate organization+'!H15)</f>
        <v/>
      </c>
      <c r="B50" s="77" t="s">
        <v>58</v>
      </c>
      <c r="C50" s="77" t="str">
        <f t="shared" si="8"/>
        <v/>
      </c>
      <c r="E50" s="26" t="str">
        <f>IF('Plate organization+'!H3="","",'Plate organization+'!H3)</f>
        <v/>
      </c>
      <c r="F50" s="26" t="s">
        <v>58</v>
      </c>
      <c r="G50" s="26" t="str">
        <f t="shared" si="4"/>
        <v/>
      </c>
      <c r="I50" s="29" t="str">
        <f>IF('Plate organization+'!H27="","",'Plate organization+'!H27)</f>
        <v/>
      </c>
      <c r="J50" s="29" t="s">
        <v>58</v>
      </c>
      <c r="K50" s="29" t="str">
        <f t="shared" si="5"/>
        <v/>
      </c>
    </row>
    <row r="51" spans="1:11" x14ac:dyDescent="0.25">
      <c r="A51" s="78" t="str">
        <f>IF('Plate organization+'!H16="","",'Plate organization+'!H16)</f>
        <v/>
      </c>
      <c r="B51" s="78" t="s">
        <v>59</v>
      </c>
      <c r="C51" s="78" t="str">
        <f t="shared" si="8"/>
        <v/>
      </c>
      <c r="E51" s="27" t="str">
        <f>IF('Plate organization+'!H4="","",'Plate organization+'!H4)</f>
        <v/>
      </c>
      <c r="F51" s="27" t="s">
        <v>59</v>
      </c>
      <c r="G51" s="27" t="str">
        <f t="shared" si="4"/>
        <v/>
      </c>
      <c r="I51" s="30" t="str">
        <f>IF('Plate organization+'!H28="","",'Plate organization+'!H28)</f>
        <v/>
      </c>
      <c r="J51" s="30" t="s">
        <v>59</v>
      </c>
      <c r="K51" s="30" t="str">
        <f t="shared" si="5"/>
        <v/>
      </c>
    </row>
    <row r="52" spans="1:11" x14ac:dyDescent="0.25">
      <c r="A52" s="78" t="str">
        <f>IF('Plate organization+'!H17="","",'Plate organization+'!H17)</f>
        <v/>
      </c>
      <c r="B52" s="78" t="s">
        <v>60</v>
      </c>
      <c r="C52" s="78" t="str">
        <f t="shared" si="8"/>
        <v/>
      </c>
      <c r="E52" s="27" t="str">
        <f>IF('Plate organization+'!H5="","",'Plate organization+'!H5)</f>
        <v/>
      </c>
      <c r="F52" s="27" t="s">
        <v>60</v>
      </c>
      <c r="G52" s="27" t="str">
        <f t="shared" si="4"/>
        <v/>
      </c>
      <c r="I52" s="30" t="str">
        <f>IF('Plate organization+'!H29="","",'Plate organization+'!H29)</f>
        <v/>
      </c>
      <c r="J52" s="30" t="s">
        <v>60</v>
      </c>
      <c r="K52" s="30" t="str">
        <f t="shared" si="5"/>
        <v/>
      </c>
    </row>
    <row r="53" spans="1:11" x14ac:dyDescent="0.25">
      <c r="A53" s="78" t="str">
        <f>IF('Plate organization+'!H18="","",'Plate organization+'!H18)</f>
        <v/>
      </c>
      <c r="B53" s="78" t="s">
        <v>61</v>
      </c>
      <c r="C53" s="78" t="str">
        <f t="shared" si="8"/>
        <v/>
      </c>
      <c r="E53" s="27" t="str">
        <f>IF('Plate organization+'!H6="","",'Plate organization+'!H6)</f>
        <v/>
      </c>
      <c r="F53" s="27" t="s">
        <v>61</v>
      </c>
      <c r="G53" s="27" t="str">
        <f t="shared" si="4"/>
        <v/>
      </c>
      <c r="I53" s="30" t="str">
        <f>IF('Plate organization+'!H30="","",'Plate organization+'!H30)</f>
        <v/>
      </c>
      <c r="J53" s="30" t="s">
        <v>61</v>
      </c>
      <c r="K53" s="30" t="str">
        <f t="shared" si="5"/>
        <v/>
      </c>
    </row>
    <row r="54" spans="1:11" x14ac:dyDescent="0.25">
      <c r="A54" s="78" t="str">
        <f>IF('Plate organization+'!H19="","",'Plate organization+'!H19)</f>
        <v/>
      </c>
      <c r="B54" s="78" t="s">
        <v>62</v>
      </c>
      <c r="C54" s="78" t="str">
        <f t="shared" si="8"/>
        <v/>
      </c>
      <c r="E54" s="27" t="str">
        <f>IF('Plate organization+'!H7="","",'Plate organization+'!H7)</f>
        <v/>
      </c>
      <c r="F54" s="27" t="s">
        <v>62</v>
      </c>
      <c r="G54" s="27" t="str">
        <f t="shared" si="4"/>
        <v/>
      </c>
      <c r="I54" s="30" t="str">
        <f>IF('Plate organization+'!H31="","",'Plate organization+'!H31)</f>
        <v/>
      </c>
      <c r="J54" s="30" t="s">
        <v>62</v>
      </c>
      <c r="K54" s="30" t="str">
        <f t="shared" si="5"/>
        <v/>
      </c>
    </row>
    <row r="55" spans="1:11" x14ac:dyDescent="0.25">
      <c r="A55" s="78" t="str">
        <f>IF('Plate organization+'!H20="","",'Plate organization+'!H20)</f>
        <v/>
      </c>
      <c r="B55" s="78" t="s">
        <v>63</v>
      </c>
      <c r="C55" s="78" t="str">
        <f t="shared" si="8"/>
        <v/>
      </c>
      <c r="E55" s="27" t="str">
        <f>IF('Plate organization+'!H8="","",'Plate organization+'!H8)</f>
        <v/>
      </c>
      <c r="F55" s="27" t="s">
        <v>63</v>
      </c>
      <c r="G55" s="27" t="str">
        <f t="shared" si="4"/>
        <v/>
      </c>
      <c r="I55" s="30" t="str">
        <f>IF('Plate organization+'!H32="","",'Plate organization+'!H32)</f>
        <v/>
      </c>
      <c r="J55" s="30" t="s">
        <v>63</v>
      </c>
      <c r="K55" s="30" t="str">
        <f t="shared" si="5"/>
        <v/>
      </c>
    </row>
    <row r="56" spans="1:11" x14ac:dyDescent="0.25">
      <c r="A56" s="78" t="str">
        <f>IF('Plate organization+'!H21="","",'Plate organization+'!H21)</f>
        <v/>
      </c>
      <c r="B56" s="78" t="s">
        <v>64</v>
      </c>
      <c r="C56" s="78" t="str">
        <f t="shared" si="8"/>
        <v/>
      </c>
      <c r="E56" s="27" t="str">
        <f>IF('Plate organization+'!H9="","",'Plate organization+'!H9)</f>
        <v/>
      </c>
      <c r="F56" s="27" t="s">
        <v>64</v>
      </c>
      <c r="G56" s="27" t="str">
        <f t="shared" si="4"/>
        <v/>
      </c>
      <c r="I56" s="30" t="str">
        <f>IF('Plate organization+'!H33="","",'Plate organization+'!H33)</f>
        <v/>
      </c>
      <c r="J56" s="30" t="s">
        <v>64</v>
      </c>
      <c r="K56" s="30" t="str">
        <f t="shared" si="5"/>
        <v/>
      </c>
    </row>
    <row r="57" spans="1:11" ht="15.75" thickBot="1" x14ac:dyDescent="0.3">
      <c r="A57" s="79" t="str">
        <f>IF('Plate organization+'!H22="","",'Plate organization+'!H22)</f>
        <v/>
      </c>
      <c r="B57" s="79" t="s">
        <v>65</v>
      </c>
      <c r="C57" s="79" t="str">
        <f t="shared" si="8"/>
        <v/>
      </c>
      <c r="E57" s="28" t="str">
        <f>IF('Plate organization+'!H10="","",'Plate organization+'!H10)</f>
        <v/>
      </c>
      <c r="F57" s="28" t="s">
        <v>65</v>
      </c>
      <c r="G57" s="28" t="str">
        <f t="shared" si="4"/>
        <v/>
      </c>
      <c r="I57" s="31" t="str">
        <f>IF('Plate organization+'!H34="","",'Plate organization+'!H34)</f>
        <v/>
      </c>
      <c r="J57" s="31" t="s">
        <v>65</v>
      </c>
      <c r="K57" s="31" t="str">
        <f t="shared" si="5"/>
        <v/>
      </c>
    </row>
    <row r="58" spans="1:11" x14ac:dyDescent="0.25">
      <c r="A58" s="77" t="str">
        <f>IF('Plate organization+'!I15="","",'Plate organization+'!I15)</f>
        <v/>
      </c>
      <c r="B58" s="77" t="s">
        <v>69</v>
      </c>
      <c r="C58" s="77" t="str">
        <f t="shared" si="8"/>
        <v/>
      </c>
      <c r="E58" s="26" t="str">
        <f>IF('Plate organization+'!I3="","",'Plate organization+'!I3)</f>
        <v/>
      </c>
      <c r="F58" s="26" t="s">
        <v>69</v>
      </c>
      <c r="G58" s="26" t="str">
        <f t="shared" si="4"/>
        <v/>
      </c>
      <c r="I58" s="29" t="str">
        <f>IF('Plate organization+'!I27="","",'Plate organization+'!I27)</f>
        <v/>
      </c>
      <c r="J58" s="29" t="s">
        <v>69</v>
      </c>
      <c r="K58" s="29" t="str">
        <f t="shared" si="5"/>
        <v/>
      </c>
    </row>
    <row r="59" spans="1:11" x14ac:dyDescent="0.25">
      <c r="A59" s="78" t="str">
        <f>IF('Plate organization+'!I16="","",'Plate organization+'!I16)</f>
        <v/>
      </c>
      <c r="B59" s="78" t="s">
        <v>70</v>
      </c>
      <c r="C59" s="78" t="str">
        <f t="shared" si="8"/>
        <v/>
      </c>
      <c r="E59" s="27" t="str">
        <f>IF('Plate organization+'!I4="","",'Plate organization+'!I4)</f>
        <v/>
      </c>
      <c r="F59" s="27" t="s">
        <v>70</v>
      </c>
      <c r="G59" s="27" t="str">
        <f t="shared" si="4"/>
        <v/>
      </c>
      <c r="I59" s="30" t="str">
        <f>IF('Plate organization+'!I28="","",'Plate organization+'!I28)</f>
        <v/>
      </c>
      <c r="J59" s="30" t="s">
        <v>70</v>
      </c>
      <c r="K59" s="30" t="str">
        <f t="shared" si="5"/>
        <v/>
      </c>
    </row>
    <row r="60" spans="1:11" x14ac:dyDescent="0.25">
      <c r="A60" s="78" t="str">
        <f>IF('Plate organization+'!I17="","",'Plate organization+'!I17)</f>
        <v/>
      </c>
      <c r="B60" s="78" t="s">
        <v>71</v>
      </c>
      <c r="C60" s="78" t="str">
        <f t="shared" si="8"/>
        <v/>
      </c>
      <c r="E60" s="27" t="str">
        <f>IF('Plate organization+'!I5="","",'Plate organization+'!I5)</f>
        <v/>
      </c>
      <c r="F60" s="27" t="s">
        <v>71</v>
      </c>
      <c r="G60" s="27" t="str">
        <f t="shared" si="4"/>
        <v/>
      </c>
      <c r="I60" s="30" t="str">
        <f>IF('Plate organization+'!I29="","",'Plate organization+'!I29)</f>
        <v/>
      </c>
      <c r="J60" s="30" t="s">
        <v>71</v>
      </c>
      <c r="K60" s="30" t="str">
        <f t="shared" si="5"/>
        <v/>
      </c>
    </row>
    <row r="61" spans="1:11" x14ac:dyDescent="0.25">
      <c r="A61" s="78" t="str">
        <f>IF('Plate organization+'!I18="","",'Plate organization+'!I18)</f>
        <v/>
      </c>
      <c r="B61" s="78" t="s">
        <v>72</v>
      </c>
      <c r="C61" s="78" t="str">
        <f t="shared" si="8"/>
        <v/>
      </c>
      <c r="E61" s="27" t="str">
        <f>IF('Plate organization+'!I6="","",'Plate organization+'!I6)</f>
        <v/>
      </c>
      <c r="F61" s="27" t="s">
        <v>72</v>
      </c>
      <c r="G61" s="27" t="str">
        <f t="shared" si="4"/>
        <v/>
      </c>
      <c r="I61" s="30" t="str">
        <f>IF('Plate organization+'!I30="","",'Plate organization+'!I30)</f>
        <v/>
      </c>
      <c r="J61" s="30" t="s">
        <v>72</v>
      </c>
      <c r="K61" s="30" t="str">
        <f t="shared" si="5"/>
        <v/>
      </c>
    </row>
    <row r="62" spans="1:11" x14ac:dyDescent="0.25">
      <c r="A62" s="78" t="str">
        <f>IF('Plate organization+'!I19="","",'Plate organization+'!I19)</f>
        <v/>
      </c>
      <c r="B62" s="78" t="s">
        <v>73</v>
      </c>
      <c r="C62" s="78" t="str">
        <f t="shared" si="8"/>
        <v/>
      </c>
      <c r="E62" s="27" t="str">
        <f>IF('Plate organization+'!I7="","",'Plate organization+'!I7)</f>
        <v/>
      </c>
      <c r="F62" s="27" t="s">
        <v>73</v>
      </c>
      <c r="G62" s="27" t="str">
        <f t="shared" si="4"/>
        <v/>
      </c>
      <c r="I62" s="30" t="str">
        <f>IF('Plate organization+'!I31="","",'Plate organization+'!I31)</f>
        <v/>
      </c>
      <c r="J62" s="30" t="s">
        <v>73</v>
      </c>
      <c r="K62" s="30" t="str">
        <f t="shared" si="5"/>
        <v/>
      </c>
    </row>
    <row r="63" spans="1:11" x14ac:dyDescent="0.25">
      <c r="A63" s="78" t="str">
        <f>IF('Plate organization+'!I20="","",'Plate organization+'!I20)</f>
        <v/>
      </c>
      <c r="B63" s="78" t="s">
        <v>74</v>
      </c>
      <c r="C63" s="78" t="str">
        <f t="shared" si="8"/>
        <v/>
      </c>
      <c r="E63" s="27" t="str">
        <f>IF('Plate organization+'!I8="","",'Plate organization+'!I8)</f>
        <v/>
      </c>
      <c r="F63" s="27" t="s">
        <v>74</v>
      </c>
      <c r="G63" s="27" t="str">
        <f t="shared" si="4"/>
        <v/>
      </c>
      <c r="I63" s="30" t="str">
        <f>IF('Plate organization+'!I32="","",'Plate organization+'!I32)</f>
        <v/>
      </c>
      <c r="J63" s="30" t="s">
        <v>74</v>
      </c>
      <c r="K63" s="30" t="str">
        <f t="shared" si="5"/>
        <v/>
      </c>
    </row>
    <row r="64" spans="1:11" x14ac:dyDescent="0.25">
      <c r="A64" s="78" t="str">
        <f>IF('Plate organization+'!I21="","",'Plate organization+'!I21)</f>
        <v/>
      </c>
      <c r="B64" s="78" t="s">
        <v>75</v>
      </c>
      <c r="C64" s="78" t="str">
        <f t="shared" si="8"/>
        <v/>
      </c>
      <c r="E64" s="27" t="str">
        <f>IF('Plate organization+'!I9="","",'Plate organization+'!I9)</f>
        <v/>
      </c>
      <c r="F64" s="27" t="s">
        <v>75</v>
      </c>
      <c r="G64" s="27" t="str">
        <f t="shared" si="4"/>
        <v/>
      </c>
      <c r="I64" s="30" t="str">
        <f>IF('Plate organization+'!I33="","",'Plate organization+'!I33)</f>
        <v/>
      </c>
      <c r="J64" s="30" t="s">
        <v>75</v>
      </c>
      <c r="K64" s="30" t="str">
        <f t="shared" si="5"/>
        <v/>
      </c>
    </row>
    <row r="65" spans="1:11" ht="15.75" thickBot="1" x14ac:dyDescent="0.3">
      <c r="A65" s="79" t="str">
        <f>IF('Plate organization+'!I22="","",'Plate organization+'!I22)</f>
        <v/>
      </c>
      <c r="B65" s="79" t="s">
        <v>76</v>
      </c>
      <c r="C65" s="79" t="str">
        <f t="shared" si="8"/>
        <v/>
      </c>
      <c r="E65" s="28" t="str">
        <f>IF('Plate organization+'!I10="","",'Plate organization+'!I10)</f>
        <v/>
      </c>
      <c r="F65" s="28" t="s">
        <v>76</v>
      </c>
      <c r="G65" s="28" t="str">
        <f t="shared" si="4"/>
        <v/>
      </c>
      <c r="I65" s="31" t="str">
        <f>IF('Plate organization+'!I34="","",'Plate organization+'!I34)</f>
        <v/>
      </c>
      <c r="J65" s="31" t="s">
        <v>76</v>
      </c>
      <c r="K65" s="31" t="str">
        <f t="shared" si="5"/>
        <v/>
      </c>
    </row>
    <row r="66" spans="1:11" x14ac:dyDescent="0.25">
      <c r="A66" s="77" t="str">
        <f>IF('Plate organization+'!J15="","",'Plate organization+'!J15)</f>
        <v/>
      </c>
      <c r="B66" s="77" t="s">
        <v>77</v>
      </c>
      <c r="C66" s="77" t="str">
        <f t="shared" ref="C66:C97" si="10">IF(A66=0,"",A66)</f>
        <v/>
      </c>
      <c r="E66" s="26" t="str">
        <f>IF('Plate organization+'!J3="","",'Plate organization+'!J3)</f>
        <v/>
      </c>
      <c r="F66" s="26" t="s">
        <v>77</v>
      </c>
      <c r="G66" s="26" t="str">
        <f t="shared" si="4"/>
        <v/>
      </c>
      <c r="I66" s="29" t="str">
        <f>IF('Plate organization+'!J27="","",'Plate organization+'!J27)</f>
        <v/>
      </c>
      <c r="J66" s="29" t="s">
        <v>77</v>
      </c>
      <c r="K66" s="29" t="str">
        <f t="shared" si="5"/>
        <v/>
      </c>
    </row>
    <row r="67" spans="1:11" x14ac:dyDescent="0.25">
      <c r="A67" s="78" t="str">
        <f>IF('Plate organization+'!J16="","",'Plate organization+'!J16)</f>
        <v/>
      </c>
      <c r="B67" s="78" t="s">
        <v>78</v>
      </c>
      <c r="C67" s="78" t="str">
        <f t="shared" si="10"/>
        <v/>
      </c>
      <c r="E67" s="27" t="str">
        <f>IF('Plate organization+'!J4="","",'Plate organization+'!J4)</f>
        <v/>
      </c>
      <c r="F67" s="27" t="s">
        <v>78</v>
      </c>
      <c r="G67" s="27" t="str">
        <f t="shared" si="4"/>
        <v/>
      </c>
      <c r="I67" s="30" t="str">
        <f>IF('Plate organization+'!J28="","",'Plate organization+'!J28)</f>
        <v/>
      </c>
      <c r="J67" s="30" t="s">
        <v>78</v>
      </c>
      <c r="K67" s="30" t="str">
        <f t="shared" si="5"/>
        <v/>
      </c>
    </row>
    <row r="68" spans="1:11" x14ac:dyDescent="0.25">
      <c r="A68" s="78" t="str">
        <f>IF('Plate organization+'!J17="","",'Plate organization+'!J17)</f>
        <v/>
      </c>
      <c r="B68" s="78" t="s">
        <v>79</v>
      </c>
      <c r="C68" s="78" t="str">
        <f t="shared" si="10"/>
        <v/>
      </c>
      <c r="E68" s="27" t="str">
        <f>IF('Plate organization+'!J5="","",'Plate organization+'!J5)</f>
        <v/>
      </c>
      <c r="F68" s="27" t="s">
        <v>79</v>
      </c>
      <c r="G68" s="27" t="str">
        <f t="shared" si="4"/>
        <v/>
      </c>
      <c r="I68" s="30" t="str">
        <f>IF('Plate organization+'!J29="","",'Plate organization+'!J29)</f>
        <v/>
      </c>
      <c r="J68" s="30" t="s">
        <v>79</v>
      </c>
      <c r="K68" s="30" t="str">
        <f t="shared" si="5"/>
        <v/>
      </c>
    </row>
    <row r="69" spans="1:11" x14ac:dyDescent="0.25">
      <c r="A69" s="78" t="str">
        <f>IF('Plate organization+'!J18="","",'Plate organization+'!J18)</f>
        <v/>
      </c>
      <c r="B69" s="78" t="s">
        <v>80</v>
      </c>
      <c r="C69" s="78" t="str">
        <f t="shared" si="10"/>
        <v/>
      </c>
      <c r="E69" s="27" t="str">
        <f>IF('Plate organization+'!J6="","",'Plate organization+'!J6)</f>
        <v/>
      </c>
      <c r="F69" s="27" t="s">
        <v>80</v>
      </c>
      <c r="G69" s="27" t="str">
        <f t="shared" si="4"/>
        <v/>
      </c>
      <c r="I69" s="30" t="str">
        <f>IF('Plate organization+'!J30="","",'Plate organization+'!J30)</f>
        <v/>
      </c>
      <c r="J69" s="30" t="s">
        <v>80</v>
      </c>
      <c r="K69" s="30" t="str">
        <f t="shared" si="5"/>
        <v/>
      </c>
    </row>
    <row r="70" spans="1:11" x14ac:dyDescent="0.25">
      <c r="A70" s="78" t="str">
        <f>IF('Plate organization+'!J19="","",'Plate organization+'!J19)</f>
        <v/>
      </c>
      <c r="B70" s="78" t="s">
        <v>81</v>
      </c>
      <c r="C70" s="78" t="str">
        <f t="shared" si="10"/>
        <v/>
      </c>
      <c r="E70" s="27" t="str">
        <f>IF('Plate organization+'!J7="","",'Plate organization+'!J7)</f>
        <v/>
      </c>
      <c r="F70" s="27" t="s">
        <v>81</v>
      </c>
      <c r="G70" s="27" t="str">
        <f t="shared" si="4"/>
        <v/>
      </c>
      <c r="I70" s="30" t="str">
        <f>IF('Plate organization+'!J31="","",'Plate organization+'!J31)</f>
        <v/>
      </c>
      <c r="J70" s="30" t="s">
        <v>81</v>
      </c>
      <c r="K70" s="30" t="str">
        <f t="shared" si="5"/>
        <v/>
      </c>
    </row>
    <row r="71" spans="1:11" x14ac:dyDescent="0.25">
      <c r="A71" s="78" t="str">
        <f>IF('Plate organization+'!J20="","",'Plate organization+'!J20)</f>
        <v/>
      </c>
      <c r="B71" s="78" t="s">
        <v>82</v>
      </c>
      <c r="C71" s="78" t="str">
        <f t="shared" si="10"/>
        <v/>
      </c>
      <c r="E71" s="27" t="str">
        <f>IF('Plate organization+'!J8="","",'Plate organization+'!J8)</f>
        <v/>
      </c>
      <c r="F71" s="27" t="s">
        <v>82</v>
      </c>
      <c r="G71" s="27" t="str">
        <f t="shared" si="4"/>
        <v/>
      </c>
      <c r="I71" s="30" t="str">
        <f>IF('Plate organization+'!J32="","",'Plate organization+'!J32)</f>
        <v/>
      </c>
      <c r="J71" s="30" t="s">
        <v>82</v>
      </c>
      <c r="K71" s="30" t="str">
        <f t="shared" si="5"/>
        <v/>
      </c>
    </row>
    <row r="72" spans="1:11" x14ac:dyDescent="0.25">
      <c r="A72" s="78" t="str">
        <f>IF('Plate organization+'!J21="","",'Plate organization+'!J21)</f>
        <v/>
      </c>
      <c r="B72" s="78" t="s">
        <v>83</v>
      </c>
      <c r="C72" s="78" t="str">
        <f t="shared" si="10"/>
        <v/>
      </c>
      <c r="E72" s="27" t="str">
        <f>IF('Plate organization+'!J9="","",'Plate organization+'!J9)</f>
        <v/>
      </c>
      <c r="F72" s="27" t="s">
        <v>83</v>
      </c>
      <c r="G72" s="27" t="str">
        <f>IF(E64=0,"",E64)</f>
        <v/>
      </c>
      <c r="I72" s="30" t="str">
        <f>IF('Plate organization+'!J33="","",'Plate organization+'!J33)</f>
        <v/>
      </c>
      <c r="J72" s="30" t="s">
        <v>83</v>
      </c>
      <c r="K72" s="30" t="str">
        <f>IF(I64=0,"",I64)</f>
        <v/>
      </c>
    </row>
    <row r="73" spans="1:11" ht="15.75" thickBot="1" x14ac:dyDescent="0.3">
      <c r="A73" s="79" t="str">
        <f>IF('Plate organization+'!J22="","",'Plate organization+'!J22)</f>
        <v/>
      </c>
      <c r="B73" s="79" t="s">
        <v>84</v>
      </c>
      <c r="C73" s="79" t="str">
        <f t="shared" si="10"/>
        <v/>
      </c>
      <c r="E73" s="28" t="str">
        <f>IF('Plate organization+'!J10="","",'Plate organization+'!J10)</f>
        <v/>
      </c>
      <c r="F73" s="28" t="s">
        <v>84</v>
      </c>
      <c r="G73" s="28" t="str">
        <f>IF(E65=0,"",E65)</f>
        <v/>
      </c>
      <c r="I73" s="31" t="str">
        <f>IF('Plate organization+'!J34="","",'Plate organization+'!J34)</f>
        <v/>
      </c>
      <c r="J73" s="31" t="s">
        <v>84</v>
      </c>
      <c r="K73" s="31" t="str">
        <f>IF(I65=0,"",I65)</f>
        <v/>
      </c>
    </row>
    <row r="74" spans="1:11" x14ac:dyDescent="0.25">
      <c r="A74" s="77" t="str">
        <f>IF('Plate organization+'!K15="","",'Plate organization+'!K15)</f>
        <v/>
      </c>
      <c r="B74" s="77" t="s">
        <v>85</v>
      </c>
      <c r="C74" s="77" t="str">
        <f t="shared" si="10"/>
        <v/>
      </c>
      <c r="E74" s="26" t="str">
        <f>IF('Plate organization+'!K3="","",'Plate organization+'!K3)</f>
        <v/>
      </c>
      <c r="F74" s="26" t="s">
        <v>85</v>
      </c>
      <c r="G74" s="26" t="str">
        <f t="shared" si="4"/>
        <v/>
      </c>
      <c r="I74" s="29" t="str">
        <f>IF('Plate organization+'!K27="","",'Plate organization+'!K27)</f>
        <v/>
      </c>
      <c r="J74" s="29" t="s">
        <v>85</v>
      </c>
      <c r="K74" s="29" t="str">
        <f t="shared" ref="K74:K97" si="11">IF(I74=0,"",I74)</f>
        <v/>
      </c>
    </row>
    <row r="75" spans="1:11" x14ac:dyDescent="0.25">
      <c r="A75" s="78" t="str">
        <f>IF('Plate organization+'!K16="","",'Plate organization+'!K16)</f>
        <v/>
      </c>
      <c r="B75" s="78" t="s">
        <v>86</v>
      </c>
      <c r="C75" s="78" t="str">
        <f t="shared" si="10"/>
        <v/>
      </c>
      <c r="E75" s="27" t="str">
        <f>IF('Plate organization+'!K4="","",'Plate organization+'!K4)</f>
        <v/>
      </c>
      <c r="F75" s="27" t="s">
        <v>86</v>
      </c>
      <c r="G75" s="27" t="str">
        <f t="shared" si="4"/>
        <v/>
      </c>
      <c r="I75" s="30" t="str">
        <f>IF('Plate organization+'!K28="","",'Plate organization+'!K28)</f>
        <v/>
      </c>
      <c r="J75" s="30" t="s">
        <v>86</v>
      </c>
      <c r="K75" s="30" t="str">
        <f t="shared" si="11"/>
        <v/>
      </c>
    </row>
    <row r="76" spans="1:11" x14ac:dyDescent="0.25">
      <c r="A76" s="78" t="str">
        <f>IF('Plate organization+'!K17="","",'Plate organization+'!K17)</f>
        <v/>
      </c>
      <c r="B76" s="78" t="s">
        <v>87</v>
      </c>
      <c r="C76" s="78" t="str">
        <f t="shared" si="10"/>
        <v/>
      </c>
      <c r="E76" s="27" t="str">
        <f>IF('Plate organization+'!K5="","",'Plate organization+'!K5)</f>
        <v/>
      </c>
      <c r="F76" s="27" t="s">
        <v>87</v>
      </c>
      <c r="G76" s="27" t="str">
        <f t="shared" ref="G76:G97" si="12">IF(E76=0,"",E76)</f>
        <v/>
      </c>
      <c r="I76" s="30" t="str">
        <f>IF('Plate organization+'!K29="","",'Plate organization+'!K29)</f>
        <v/>
      </c>
      <c r="J76" s="30" t="s">
        <v>87</v>
      </c>
      <c r="K76" s="30" t="str">
        <f t="shared" si="11"/>
        <v/>
      </c>
    </row>
    <row r="77" spans="1:11" x14ac:dyDescent="0.25">
      <c r="A77" s="78" t="str">
        <f>IF('Plate organization+'!K18="","",'Plate organization+'!K18)</f>
        <v/>
      </c>
      <c r="B77" s="78" t="s">
        <v>88</v>
      </c>
      <c r="C77" s="78" t="str">
        <f t="shared" si="10"/>
        <v/>
      </c>
      <c r="E77" s="27" t="str">
        <f>IF('Plate organization+'!K6="","",'Plate organization+'!K6)</f>
        <v/>
      </c>
      <c r="F77" s="27" t="s">
        <v>88</v>
      </c>
      <c r="G77" s="27" t="str">
        <f t="shared" si="12"/>
        <v/>
      </c>
      <c r="I77" s="30" t="str">
        <f>IF('Plate organization+'!K30="","",'Plate organization+'!K30)</f>
        <v/>
      </c>
      <c r="J77" s="30" t="s">
        <v>88</v>
      </c>
      <c r="K77" s="30" t="str">
        <f t="shared" si="11"/>
        <v/>
      </c>
    </row>
    <row r="78" spans="1:11" x14ac:dyDescent="0.25">
      <c r="A78" s="78" t="str">
        <f>IF('Plate organization+'!K19="","",'Plate organization+'!K19)</f>
        <v/>
      </c>
      <c r="B78" s="78" t="s">
        <v>89</v>
      </c>
      <c r="C78" s="78" t="str">
        <f t="shared" si="10"/>
        <v/>
      </c>
      <c r="E78" s="27" t="str">
        <f>IF('Plate organization+'!K7="","",'Plate organization+'!K7)</f>
        <v/>
      </c>
      <c r="F78" s="27" t="s">
        <v>89</v>
      </c>
      <c r="G78" s="27" t="str">
        <f t="shared" si="12"/>
        <v/>
      </c>
      <c r="I78" s="30" t="str">
        <f>IF('Plate organization+'!K31="","",'Plate organization+'!K31)</f>
        <v/>
      </c>
      <c r="J78" s="30" t="s">
        <v>89</v>
      </c>
      <c r="K78" s="30" t="str">
        <f t="shared" si="11"/>
        <v/>
      </c>
    </row>
    <row r="79" spans="1:11" x14ac:dyDescent="0.25">
      <c r="A79" s="78" t="str">
        <f>IF('Plate organization+'!K20="","",'Plate organization+'!K20)</f>
        <v/>
      </c>
      <c r="B79" s="78" t="s">
        <v>90</v>
      </c>
      <c r="C79" s="78" t="str">
        <f t="shared" si="10"/>
        <v/>
      </c>
      <c r="E79" s="27" t="str">
        <f>IF('Plate organization+'!K8="","",'Plate organization+'!K8)</f>
        <v/>
      </c>
      <c r="F79" s="27" t="s">
        <v>90</v>
      </c>
      <c r="G79" s="27" t="str">
        <f t="shared" si="12"/>
        <v/>
      </c>
      <c r="I79" s="30" t="str">
        <f>IF('Plate organization+'!K32="","",'Plate organization+'!K32)</f>
        <v/>
      </c>
      <c r="J79" s="30" t="s">
        <v>90</v>
      </c>
      <c r="K79" s="30" t="str">
        <f t="shared" si="11"/>
        <v/>
      </c>
    </row>
    <row r="80" spans="1:11" x14ac:dyDescent="0.25">
      <c r="A80" s="78" t="str">
        <f>IF('Plate organization+'!K21="","",'Plate organization+'!K21)</f>
        <v/>
      </c>
      <c r="B80" s="78" t="s">
        <v>91</v>
      </c>
      <c r="C80" s="78" t="str">
        <f t="shared" si="10"/>
        <v/>
      </c>
      <c r="E80" s="27" t="str">
        <f>IF('Plate organization+'!K9="","",'Plate organization+'!K9)</f>
        <v/>
      </c>
      <c r="F80" s="27" t="s">
        <v>91</v>
      </c>
      <c r="G80" s="27" t="str">
        <f t="shared" si="12"/>
        <v/>
      </c>
      <c r="I80" s="30" t="str">
        <f>IF('Plate organization+'!K33="","",'Plate organization+'!K33)</f>
        <v/>
      </c>
      <c r="J80" s="30" t="s">
        <v>91</v>
      </c>
      <c r="K80" s="30" t="str">
        <f t="shared" si="11"/>
        <v/>
      </c>
    </row>
    <row r="81" spans="1:11" ht="15.75" thickBot="1" x14ac:dyDescent="0.3">
      <c r="A81" s="79" t="str">
        <f>IF('Plate organization+'!K22="","",'Plate organization+'!K22)</f>
        <v/>
      </c>
      <c r="B81" s="79" t="s">
        <v>92</v>
      </c>
      <c r="C81" s="79" t="str">
        <f t="shared" si="10"/>
        <v/>
      </c>
      <c r="E81" s="28" t="str">
        <f>IF('Plate organization+'!K10="","",'Plate organization+'!K10)</f>
        <v/>
      </c>
      <c r="F81" s="28" t="s">
        <v>92</v>
      </c>
      <c r="G81" s="28" t="str">
        <f t="shared" si="12"/>
        <v/>
      </c>
      <c r="I81" s="31" t="str">
        <f>IF('Plate organization+'!K34="","",'Plate organization+'!K34)</f>
        <v/>
      </c>
      <c r="J81" s="31" t="s">
        <v>92</v>
      </c>
      <c r="K81" s="31" t="str">
        <f t="shared" si="11"/>
        <v/>
      </c>
    </row>
    <row r="82" spans="1:11" x14ac:dyDescent="0.25">
      <c r="A82" s="77" t="str">
        <f>IF('Plate organization+'!L15="","",'Plate organization+'!L15)</f>
        <v/>
      </c>
      <c r="B82" s="77" t="s">
        <v>93</v>
      </c>
      <c r="C82" s="77" t="str">
        <f t="shared" si="10"/>
        <v/>
      </c>
      <c r="E82" s="26" t="str">
        <f>IF('Plate organization+'!L3="","",'Plate organization+'!L3)</f>
        <v/>
      </c>
      <c r="F82" s="26" t="s">
        <v>93</v>
      </c>
      <c r="G82" s="26" t="str">
        <f t="shared" si="12"/>
        <v/>
      </c>
      <c r="I82" s="29" t="str">
        <f>IF('Plate organization+'!L27="","",'Plate organization+'!L27)</f>
        <v/>
      </c>
      <c r="J82" s="29" t="s">
        <v>93</v>
      </c>
      <c r="K82" s="29" t="str">
        <f t="shared" si="11"/>
        <v/>
      </c>
    </row>
    <row r="83" spans="1:11" x14ac:dyDescent="0.25">
      <c r="A83" s="78" t="str">
        <f>IF('Plate organization+'!L16="","",'Plate organization+'!L16)</f>
        <v/>
      </c>
      <c r="B83" s="78" t="s">
        <v>94</v>
      </c>
      <c r="C83" s="78" t="str">
        <f t="shared" si="10"/>
        <v/>
      </c>
      <c r="E83" s="27" t="str">
        <f>IF('Plate organization+'!L4="","",'Plate organization+'!L4)</f>
        <v/>
      </c>
      <c r="F83" s="27" t="s">
        <v>94</v>
      </c>
      <c r="G83" s="27" t="str">
        <f t="shared" si="12"/>
        <v/>
      </c>
      <c r="I83" s="30" t="str">
        <f>IF('Plate organization+'!B103="","",'Plate organization+'!B103)</f>
        <v/>
      </c>
      <c r="J83" s="30" t="s">
        <v>94</v>
      </c>
      <c r="K83" s="30" t="str">
        <f t="shared" si="11"/>
        <v/>
      </c>
    </row>
    <row r="84" spans="1:11" x14ac:dyDescent="0.25">
      <c r="A84" s="78" t="str">
        <f>IF('Plate organization+'!L17="","",'Plate organization+'!L17)</f>
        <v/>
      </c>
      <c r="B84" s="78" t="s">
        <v>95</v>
      </c>
      <c r="C84" s="78" t="str">
        <f t="shared" si="10"/>
        <v/>
      </c>
      <c r="E84" s="27" t="str">
        <f>IF('Plate organization+'!L5="","",'Plate organization+'!L5)</f>
        <v/>
      </c>
      <c r="F84" s="27" t="s">
        <v>95</v>
      </c>
      <c r="G84" s="27" t="str">
        <f t="shared" si="12"/>
        <v/>
      </c>
      <c r="I84" s="30" t="str">
        <f>IF('Plate organization+'!B104="","",'Plate organization+'!B104)</f>
        <v/>
      </c>
      <c r="J84" s="30" t="s">
        <v>95</v>
      </c>
      <c r="K84" s="30" t="str">
        <f t="shared" si="11"/>
        <v/>
      </c>
    </row>
    <row r="85" spans="1:11" x14ac:dyDescent="0.25">
      <c r="A85" s="78" t="str">
        <f>IF('Plate organization+'!L18="","",'Plate organization+'!L18)</f>
        <v/>
      </c>
      <c r="B85" s="78" t="s">
        <v>96</v>
      </c>
      <c r="C85" s="78" t="str">
        <f t="shared" si="10"/>
        <v/>
      </c>
      <c r="E85" s="27" t="str">
        <f>IF('Plate organization+'!L6="","",'Plate organization+'!L6)</f>
        <v/>
      </c>
      <c r="F85" s="27" t="s">
        <v>96</v>
      </c>
      <c r="G85" s="27" t="str">
        <f t="shared" si="12"/>
        <v/>
      </c>
      <c r="I85" s="30" t="str">
        <f>IF('Plate organization+'!B105="","",'Plate organization+'!B105)</f>
        <v/>
      </c>
      <c r="J85" s="30" t="s">
        <v>96</v>
      </c>
      <c r="K85" s="30" t="str">
        <f t="shared" si="11"/>
        <v/>
      </c>
    </row>
    <row r="86" spans="1:11" x14ac:dyDescent="0.25">
      <c r="A86" s="78" t="str">
        <f>IF('Plate organization+'!L19="","",'Plate organization+'!L19)</f>
        <v/>
      </c>
      <c r="B86" s="78" t="s">
        <v>97</v>
      </c>
      <c r="C86" s="78" t="str">
        <f t="shared" si="10"/>
        <v/>
      </c>
      <c r="E86" s="27" t="str">
        <f>IF('Plate organization+'!L7="","",'Plate organization+'!L7)</f>
        <v/>
      </c>
      <c r="F86" s="27" t="s">
        <v>97</v>
      </c>
      <c r="G86" s="27" t="str">
        <f t="shared" si="12"/>
        <v/>
      </c>
      <c r="I86" s="30" t="str">
        <f>IF('Plate organization+'!B106="","",'Plate organization+'!B106)</f>
        <v/>
      </c>
      <c r="J86" s="30" t="s">
        <v>97</v>
      </c>
      <c r="K86" s="30" t="str">
        <f t="shared" si="11"/>
        <v/>
      </c>
    </row>
    <row r="87" spans="1:11" x14ac:dyDescent="0.25">
      <c r="A87" s="78" t="str">
        <f>IF('Plate organization+'!L20="","",'Plate organization+'!L20)</f>
        <v/>
      </c>
      <c r="B87" s="78" t="s">
        <v>98</v>
      </c>
      <c r="C87" s="78" t="str">
        <f t="shared" si="10"/>
        <v/>
      </c>
      <c r="E87" s="27" t="str">
        <f>IF('Plate organization+'!L8="","",'Plate organization+'!L8)</f>
        <v/>
      </c>
      <c r="F87" s="27" t="s">
        <v>98</v>
      </c>
      <c r="G87" s="27" t="str">
        <f t="shared" si="12"/>
        <v/>
      </c>
      <c r="I87" s="30" t="str">
        <f>IF('Plate organization+'!B107="","",'Plate organization+'!B107)</f>
        <v/>
      </c>
      <c r="J87" s="30" t="s">
        <v>98</v>
      </c>
      <c r="K87" s="30" t="str">
        <f t="shared" si="11"/>
        <v/>
      </c>
    </row>
    <row r="88" spans="1:11" x14ac:dyDescent="0.25">
      <c r="A88" s="78" t="str">
        <f>IF('Plate organization+'!L21="","",'Plate organization+'!L21)</f>
        <v/>
      </c>
      <c r="B88" s="78" t="s">
        <v>99</v>
      </c>
      <c r="C88" s="78" t="str">
        <f t="shared" si="10"/>
        <v/>
      </c>
      <c r="E88" s="27" t="str">
        <f>IF('Plate organization+'!L9="","",'Plate organization+'!L9)</f>
        <v/>
      </c>
      <c r="F88" s="27" t="s">
        <v>99</v>
      </c>
      <c r="G88" s="27" t="str">
        <f t="shared" si="12"/>
        <v/>
      </c>
      <c r="I88" s="30" t="str">
        <f>IF('Plate organization+'!B108="","",'Plate organization+'!B108)</f>
        <v/>
      </c>
      <c r="J88" s="30" t="s">
        <v>99</v>
      </c>
      <c r="K88" s="30" t="str">
        <f t="shared" si="11"/>
        <v/>
      </c>
    </row>
    <row r="89" spans="1:11" ht="15.75" thickBot="1" x14ac:dyDescent="0.3">
      <c r="A89" s="79" t="str">
        <f>IF('Plate organization+'!L22="","",'Plate organization+'!L22)</f>
        <v/>
      </c>
      <c r="B89" s="79" t="s">
        <v>100</v>
      </c>
      <c r="C89" s="79" t="str">
        <f t="shared" si="10"/>
        <v/>
      </c>
      <c r="E89" s="28" t="str">
        <f>IF('Plate organization+'!L10="","",'Plate organization+'!L10)</f>
        <v/>
      </c>
      <c r="F89" s="28" t="s">
        <v>100</v>
      </c>
      <c r="G89" s="28" t="str">
        <f t="shared" si="12"/>
        <v/>
      </c>
      <c r="I89" s="31" t="str">
        <f>IF('Plate organization+'!B109="","",'Plate organization+'!B109)</f>
        <v/>
      </c>
      <c r="J89" s="31" t="s">
        <v>100</v>
      </c>
      <c r="K89" s="31" t="str">
        <f t="shared" si="11"/>
        <v/>
      </c>
    </row>
    <row r="90" spans="1:11" x14ac:dyDescent="0.25">
      <c r="A90" s="77" t="str">
        <f>IF('Plate organization+'!M15="","",'Plate organization+'!M15)</f>
        <v/>
      </c>
      <c r="B90" s="77" t="s">
        <v>101</v>
      </c>
      <c r="C90" s="77" t="str">
        <f t="shared" si="10"/>
        <v/>
      </c>
      <c r="E90" s="26" t="str">
        <f>IF('Plate organization+'!M3="","",'Plate organization+'!M3)</f>
        <v/>
      </c>
      <c r="F90" s="26" t="s">
        <v>101</v>
      </c>
      <c r="G90" s="26" t="str">
        <f t="shared" si="12"/>
        <v/>
      </c>
      <c r="I90" s="29" t="str">
        <f>IF('Plate organization+'!M27="","",'Plate organization+'!M27)</f>
        <v/>
      </c>
      <c r="J90" s="29" t="s">
        <v>101</v>
      </c>
      <c r="K90" s="29" t="str">
        <f t="shared" si="11"/>
        <v/>
      </c>
    </row>
    <row r="91" spans="1:11" x14ac:dyDescent="0.25">
      <c r="A91" s="78" t="str">
        <f>IF('Plate organization+'!M16="","",'Plate organization+'!M16)</f>
        <v/>
      </c>
      <c r="B91" s="78" t="s">
        <v>102</v>
      </c>
      <c r="C91" s="78" t="str">
        <f t="shared" si="10"/>
        <v/>
      </c>
      <c r="E91" s="27" t="str">
        <f>IF('Plate organization+'!M4="","",'Plate organization+'!M4)</f>
        <v/>
      </c>
      <c r="F91" s="27" t="s">
        <v>102</v>
      </c>
      <c r="G91" s="27" t="str">
        <f t="shared" si="12"/>
        <v/>
      </c>
      <c r="I91" s="30" t="str">
        <f>IF('Plate organization+'!M28="","",'Plate organization+'!M28)</f>
        <v/>
      </c>
      <c r="J91" s="30" t="s">
        <v>102</v>
      </c>
      <c r="K91" s="30" t="str">
        <f t="shared" si="11"/>
        <v/>
      </c>
    </row>
    <row r="92" spans="1:11" x14ac:dyDescent="0.25">
      <c r="A92" s="78" t="str">
        <f>IF('Plate organization+'!M17="","",'Plate organization+'!M17)</f>
        <v/>
      </c>
      <c r="B92" s="78" t="s">
        <v>103</v>
      </c>
      <c r="C92" s="78" t="str">
        <f t="shared" si="10"/>
        <v/>
      </c>
      <c r="E92" s="27" t="str">
        <f>IF('Plate organization+'!M5="","",'Plate organization+'!M5)</f>
        <v/>
      </c>
      <c r="F92" s="27" t="s">
        <v>103</v>
      </c>
      <c r="G92" s="27" t="str">
        <f t="shared" si="12"/>
        <v/>
      </c>
      <c r="I92" s="30" t="str">
        <f>IF('Plate organization+'!M29="","",'Plate organization+'!M29)</f>
        <v/>
      </c>
      <c r="J92" s="30" t="s">
        <v>103</v>
      </c>
      <c r="K92" s="30" t="str">
        <f t="shared" si="11"/>
        <v/>
      </c>
    </row>
    <row r="93" spans="1:11" x14ac:dyDescent="0.25">
      <c r="A93" s="78" t="str">
        <f>IF('Plate organization+'!M18="","",'Plate organization+'!M18)</f>
        <v/>
      </c>
      <c r="B93" s="78" t="s">
        <v>104</v>
      </c>
      <c r="C93" s="78" t="str">
        <f t="shared" si="10"/>
        <v/>
      </c>
      <c r="E93" s="27" t="str">
        <f>IF('Plate organization+'!M6="","",'Plate organization+'!M6)</f>
        <v/>
      </c>
      <c r="F93" s="27" t="s">
        <v>104</v>
      </c>
      <c r="G93" s="27" t="str">
        <f t="shared" si="12"/>
        <v/>
      </c>
      <c r="I93" s="30" t="str">
        <f>IF('Plate organization+'!M30="","",'Plate organization+'!M30)</f>
        <v/>
      </c>
      <c r="J93" s="30" t="s">
        <v>104</v>
      </c>
      <c r="K93" s="30" t="str">
        <f t="shared" si="11"/>
        <v/>
      </c>
    </row>
    <row r="94" spans="1:11" x14ac:dyDescent="0.25">
      <c r="A94" s="78" t="str">
        <f>IF('Plate organization+'!M19="","",'Plate organization+'!M19)</f>
        <v/>
      </c>
      <c r="B94" s="78" t="s">
        <v>105</v>
      </c>
      <c r="C94" s="78" t="str">
        <f t="shared" si="10"/>
        <v/>
      </c>
      <c r="E94" s="27" t="str">
        <f>IF('Plate organization+'!M7="","",'Plate organization+'!M7)</f>
        <v/>
      </c>
      <c r="F94" s="27" t="s">
        <v>105</v>
      </c>
      <c r="G94" s="27" t="str">
        <f t="shared" si="12"/>
        <v/>
      </c>
      <c r="I94" s="30" t="str">
        <f>IF('Plate organization+'!M31="","",'Plate organization+'!M31)</f>
        <v/>
      </c>
      <c r="J94" s="30" t="s">
        <v>105</v>
      </c>
      <c r="K94" s="30" t="str">
        <f t="shared" si="11"/>
        <v/>
      </c>
    </row>
    <row r="95" spans="1:11" x14ac:dyDescent="0.25">
      <c r="A95" s="78" t="str">
        <f>IF('Plate organization+'!M20="","",'Plate organization+'!M20)</f>
        <v/>
      </c>
      <c r="B95" s="78" t="s">
        <v>106</v>
      </c>
      <c r="C95" s="78" t="str">
        <f t="shared" si="10"/>
        <v/>
      </c>
      <c r="E95" s="27" t="str">
        <f>IF('Plate organization+'!M8="","",'Plate organization+'!M8)</f>
        <v/>
      </c>
      <c r="F95" s="27" t="s">
        <v>106</v>
      </c>
      <c r="G95" s="27" t="str">
        <f t="shared" si="12"/>
        <v/>
      </c>
      <c r="I95" s="30" t="str">
        <f>IF('Plate organization+'!M32="","",'Plate organization+'!M32)</f>
        <v/>
      </c>
      <c r="J95" s="30" t="s">
        <v>106</v>
      </c>
      <c r="K95" s="30" t="str">
        <f t="shared" si="11"/>
        <v/>
      </c>
    </row>
    <row r="96" spans="1:11" x14ac:dyDescent="0.25">
      <c r="A96" s="78" t="str">
        <f>IF('Plate organization+'!M21="","",'Plate organization+'!M21)</f>
        <v/>
      </c>
      <c r="B96" s="78" t="s">
        <v>107</v>
      </c>
      <c r="C96" s="78" t="str">
        <f t="shared" si="10"/>
        <v/>
      </c>
      <c r="E96" s="27" t="str">
        <f>IF('Plate organization+'!M9="","",'Plate organization+'!M9)</f>
        <v/>
      </c>
      <c r="F96" s="27" t="s">
        <v>107</v>
      </c>
      <c r="G96" s="27" t="str">
        <f t="shared" si="12"/>
        <v/>
      </c>
      <c r="I96" s="30" t="str">
        <f>IF('Plate organization+'!M33="","",'Plate organization+'!M33)</f>
        <v/>
      </c>
      <c r="J96" s="30" t="s">
        <v>107</v>
      </c>
      <c r="K96" s="30" t="str">
        <f t="shared" si="11"/>
        <v/>
      </c>
    </row>
    <row r="97" spans="1:11" ht="15.75" thickBot="1" x14ac:dyDescent="0.3">
      <c r="A97" s="79" t="str">
        <f>IF('Plate organization+'!M22="","",'Plate organization+'!M22)</f>
        <v/>
      </c>
      <c r="B97" s="79" t="s">
        <v>108</v>
      </c>
      <c r="C97" s="79" t="str">
        <f t="shared" si="10"/>
        <v/>
      </c>
      <c r="E97" s="28" t="str">
        <f>IF('Plate organization+'!M10="","",'Plate organization+'!M10)</f>
        <v/>
      </c>
      <c r="F97" s="28" t="s">
        <v>108</v>
      </c>
      <c r="G97" s="28" t="str">
        <f t="shared" si="12"/>
        <v/>
      </c>
      <c r="I97" s="31" t="str">
        <f>IF('Plate organization+'!M34="","",'Plate organization+'!M34)</f>
        <v/>
      </c>
      <c r="J97" s="31" t="s">
        <v>108</v>
      </c>
      <c r="K97" s="31" t="str">
        <f t="shared" si="11"/>
        <v/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>
      <selection activeCell="C2" sqref="C2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0" bestFit="1" customWidth="1"/>
    <col min="4" max="4" width="11.42578125" style="3"/>
    <col min="5" max="5" width="19" style="3" bestFit="1" customWidth="1"/>
  </cols>
  <sheetData>
    <row r="1" spans="1:5" x14ac:dyDescent="0.25">
      <c r="A1" s="4" t="s">
        <v>66</v>
      </c>
      <c r="B1" s="4" t="s">
        <v>68</v>
      </c>
      <c r="C1" s="4" t="s">
        <v>135</v>
      </c>
      <c r="D1" s="4" t="s">
        <v>67</v>
      </c>
      <c r="E1" s="4" t="s">
        <v>109</v>
      </c>
    </row>
    <row r="2" spans="1:5" x14ac:dyDescent="0.25">
      <c r="A2" s="3" t="str">
        <f>IF(C2="","",VLOOKUP(C2,Source_Plate!$M$2:$N$9,2,FALSE))</f>
        <v/>
      </c>
      <c r="B2" s="3" t="str">
        <f>IF(C2="","",'Plan+'!F2)</f>
        <v/>
      </c>
      <c r="C2" s="32" t="str">
        <f>IF(OR('Plan+'!E2="",'Plate organization+'!$B$43="",'Plate organization+'!$B$43=0),"",'Plan+'!E2)</f>
        <v/>
      </c>
      <c r="D2" s="3" t="str">
        <f>IF(C2="","",'Plate organization+'!$B$43)</f>
        <v/>
      </c>
      <c r="E2" s="3" t="s">
        <v>120</v>
      </c>
    </row>
    <row r="3" spans="1:5" x14ac:dyDescent="0.25">
      <c r="A3" s="3" t="str">
        <f>IF(C3="","",VLOOKUP(C3,Source_Plate!$M$2:$N$9,2,FALSE))</f>
        <v/>
      </c>
      <c r="B3" s="3" t="str">
        <f>IF(C3="","",'Plan+'!F3)</f>
        <v/>
      </c>
      <c r="C3" s="32" t="str">
        <f>IF(OR('Plan+'!E3="",'Plate organization+'!$B$43="",'Plate organization+'!$B$43=0),"",'Plan+'!E3)</f>
        <v/>
      </c>
      <c r="D3" s="3" t="str">
        <f>IF(C3="","",'Plate organization+'!$B$43)</f>
        <v/>
      </c>
      <c r="E3" s="3" t="s">
        <v>120</v>
      </c>
    </row>
    <row r="4" spans="1:5" x14ac:dyDescent="0.25">
      <c r="A4" s="3" t="str">
        <f>IF(C4="","",VLOOKUP(C4,Source_Plate!$M$2:$N$9,2,FALSE))</f>
        <v/>
      </c>
      <c r="B4" s="3" t="str">
        <f>IF(C4="","",'Plan+'!F4)</f>
        <v/>
      </c>
      <c r="C4" s="32" t="str">
        <f>IF(OR('Plan+'!E4="",'Plate organization+'!$B$43="",'Plate organization+'!$B$43=0),"",'Plan+'!E4)</f>
        <v/>
      </c>
      <c r="D4" s="3" t="str">
        <f>IF(C4="","",'Plate organization+'!$B$43)</f>
        <v/>
      </c>
      <c r="E4" s="3" t="s">
        <v>120</v>
      </c>
    </row>
    <row r="5" spans="1:5" x14ac:dyDescent="0.25">
      <c r="A5" s="3" t="str">
        <f>IF(C5="","",VLOOKUP(C5,Source_Plate!$M$2:$N$9,2,FALSE))</f>
        <v/>
      </c>
      <c r="B5" s="3" t="str">
        <f>IF(C5="","",'Plan+'!F5)</f>
        <v/>
      </c>
      <c r="C5" s="32" t="str">
        <f>IF(OR('Plan+'!E5="",'Plate organization+'!$B$43="",'Plate organization+'!$B$43=0),"",'Plan+'!E5)</f>
        <v/>
      </c>
      <c r="D5" s="3" t="str">
        <f>IF(C5="","",'Plate organization+'!$B$43)</f>
        <v/>
      </c>
      <c r="E5" s="3" t="s">
        <v>120</v>
      </c>
    </row>
    <row r="6" spans="1:5" x14ac:dyDescent="0.25">
      <c r="A6" s="3" t="str">
        <f>IF(C6="","",VLOOKUP(C6,Source_Plate!$M$2:$N$9,2,FALSE))</f>
        <v/>
      </c>
      <c r="B6" s="3" t="str">
        <f>IF(C6="","",'Plan+'!F6)</f>
        <v/>
      </c>
      <c r="C6" s="32" t="str">
        <f>IF(OR('Plan+'!E6="",'Plate organization+'!$B$43="",'Plate organization+'!$B$43=0),"",'Plan+'!E6)</f>
        <v/>
      </c>
      <c r="D6" s="3" t="str">
        <f>IF(C6="","",'Plate organization+'!$B$43)</f>
        <v/>
      </c>
      <c r="E6" s="3" t="s">
        <v>120</v>
      </c>
    </row>
    <row r="7" spans="1:5" x14ac:dyDescent="0.25">
      <c r="A7" s="3" t="str">
        <f>IF(C7="","",VLOOKUP(C7,Source_Plate!$M$2:$N$9,2,FALSE))</f>
        <v/>
      </c>
      <c r="B7" s="3" t="str">
        <f>IF(C7="","",'Plan+'!F7)</f>
        <v/>
      </c>
      <c r="C7" s="32" t="str">
        <f>IF(OR('Plan+'!E7="",'Plate organization+'!$B$43="",'Plate organization+'!$B$43=0),"",'Plan+'!E7)</f>
        <v/>
      </c>
      <c r="D7" s="3" t="str">
        <f>IF(C7="","",'Plate organization+'!$B$43)</f>
        <v/>
      </c>
      <c r="E7" s="3" t="s">
        <v>120</v>
      </c>
    </row>
    <row r="8" spans="1:5" x14ac:dyDescent="0.25">
      <c r="A8" s="3" t="str">
        <f>IF(C8="","",VLOOKUP(C8,Source_Plate!$M$2:$N$9,2,FALSE))</f>
        <v/>
      </c>
      <c r="B8" s="3" t="str">
        <f>IF(C8="","",'Plan+'!F8)</f>
        <v/>
      </c>
      <c r="C8" s="32" t="str">
        <f>IF(OR('Plan+'!E8="",'Plate organization+'!$B$43="",'Plate organization+'!$B$43=0),"",'Plan+'!E8)</f>
        <v/>
      </c>
      <c r="D8" s="3" t="str">
        <f>IF(C8="","",'Plate organization+'!$B$43)</f>
        <v/>
      </c>
      <c r="E8" s="3" t="s">
        <v>120</v>
      </c>
    </row>
    <row r="9" spans="1:5" x14ac:dyDescent="0.25">
      <c r="A9" s="3" t="str">
        <f>IF(C9="","",VLOOKUP(C9,Source_Plate!$M$2:$N$9,2,FALSE))</f>
        <v/>
      </c>
      <c r="B9" s="3" t="str">
        <f>IF(C9="","",'Plan+'!F9)</f>
        <v/>
      </c>
      <c r="C9" s="32" t="str">
        <f>IF(OR('Plan+'!E9="",'Plate organization+'!$B$43="",'Plate organization+'!$B$43=0),"",'Plan+'!E9)</f>
        <v/>
      </c>
      <c r="D9" s="3" t="str">
        <f>IF(C9="","",'Plate organization+'!$B$43)</f>
        <v/>
      </c>
      <c r="E9" s="3" t="s">
        <v>120</v>
      </c>
    </row>
    <row r="10" spans="1:5" x14ac:dyDescent="0.25">
      <c r="A10" s="3" t="str">
        <f>IF(C10="","",VLOOKUP(C10,Source_Plate!$M$2:$N$9,2,FALSE))</f>
        <v/>
      </c>
      <c r="B10" s="3" t="str">
        <f>IF(C10="","",'Plan+'!F10)</f>
        <v/>
      </c>
      <c r="C10" s="32" t="str">
        <f>IF(OR('Plan+'!E10="",'Plate organization+'!$B$43="",'Plate organization+'!$B$43=0),"",'Plan+'!E10)</f>
        <v/>
      </c>
      <c r="D10" s="3" t="str">
        <f>IF(C10="","",'Plate organization+'!$B$43)</f>
        <v/>
      </c>
      <c r="E10" s="3" t="s">
        <v>120</v>
      </c>
    </row>
    <row r="11" spans="1:5" x14ac:dyDescent="0.25">
      <c r="A11" s="3" t="str">
        <f>IF(C11="","",VLOOKUP(C11,Source_Plate!$M$2:$N$9,2,FALSE))</f>
        <v/>
      </c>
      <c r="B11" s="3" t="str">
        <f>IF(C11="","",'Plan+'!F11)</f>
        <v/>
      </c>
      <c r="C11" s="32" t="str">
        <f>IF(OR('Plan+'!E11="",'Plate organization+'!$B$43="",'Plate organization+'!$B$43=0),"",'Plan+'!E11)</f>
        <v/>
      </c>
      <c r="D11" s="3" t="str">
        <f>IF(C11="","",'Plate organization+'!$B$43)</f>
        <v/>
      </c>
      <c r="E11" s="3" t="s">
        <v>120</v>
      </c>
    </row>
    <row r="12" spans="1:5" x14ac:dyDescent="0.25">
      <c r="A12" s="3" t="str">
        <f>IF(C12="","",VLOOKUP(C12,Source_Plate!$M$2:$N$9,2,FALSE))</f>
        <v/>
      </c>
      <c r="B12" s="3" t="str">
        <f>IF(C12="","",'Plan+'!F12)</f>
        <v/>
      </c>
      <c r="C12" s="32" t="str">
        <f>IF(OR('Plan+'!E12="",'Plate organization+'!$B$43="",'Plate organization+'!$B$43=0),"",'Plan+'!E12)</f>
        <v/>
      </c>
      <c r="D12" s="3" t="str">
        <f>IF(C12="","",'Plate organization+'!$B$43)</f>
        <v/>
      </c>
      <c r="E12" s="3" t="s">
        <v>120</v>
      </c>
    </row>
    <row r="13" spans="1:5" x14ac:dyDescent="0.25">
      <c r="A13" s="3" t="str">
        <f>IF(C13="","",VLOOKUP(C13,Source_Plate!$M$2:$N$9,2,FALSE))</f>
        <v/>
      </c>
      <c r="B13" s="3" t="str">
        <f>IF(C13="","",'Plan+'!F13)</f>
        <v/>
      </c>
      <c r="C13" s="32" t="str">
        <f>IF(OR('Plan+'!E13="",'Plate organization+'!$B$43="",'Plate organization+'!$B$43=0),"",'Plan+'!E13)</f>
        <v/>
      </c>
      <c r="D13" s="3" t="str">
        <f>IF(C13="","",'Plate organization+'!$B$43)</f>
        <v/>
      </c>
      <c r="E13" s="3" t="s">
        <v>120</v>
      </c>
    </row>
    <row r="14" spans="1:5" x14ac:dyDescent="0.25">
      <c r="A14" s="3" t="str">
        <f>IF(C14="","",VLOOKUP(C14,Source_Plate!$M$2:$N$9,2,FALSE))</f>
        <v/>
      </c>
      <c r="B14" s="3" t="str">
        <f>IF(C14="","",'Plan+'!F14)</f>
        <v/>
      </c>
      <c r="C14" s="32" t="str">
        <f>IF(OR('Plan+'!E14="",'Plate organization+'!$B$43="",'Plate organization+'!$B$43=0),"",'Plan+'!E14)</f>
        <v/>
      </c>
      <c r="D14" s="3" t="str">
        <f>IF(C14="","",'Plate organization+'!$B$43)</f>
        <v/>
      </c>
      <c r="E14" s="3" t="s">
        <v>120</v>
      </c>
    </row>
    <row r="15" spans="1:5" x14ac:dyDescent="0.25">
      <c r="A15" s="3" t="str">
        <f>IF(C15="","",VLOOKUP(C15,Source_Plate!$M$2:$N$9,2,FALSE))</f>
        <v/>
      </c>
      <c r="B15" s="3" t="str">
        <f>IF(C15="","",'Plan+'!F15)</f>
        <v/>
      </c>
      <c r="C15" s="32" t="str">
        <f>IF(OR('Plan+'!E15="",'Plate organization+'!$B$43="",'Plate organization+'!$B$43=0),"",'Plan+'!E15)</f>
        <v/>
      </c>
      <c r="D15" s="3" t="str">
        <f>IF(C15="","",'Plate organization+'!$B$43)</f>
        <v/>
      </c>
      <c r="E15" s="3" t="s">
        <v>120</v>
      </c>
    </row>
    <row r="16" spans="1:5" x14ac:dyDescent="0.25">
      <c r="A16" s="3" t="str">
        <f>IF(C16="","",VLOOKUP(C16,Source_Plate!$M$2:$N$9,2,FALSE))</f>
        <v/>
      </c>
      <c r="B16" s="3" t="str">
        <f>IF(C16="","",'Plan+'!F16)</f>
        <v/>
      </c>
      <c r="C16" s="32" t="str">
        <f>IF(OR('Plan+'!E16="",'Plate organization+'!$B$43="",'Plate organization+'!$B$43=0),"",'Plan+'!E16)</f>
        <v/>
      </c>
      <c r="D16" s="3" t="str">
        <f>IF(C16="","",'Plate organization+'!$B$43)</f>
        <v/>
      </c>
      <c r="E16" s="3" t="s">
        <v>120</v>
      </c>
    </row>
    <row r="17" spans="1:5" x14ac:dyDescent="0.25">
      <c r="A17" s="3" t="str">
        <f>IF(C17="","",VLOOKUP(C17,Source_Plate!$M$2:$N$9,2,FALSE))</f>
        <v/>
      </c>
      <c r="B17" s="3" t="str">
        <f>IF(C17="","",'Plan+'!F17)</f>
        <v/>
      </c>
      <c r="C17" s="32" t="str">
        <f>IF(OR('Plan+'!E17="",'Plate organization+'!$B$43="",'Plate organization+'!$B$43=0),"",'Plan+'!E17)</f>
        <v/>
      </c>
      <c r="D17" s="3" t="str">
        <f>IF(C17="","",'Plate organization+'!$B$43)</f>
        <v/>
      </c>
      <c r="E17" s="3" t="s">
        <v>120</v>
      </c>
    </row>
    <row r="18" spans="1:5" x14ac:dyDescent="0.25">
      <c r="A18" s="3" t="str">
        <f>IF(C18="","",VLOOKUP(C18,Source_Plate!$M$2:$N$9,2,FALSE))</f>
        <v/>
      </c>
      <c r="B18" s="3" t="str">
        <f>IF(C18="","",'Plan+'!F18)</f>
        <v/>
      </c>
      <c r="C18" s="32" t="str">
        <f>IF(OR('Plan+'!E18="",'Plate organization+'!$B$43="",'Plate organization+'!$B$43=0),"",'Plan+'!E18)</f>
        <v/>
      </c>
      <c r="D18" s="3" t="str">
        <f>IF(C18="","",'Plate organization+'!$B$43)</f>
        <v/>
      </c>
      <c r="E18" s="3" t="s">
        <v>120</v>
      </c>
    </row>
    <row r="19" spans="1:5" x14ac:dyDescent="0.25">
      <c r="A19" s="3" t="str">
        <f>IF(C19="","",VLOOKUP(C19,Source_Plate!$M$2:$N$9,2,FALSE))</f>
        <v/>
      </c>
      <c r="B19" s="3" t="str">
        <f>IF(C19="","",'Plan+'!F19)</f>
        <v/>
      </c>
      <c r="C19" s="32" t="str">
        <f>IF(OR('Plan+'!E19="",'Plate organization+'!$B$43="",'Plate organization+'!$B$43=0),"",'Plan+'!E19)</f>
        <v/>
      </c>
      <c r="D19" s="3" t="str">
        <f>IF(C19="","",'Plate organization+'!$B$43)</f>
        <v/>
      </c>
      <c r="E19" s="3" t="s">
        <v>120</v>
      </c>
    </row>
    <row r="20" spans="1:5" x14ac:dyDescent="0.25">
      <c r="A20" s="3" t="str">
        <f>IF(C20="","",VLOOKUP(C20,Source_Plate!$M$2:$N$9,2,FALSE))</f>
        <v/>
      </c>
      <c r="B20" s="3" t="str">
        <f>IF(C20="","",'Plan+'!F20)</f>
        <v/>
      </c>
      <c r="C20" s="32" t="str">
        <f>IF(OR('Plan+'!E20="",'Plate organization+'!$B$43="",'Plate organization+'!$B$43=0),"",'Plan+'!E20)</f>
        <v/>
      </c>
      <c r="D20" s="3" t="str">
        <f>IF(C20="","",'Plate organization+'!$B$43)</f>
        <v/>
      </c>
      <c r="E20" s="3" t="s">
        <v>120</v>
      </c>
    </row>
    <row r="21" spans="1:5" x14ac:dyDescent="0.25">
      <c r="A21" s="3" t="str">
        <f>IF(C21="","",VLOOKUP(C21,Source_Plate!$M$2:$N$9,2,FALSE))</f>
        <v/>
      </c>
      <c r="B21" s="3" t="str">
        <f>IF(C21="","",'Plan+'!F21)</f>
        <v/>
      </c>
      <c r="C21" s="32" t="str">
        <f>IF(OR('Plan+'!E21="",'Plate organization+'!$B$43="",'Plate organization+'!$B$43=0),"",'Plan+'!E21)</f>
        <v/>
      </c>
      <c r="D21" s="3" t="str">
        <f>IF(C21="","",'Plate organization+'!$B$43)</f>
        <v/>
      </c>
      <c r="E21" s="3" t="s">
        <v>120</v>
      </c>
    </row>
    <row r="22" spans="1:5" x14ac:dyDescent="0.25">
      <c r="A22" s="3" t="str">
        <f>IF(C22="","",VLOOKUP(C22,Source_Plate!$M$2:$N$9,2,FALSE))</f>
        <v/>
      </c>
      <c r="B22" s="3" t="str">
        <f>IF(C22="","",'Plan+'!F22)</f>
        <v/>
      </c>
      <c r="C22" s="32" t="str">
        <f>IF(OR('Plan+'!E22="",'Plate organization+'!$B$43="",'Plate organization+'!$B$43=0),"",'Plan+'!E22)</f>
        <v/>
      </c>
      <c r="D22" s="3" t="str">
        <f>IF(C22="","",'Plate organization+'!$B$43)</f>
        <v/>
      </c>
      <c r="E22" s="3" t="s">
        <v>120</v>
      </c>
    </row>
    <row r="23" spans="1:5" x14ac:dyDescent="0.25">
      <c r="A23" s="3" t="str">
        <f>IF(C23="","",VLOOKUP(C23,Source_Plate!$M$2:$N$9,2,FALSE))</f>
        <v/>
      </c>
      <c r="B23" s="3" t="str">
        <f>IF(C23="","",'Plan+'!F23)</f>
        <v/>
      </c>
      <c r="C23" s="32" t="str">
        <f>IF(OR('Plan+'!E23="",'Plate organization+'!$B$43="",'Plate organization+'!$B$43=0),"",'Plan+'!E23)</f>
        <v/>
      </c>
      <c r="D23" s="3" t="str">
        <f>IF(C23="","",'Plate organization+'!$B$43)</f>
        <v/>
      </c>
      <c r="E23" s="3" t="s">
        <v>120</v>
      </c>
    </row>
    <row r="24" spans="1:5" x14ac:dyDescent="0.25">
      <c r="A24" s="3" t="str">
        <f>IF(C24="","",VLOOKUP(C24,Source_Plate!$M$2:$N$9,2,FALSE))</f>
        <v/>
      </c>
      <c r="B24" s="3" t="str">
        <f>IF(C24="","",'Plan+'!F24)</f>
        <v/>
      </c>
      <c r="C24" s="32" t="str">
        <f>IF(OR('Plan+'!E24="",'Plate organization+'!$B$43="",'Plate organization+'!$B$43=0),"",'Plan+'!E24)</f>
        <v/>
      </c>
      <c r="D24" s="3" t="str">
        <f>IF(C24="","",'Plate organization+'!$B$43)</f>
        <v/>
      </c>
      <c r="E24" s="3" t="s">
        <v>120</v>
      </c>
    </row>
    <row r="25" spans="1:5" x14ac:dyDescent="0.25">
      <c r="A25" s="3" t="str">
        <f>IF(C25="","",VLOOKUP(C25,Source_Plate!$M$2:$N$9,2,FALSE))</f>
        <v/>
      </c>
      <c r="B25" s="3" t="str">
        <f>IF(C25="","",'Plan+'!F25)</f>
        <v/>
      </c>
      <c r="C25" s="32" t="str">
        <f>IF(OR('Plan+'!E25="",'Plate organization+'!$B$43="",'Plate organization+'!$B$43=0),"",'Plan+'!E25)</f>
        <v/>
      </c>
      <c r="D25" s="3" t="str">
        <f>IF(C25="","",'Plate organization+'!$B$43)</f>
        <v/>
      </c>
      <c r="E25" s="3" t="s">
        <v>120</v>
      </c>
    </row>
    <row r="26" spans="1:5" x14ac:dyDescent="0.25">
      <c r="A26" s="3" t="str">
        <f>IF(C26="","",VLOOKUP(C26,Source_Plate!$M$2:$N$9,2,FALSE))</f>
        <v/>
      </c>
      <c r="B26" s="3" t="str">
        <f>IF(C26="","",'Plan+'!F26)</f>
        <v/>
      </c>
      <c r="C26" s="32" t="str">
        <f>IF(OR('Plan+'!E26="",'Plate organization+'!$B$43="",'Plate organization+'!$B$43=0),"",'Plan+'!E26)</f>
        <v/>
      </c>
      <c r="D26" s="3" t="str">
        <f>IF(C26="","",'Plate organization+'!$B$43)</f>
        <v/>
      </c>
      <c r="E26" s="3" t="s">
        <v>120</v>
      </c>
    </row>
    <row r="27" spans="1:5" x14ac:dyDescent="0.25">
      <c r="A27" s="3" t="str">
        <f>IF(C27="","",VLOOKUP(C27,Source_Plate!$M$2:$N$9,2,FALSE))</f>
        <v/>
      </c>
      <c r="B27" s="3" t="str">
        <f>IF(C27="","",'Plan+'!F27)</f>
        <v/>
      </c>
      <c r="C27" s="32" t="str">
        <f>IF(OR('Plan+'!E27="",'Plate organization+'!$B$43="",'Plate organization+'!$B$43=0),"",'Plan+'!E27)</f>
        <v/>
      </c>
      <c r="D27" s="3" t="str">
        <f>IF(C27="","",'Plate organization+'!$B$43)</f>
        <v/>
      </c>
      <c r="E27" s="3" t="s">
        <v>120</v>
      </c>
    </row>
    <row r="28" spans="1:5" x14ac:dyDescent="0.25">
      <c r="A28" s="3" t="str">
        <f>IF(C28="","",VLOOKUP(C28,Source_Plate!$M$2:$N$9,2,FALSE))</f>
        <v/>
      </c>
      <c r="B28" s="3" t="str">
        <f>IF(C28="","",'Plan+'!F28)</f>
        <v/>
      </c>
      <c r="C28" s="32" t="str">
        <f>IF(OR('Plan+'!E28="",'Plate organization+'!$B$43="",'Plate organization+'!$B$43=0),"",'Plan+'!E28)</f>
        <v/>
      </c>
      <c r="D28" s="3" t="str">
        <f>IF(C28="","",'Plate organization+'!$B$43)</f>
        <v/>
      </c>
      <c r="E28" s="3" t="s">
        <v>120</v>
      </c>
    </row>
    <row r="29" spans="1:5" x14ac:dyDescent="0.25">
      <c r="A29" s="3" t="str">
        <f>IF(C29="","",VLOOKUP(C29,Source_Plate!$M$2:$N$9,2,FALSE))</f>
        <v/>
      </c>
      <c r="B29" s="3" t="str">
        <f>IF(C29="","",'Plan+'!F29)</f>
        <v/>
      </c>
      <c r="C29" s="32" t="str">
        <f>IF(OR('Plan+'!E29="",'Plate organization+'!$B$43="",'Plate organization+'!$B$43=0),"",'Plan+'!E29)</f>
        <v/>
      </c>
      <c r="D29" s="3" t="str">
        <f>IF(C29="","",'Plate organization+'!$B$43)</f>
        <v/>
      </c>
      <c r="E29" s="3" t="s">
        <v>120</v>
      </c>
    </row>
    <row r="30" spans="1:5" x14ac:dyDescent="0.25">
      <c r="A30" s="3" t="str">
        <f>IF(C30="","",VLOOKUP(C30,Source_Plate!$M$2:$N$9,2,FALSE))</f>
        <v/>
      </c>
      <c r="B30" s="3" t="str">
        <f>IF(C30="","",'Plan+'!F30)</f>
        <v/>
      </c>
      <c r="C30" s="32" t="str">
        <f>IF(OR('Plan+'!E30="",'Plate organization+'!$B$43="",'Plate organization+'!$B$43=0),"",'Plan+'!E30)</f>
        <v/>
      </c>
      <c r="D30" s="3" t="str">
        <f>IF(C30="","",'Plate organization+'!$B$43)</f>
        <v/>
      </c>
      <c r="E30" s="3" t="s">
        <v>120</v>
      </c>
    </row>
    <row r="31" spans="1:5" x14ac:dyDescent="0.25">
      <c r="A31" s="3" t="str">
        <f>IF(C31="","",VLOOKUP(C31,Source_Plate!$M$2:$N$9,2,FALSE))</f>
        <v/>
      </c>
      <c r="B31" s="3" t="str">
        <f>IF(C31="","",'Plan+'!F31)</f>
        <v/>
      </c>
      <c r="C31" s="32" t="str">
        <f>IF(OR('Plan+'!E31="",'Plate organization+'!$B$43="",'Plate organization+'!$B$43=0),"",'Plan+'!E31)</f>
        <v/>
      </c>
      <c r="D31" s="3" t="str">
        <f>IF(C31="","",'Plate organization+'!$B$43)</f>
        <v/>
      </c>
      <c r="E31" s="3" t="s">
        <v>120</v>
      </c>
    </row>
    <row r="32" spans="1:5" x14ac:dyDescent="0.25">
      <c r="A32" s="3" t="str">
        <f>IF(C32="","",VLOOKUP(C32,Source_Plate!$M$2:$N$9,2,FALSE))</f>
        <v/>
      </c>
      <c r="B32" s="3" t="str">
        <f>IF(C32="","",'Plan+'!F32)</f>
        <v/>
      </c>
      <c r="C32" s="32" t="str">
        <f>IF(OR('Plan+'!E32="",'Plate organization+'!$B$43="",'Plate organization+'!$B$43=0),"",'Plan+'!E32)</f>
        <v/>
      </c>
      <c r="D32" s="3" t="str">
        <f>IF(C32="","",'Plate organization+'!$B$43)</f>
        <v/>
      </c>
      <c r="E32" s="3" t="s">
        <v>120</v>
      </c>
    </row>
    <row r="33" spans="1:5" x14ac:dyDescent="0.25">
      <c r="A33" s="3" t="str">
        <f>IF(C33="","",VLOOKUP(C33,Source_Plate!$M$2:$N$9,2,FALSE))</f>
        <v/>
      </c>
      <c r="B33" s="3" t="str">
        <f>IF(C33="","",'Plan+'!F33)</f>
        <v/>
      </c>
      <c r="C33" s="32" t="str">
        <f>IF(OR('Plan+'!E33="",'Plate organization+'!$B$43="",'Plate organization+'!$B$43=0),"",'Plan+'!E33)</f>
        <v/>
      </c>
      <c r="D33" s="3" t="str">
        <f>IF(C33="","",'Plate organization+'!$B$43)</f>
        <v/>
      </c>
      <c r="E33" s="3" t="s">
        <v>120</v>
      </c>
    </row>
    <row r="34" spans="1:5" x14ac:dyDescent="0.25">
      <c r="A34" s="3" t="str">
        <f>IF(C34="","",VLOOKUP(C34,Source_Plate!$M$2:$N$9,2,FALSE))</f>
        <v/>
      </c>
      <c r="B34" s="3" t="str">
        <f>IF(C34="","",'Plan+'!F34)</f>
        <v/>
      </c>
      <c r="C34" s="32" t="str">
        <f>IF(OR('Plan+'!E34="",'Plate organization+'!$B$43="",'Plate organization+'!$B$43=0),"",'Plan+'!E34)</f>
        <v/>
      </c>
      <c r="D34" s="3" t="str">
        <f>IF(C34="","",'Plate organization+'!$B$43)</f>
        <v/>
      </c>
      <c r="E34" s="3" t="s">
        <v>120</v>
      </c>
    </row>
    <row r="35" spans="1:5" x14ac:dyDescent="0.25">
      <c r="A35" s="3" t="str">
        <f>IF(C35="","",VLOOKUP(C35,Source_Plate!$M$2:$N$9,2,FALSE))</f>
        <v/>
      </c>
      <c r="B35" s="3" t="str">
        <f>IF(C35="","",'Plan+'!F35)</f>
        <v/>
      </c>
      <c r="C35" s="32" t="str">
        <f>IF(OR('Plan+'!E35="",'Plate organization+'!$B$43="",'Plate organization+'!$B$43=0),"",'Plan+'!E35)</f>
        <v/>
      </c>
      <c r="D35" s="3" t="str">
        <f>IF(C35="","",'Plate organization+'!$B$43)</f>
        <v/>
      </c>
      <c r="E35" s="3" t="s">
        <v>120</v>
      </c>
    </row>
    <row r="36" spans="1:5" x14ac:dyDescent="0.25">
      <c r="A36" s="3" t="str">
        <f>IF(C36="","",VLOOKUP(C36,Source_Plate!$M$2:$N$9,2,FALSE))</f>
        <v/>
      </c>
      <c r="B36" s="3" t="str">
        <f>IF(C36="","",'Plan+'!F36)</f>
        <v/>
      </c>
      <c r="C36" s="32" t="str">
        <f>IF(OR('Plan+'!E36="",'Plate organization+'!$B$43="",'Plate organization+'!$B$43=0),"",'Plan+'!E36)</f>
        <v/>
      </c>
      <c r="D36" s="3" t="str">
        <f>IF(C36="","",'Plate organization+'!$B$43)</f>
        <v/>
      </c>
      <c r="E36" s="3" t="s">
        <v>120</v>
      </c>
    </row>
    <row r="37" spans="1:5" x14ac:dyDescent="0.25">
      <c r="A37" s="3" t="str">
        <f>IF(C37="","",VLOOKUP(C37,Source_Plate!$M$2:$N$9,2,FALSE))</f>
        <v/>
      </c>
      <c r="B37" s="3" t="str">
        <f>IF(C37="","",'Plan+'!F37)</f>
        <v/>
      </c>
      <c r="C37" s="32" t="str">
        <f>IF(OR('Plan+'!E37="",'Plate organization+'!$B$43="",'Plate organization+'!$B$43=0),"",'Plan+'!E37)</f>
        <v/>
      </c>
      <c r="D37" s="3" t="str">
        <f>IF(C37="","",'Plate organization+'!$B$43)</f>
        <v/>
      </c>
      <c r="E37" s="3" t="s">
        <v>120</v>
      </c>
    </row>
    <row r="38" spans="1:5" x14ac:dyDescent="0.25">
      <c r="A38" s="3" t="str">
        <f>IF(C38="","",VLOOKUP(C38,Source_Plate!$M$2:$N$9,2,FALSE))</f>
        <v/>
      </c>
      <c r="B38" s="3" t="str">
        <f>IF(C38="","",'Plan+'!F38)</f>
        <v/>
      </c>
      <c r="C38" s="32" t="str">
        <f>IF(OR('Plan+'!E38="",'Plate organization+'!$B$43="",'Plate organization+'!$B$43=0),"",'Plan+'!E38)</f>
        <v/>
      </c>
      <c r="D38" s="3" t="str">
        <f>IF(C38="","",'Plate organization+'!$B$43)</f>
        <v/>
      </c>
      <c r="E38" s="3" t="s">
        <v>120</v>
      </c>
    </row>
    <row r="39" spans="1:5" x14ac:dyDescent="0.25">
      <c r="A39" s="3" t="str">
        <f>IF(C39="","",VLOOKUP(C39,Source_Plate!$M$2:$N$9,2,FALSE))</f>
        <v/>
      </c>
      <c r="B39" s="3" t="str">
        <f>IF(C39="","",'Plan+'!F39)</f>
        <v/>
      </c>
      <c r="C39" s="32" t="str">
        <f>IF(OR('Plan+'!E39="",'Plate organization+'!$B$43="",'Plate organization+'!$B$43=0),"",'Plan+'!E39)</f>
        <v/>
      </c>
      <c r="D39" s="3" t="str">
        <f>IF(C39="","",'Plate organization+'!$B$43)</f>
        <v/>
      </c>
      <c r="E39" s="3" t="s">
        <v>120</v>
      </c>
    </row>
    <row r="40" spans="1:5" x14ac:dyDescent="0.25">
      <c r="A40" s="3" t="str">
        <f>IF(C40="","",VLOOKUP(C40,Source_Plate!$M$2:$N$9,2,FALSE))</f>
        <v/>
      </c>
      <c r="B40" s="3" t="str">
        <f>IF(C40="","",'Plan+'!F40)</f>
        <v/>
      </c>
      <c r="C40" s="32" t="str">
        <f>IF(OR('Plan+'!E40="",'Plate organization+'!$B$43="",'Plate organization+'!$B$43=0),"",'Plan+'!E40)</f>
        <v/>
      </c>
      <c r="D40" s="3" t="str">
        <f>IF(C40="","",'Plate organization+'!$B$43)</f>
        <v/>
      </c>
      <c r="E40" s="3" t="s">
        <v>120</v>
      </c>
    </row>
    <row r="41" spans="1:5" x14ac:dyDescent="0.25">
      <c r="A41" s="3" t="str">
        <f>IF(C41="","",VLOOKUP(C41,Source_Plate!$M$2:$N$9,2,FALSE))</f>
        <v/>
      </c>
      <c r="B41" s="3" t="str">
        <f>IF(C41="","",'Plan+'!F41)</f>
        <v/>
      </c>
      <c r="C41" s="32" t="str">
        <f>IF(OR('Plan+'!E41="",'Plate organization+'!$B$43="",'Plate organization+'!$B$43=0),"",'Plan+'!E41)</f>
        <v/>
      </c>
      <c r="D41" s="3" t="str">
        <f>IF(C41="","",'Plate organization+'!$B$43)</f>
        <v/>
      </c>
      <c r="E41" s="3" t="s">
        <v>120</v>
      </c>
    </row>
    <row r="42" spans="1:5" x14ac:dyDescent="0.25">
      <c r="A42" s="3" t="str">
        <f>IF(C42="","",VLOOKUP(C42,Source_Plate!$M$2:$N$9,2,FALSE))</f>
        <v/>
      </c>
      <c r="B42" s="3" t="str">
        <f>IF(C42="","",'Plan+'!F42)</f>
        <v/>
      </c>
      <c r="C42" s="32" t="str">
        <f>IF(OR('Plan+'!E42="",'Plate organization+'!$B$43="",'Plate organization+'!$B$43=0),"",'Plan+'!E42)</f>
        <v/>
      </c>
      <c r="D42" s="3" t="str">
        <f>IF(C42="","",'Plate organization+'!$B$43)</f>
        <v/>
      </c>
      <c r="E42" s="3" t="s">
        <v>120</v>
      </c>
    </row>
    <row r="43" spans="1:5" x14ac:dyDescent="0.25">
      <c r="A43" s="3" t="str">
        <f>IF(C43="","",VLOOKUP(C43,Source_Plate!$M$2:$N$9,2,FALSE))</f>
        <v/>
      </c>
      <c r="B43" s="3" t="str">
        <f>IF(C43="","",'Plan+'!F43)</f>
        <v/>
      </c>
      <c r="C43" s="32" t="str">
        <f>IF(OR('Plan+'!E43="",'Plate organization+'!$B$43="",'Plate organization+'!$B$43=0),"",'Plan+'!E43)</f>
        <v/>
      </c>
      <c r="D43" s="3" t="str">
        <f>IF(C43="","",'Plate organization+'!$B$43)</f>
        <v/>
      </c>
      <c r="E43" s="3" t="s">
        <v>120</v>
      </c>
    </row>
    <row r="44" spans="1:5" x14ac:dyDescent="0.25">
      <c r="A44" s="3" t="str">
        <f>IF(C44="","",VLOOKUP(C44,Source_Plate!$M$2:$N$9,2,FALSE))</f>
        <v/>
      </c>
      <c r="B44" s="3" t="str">
        <f>IF(C44="","",'Plan+'!F44)</f>
        <v/>
      </c>
      <c r="C44" s="32" t="str">
        <f>IF(OR('Plan+'!E44="",'Plate organization+'!$B$43="",'Plate organization+'!$B$43=0),"",'Plan+'!E44)</f>
        <v/>
      </c>
      <c r="D44" s="3" t="str">
        <f>IF(C44="","",'Plate organization+'!$B$43)</f>
        <v/>
      </c>
      <c r="E44" s="3" t="s">
        <v>120</v>
      </c>
    </row>
    <row r="45" spans="1:5" x14ac:dyDescent="0.25">
      <c r="A45" s="3" t="str">
        <f>IF(C45="","",VLOOKUP(C45,Source_Plate!$M$2:$N$9,2,FALSE))</f>
        <v/>
      </c>
      <c r="B45" s="3" t="str">
        <f>IF(C45="","",'Plan+'!F45)</f>
        <v/>
      </c>
      <c r="C45" s="32" t="str">
        <f>IF(OR('Plan+'!E45="",'Plate organization+'!$B$43="",'Plate organization+'!$B$43=0),"",'Plan+'!E45)</f>
        <v/>
      </c>
      <c r="D45" s="3" t="str">
        <f>IF(C45="","",'Plate organization+'!$B$43)</f>
        <v/>
      </c>
      <c r="E45" s="3" t="s">
        <v>120</v>
      </c>
    </row>
    <row r="46" spans="1:5" x14ac:dyDescent="0.25">
      <c r="A46" s="3" t="str">
        <f>IF(C46="","",VLOOKUP(C46,Source_Plate!$M$2:$N$9,2,FALSE))</f>
        <v/>
      </c>
      <c r="B46" s="3" t="str">
        <f>IF(C46="","",'Plan+'!F46)</f>
        <v/>
      </c>
      <c r="C46" s="32" t="str">
        <f>IF(OR('Plan+'!E46="",'Plate organization+'!$B$43="",'Plate organization+'!$B$43=0),"",'Plan+'!E46)</f>
        <v/>
      </c>
      <c r="D46" s="3" t="str">
        <f>IF(C46="","",'Plate organization+'!$B$43)</f>
        <v/>
      </c>
      <c r="E46" s="3" t="s">
        <v>120</v>
      </c>
    </row>
    <row r="47" spans="1:5" x14ac:dyDescent="0.25">
      <c r="A47" s="3" t="str">
        <f>IF(C47="","",VLOOKUP(C47,Source_Plate!$M$2:$N$9,2,FALSE))</f>
        <v/>
      </c>
      <c r="B47" s="3" t="str">
        <f>IF(C47="","",'Plan+'!F47)</f>
        <v/>
      </c>
      <c r="C47" s="32" t="str">
        <f>IF(OR('Plan+'!E47="",'Plate organization+'!$B$43="",'Plate organization+'!$B$43=0),"",'Plan+'!E47)</f>
        <v/>
      </c>
      <c r="D47" s="3" t="str">
        <f>IF(C47="","",'Plate organization+'!$B$43)</f>
        <v/>
      </c>
      <c r="E47" s="3" t="s">
        <v>120</v>
      </c>
    </row>
    <row r="48" spans="1:5" x14ac:dyDescent="0.25">
      <c r="A48" s="3" t="str">
        <f>IF(C48="","",VLOOKUP(C48,Source_Plate!$M$2:$N$9,2,FALSE))</f>
        <v/>
      </c>
      <c r="B48" s="3" t="str">
        <f>IF(C48="","",'Plan+'!F48)</f>
        <v/>
      </c>
      <c r="C48" s="32" t="str">
        <f>IF(OR('Plan+'!E48="",'Plate organization+'!$B$43="",'Plate organization+'!$B$43=0),"",'Plan+'!E48)</f>
        <v/>
      </c>
      <c r="D48" s="3" t="str">
        <f>IF(C48="","",'Plate organization+'!$B$43)</f>
        <v/>
      </c>
      <c r="E48" s="3" t="s">
        <v>120</v>
      </c>
    </row>
    <row r="49" spans="1:5" x14ac:dyDescent="0.25">
      <c r="A49" s="3" t="str">
        <f>IF(C49="","",VLOOKUP(C49,Source_Plate!$M$2:$N$9,2,FALSE))</f>
        <v/>
      </c>
      <c r="B49" s="3" t="str">
        <f>IF(C49="","",'Plan+'!F49)</f>
        <v/>
      </c>
      <c r="C49" s="32" t="str">
        <f>IF(OR('Plan+'!E49="",'Plate organization+'!$B$43="",'Plate organization+'!$B$43=0),"",'Plan+'!E49)</f>
        <v/>
      </c>
      <c r="D49" s="3" t="str">
        <f>IF(C49="","",'Plate organization+'!$B$43)</f>
        <v/>
      </c>
      <c r="E49" s="3" t="s">
        <v>120</v>
      </c>
    </row>
    <row r="50" spans="1:5" x14ac:dyDescent="0.25">
      <c r="A50" s="3" t="str">
        <f>IF(C50="","",VLOOKUP(C50,Source_Plate!$M$2:$N$9,2,FALSE))</f>
        <v/>
      </c>
      <c r="B50" s="3" t="str">
        <f>IF(C50="","",'Plan+'!F50)</f>
        <v/>
      </c>
      <c r="C50" s="32" t="str">
        <f>IF(OR('Plan+'!E50="",'Plate organization+'!$B$43="",'Plate organization+'!$B$43=0),"",'Plan+'!E50)</f>
        <v/>
      </c>
      <c r="D50" s="3" t="str">
        <f>IF(C50="","",'Plate organization+'!$B$43)</f>
        <v/>
      </c>
      <c r="E50" s="3" t="s">
        <v>120</v>
      </c>
    </row>
    <row r="51" spans="1:5" x14ac:dyDescent="0.25">
      <c r="A51" s="3" t="str">
        <f>IF(C51="","",VLOOKUP(C51,Source_Plate!$M$2:$N$9,2,FALSE))</f>
        <v/>
      </c>
      <c r="B51" s="3" t="str">
        <f>IF(C51="","",'Plan+'!F51)</f>
        <v/>
      </c>
      <c r="C51" s="32" t="str">
        <f>IF(OR('Plan+'!E51="",'Plate organization+'!$B$43="",'Plate organization+'!$B$43=0),"",'Plan+'!E51)</f>
        <v/>
      </c>
      <c r="D51" s="3" t="str">
        <f>IF(C51="","",'Plate organization+'!$B$43)</f>
        <v/>
      </c>
      <c r="E51" s="3" t="s">
        <v>120</v>
      </c>
    </row>
    <row r="52" spans="1:5" x14ac:dyDescent="0.25">
      <c r="A52" s="3" t="str">
        <f>IF(C52="","",VLOOKUP(C52,Source_Plate!$M$2:$N$9,2,FALSE))</f>
        <v/>
      </c>
      <c r="B52" s="3" t="str">
        <f>IF(C52="","",'Plan+'!F52)</f>
        <v/>
      </c>
      <c r="C52" s="32" t="str">
        <f>IF(OR('Plan+'!E52="",'Plate organization+'!$B$43="",'Plate organization+'!$B$43=0),"",'Plan+'!E52)</f>
        <v/>
      </c>
      <c r="D52" s="3" t="str">
        <f>IF(C52="","",'Plate organization+'!$B$43)</f>
        <v/>
      </c>
      <c r="E52" s="3" t="s">
        <v>120</v>
      </c>
    </row>
    <row r="53" spans="1:5" x14ac:dyDescent="0.25">
      <c r="A53" s="3" t="str">
        <f>IF(C53="","",VLOOKUP(C53,Source_Plate!$M$2:$N$9,2,FALSE))</f>
        <v/>
      </c>
      <c r="B53" s="3" t="str">
        <f>IF(C53="","",'Plan+'!F53)</f>
        <v/>
      </c>
      <c r="C53" s="32" t="str">
        <f>IF(OR('Plan+'!E53="",'Plate organization+'!$B$43="",'Plate organization+'!$B$43=0),"",'Plan+'!E53)</f>
        <v/>
      </c>
      <c r="D53" s="3" t="str">
        <f>IF(C53="","",'Plate organization+'!$B$43)</f>
        <v/>
      </c>
      <c r="E53" s="3" t="s">
        <v>120</v>
      </c>
    </row>
    <row r="54" spans="1:5" x14ac:dyDescent="0.25">
      <c r="A54" s="3" t="str">
        <f>IF(C54="","",VLOOKUP(C54,Source_Plate!$M$2:$N$9,2,FALSE))</f>
        <v/>
      </c>
      <c r="B54" s="3" t="str">
        <f>IF(C54="","",'Plan+'!F54)</f>
        <v/>
      </c>
      <c r="C54" s="32" t="str">
        <f>IF(OR('Plan+'!E54="",'Plate organization+'!$B$43="",'Plate organization+'!$B$43=0),"",'Plan+'!E54)</f>
        <v/>
      </c>
      <c r="D54" s="3" t="str">
        <f>IF(C54="","",'Plate organization+'!$B$43)</f>
        <v/>
      </c>
      <c r="E54" s="3" t="s">
        <v>120</v>
      </c>
    </row>
    <row r="55" spans="1:5" x14ac:dyDescent="0.25">
      <c r="A55" s="3" t="str">
        <f>IF(C55="","",VLOOKUP(C55,Source_Plate!$M$2:$N$9,2,FALSE))</f>
        <v/>
      </c>
      <c r="B55" s="3" t="str">
        <f>IF(C55="","",'Plan+'!F55)</f>
        <v/>
      </c>
      <c r="C55" s="32" t="str">
        <f>IF(OR('Plan+'!E55="",'Plate organization+'!$B$43="",'Plate organization+'!$B$43=0),"",'Plan+'!E55)</f>
        <v/>
      </c>
      <c r="D55" s="3" t="str">
        <f>IF(C55="","",'Plate organization+'!$B$43)</f>
        <v/>
      </c>
      <c r="E55" s="3" t="s">
        <v>120</v>
      </c>
    </row>
    <row r="56" spans="1:5" x14ac:dyDescent="0.25">
      <c r="A56" s="3" t="str">
        <f>IF(C56="","",VLOOKUP(C56,Source_Plate!$M$2:$N$9,2,FALSE))</f>
        <v/>
      </c>
      <c r="B56" s="3" t="str">
        <f>IF(C56="","",'Plan+'!F56)</f>
        <v/>
      </c>
      <c r="C56" s="32" t="str">
        <f>IF(OR('Plan+'!E56="",'Plate organization+'!$B$43="",'Plate organization+'!$B$43=0),"",'Plan+'!E56)</f>
        <v/>
      </c>
      <c r="D56" s="3" t="str">
        <f>IF(C56="","",'Plate organization+'!$B$43)</f>
        <v/>
      </c>
      <c r="E56" s="3" t="s">
        <v>120</v>
      </c>
    </row>
    <row r="57" spans="1:5" x14ac:dyDescent="0.25">
      <c r="A57" s="3" t="str">
        <f>IF(C57="","",VLOOKUP(C57,Source_Plate!$M$2:$N$9,2,FALSE))</f>
        <v/>
      </c>
      <c r="B57" s="3" t="str">
        <f>IF(C57="","",'Plan+'!F57)</f>
        <v/>
      </c>
      <c r="C57" s="32" t="str">
        <f>IF(OR('Plan+'!E57="",'Plate organization+'!$B$43="",'Plate organization+'!$B$43=0),"",'Plan+'!E57)</f>
        <v/>
      </c>
      <c r="D57" s="3" t="str">
        <f>IF(C57="","",'Plate organization+'!$B$43)</f>
        <v/>
      </c>
      <c r="E57" s="3" t="s">
        <v>120</v>
      </c>
    </row>
    <row r="58" spans="1:5" x14ac:dyDescent="0.25">
      <c r="A58" s="3" t="str">
        <f>IF(C58="","",VLOOKUP(C58,Source_Plate!$M$2:$N$9,2,FALSE))</f>
        <v/>
      </c>
      <c r="B58" s="3" t="str">
        <f>IF(C58="","",'Plan+'!F58)</f>
        <v/>
      </c>
      <c r="C58" s="32" t="str">
        <f>IF(OR('Plan+'!E58="",'Plate organization+'!$B$43="",'Plate organization+'!$B$43=0),"",'Plan+'!E58)</f>
        <v/>
      </c>
      <c r="D58" s="3" t="str">
        <f>IF(C58="","",'Plate organization+'!$B$43)</f>
        <v/>
      </c>
      <c r="E58" s="3" t="s">
        <v>120</v>
      </c>
    </row>
    <row r="59" spans="1:5" x14ac:dyDescent="0.25">
      <c r="A59" s="3" t="str">
        <f>IF(C59="","",VLOOKUP(C59,Source_Plate!$M$2:$N$9,2,FALSE))</f>
        <v/>
      </c>
      <c r="B59" s="3" t="str">
        <f>IF(C59="","",'Plan+'!F59)</f>
        <v/>
      </c>
      <c r="C59" s="32" t="str">
        <f>IF(OR('Plan+'!E59="",'Plate organization+'!$B$43="",'Plate organization+'!$B$43=0),"",'Plan+'!E59)</f>
        <v/>
      </c>
      <c r="D59" s="3" t="str">
        <f>IF(C59="","",'Plate organization+'!$B$43)</f>
        <v/>
      </c>
      <c r="E59" s="3" t="s">
        <v>120</v>
      </c>
    </row>
    <row r="60" spans="1:5" x14ac:dyDescent="0.25">
      <c r="A60" s="3" t="str">
        <f>IF(C60="","",VLOOKUP(C60,Source_Plate!$M$2:$N$9,2,FALSE))</f>
        <v/>
      </c>
      <c r="B60" s="3" t="str">
        <f>IF(C60="","",'Plan+'!F60)</f>
        <v/>
      </c>
      <c r="C60" s="32" t="str">
        <f>IF(OR('Plan+'!E60="",'Plate organization+'!$B$43="",'Plate organization+'!$B$43=0),"",'Plan+'!E60)</f>
        <v/>
      </c>
      <c r="D60" s="3" t="str">
        <f>IF(C60="","",'Plate organization+'!$B$43)</f>
        <v/>
      </c>
      <c r="E60" s="3" t="s">
        <v>120</v>
      </c>
    </row>
    <row r="61" spans="1:5" x14ac:dyDescent="0.25">
      <c r="A61" s="3" t="str">
        <f>IF(C61="","",VLOOKUP(C61,Source_Plate!$M$2:$N$9,2,FALSE))</f>
        <v/>
      </c>
      <c r="B61" s="3" t="str">
        <f>IF(C61="","",'Plan+'!F61)</f>
        <v/>
      </c>
      <c r="C61" s="32" t="str">
        <f>IF(OR('Plan+'!E61="",'Plate organization+'!$B$43="",'Plate organization+'!$B$43=0),"",'Plan+'!E61)</f>
        <v/>
      </c>
      <c r="D61" s="3" t="str">
        <f>IF(C61="","",'Plate organization+'!$B$43)</f>
        <v/>
      </c>
      <c r="E61" s="3" t="s">
        <v>120</v>
      </c>
    </row>
    <row r="62" spans="1:5" x14ac:dyDescent="0.25">
      <c r="A62" s="3" t="str">
        <f>IF(C62="","",VLOOKUP(C62,Source_Plate!$M$2:$N$9,2,FALSE))</f>
        <v/>
      </c>
      <c r="B62" s="3" t="str">
        <f>IF(C62="","",'Plan+'!F62)</f>
        <v/>
      </c>
      <c r="C62" s="32" t="str">
        <f>IF(OR('Plan+'!E62="",'Plate organization+'!$B$43="",'Plate organization+'!$B$43=0),"",'Plan+'!E62)</f>
        <v/>
      </c>
      <c r="D62" s="3" t="str">
        <f>IF(C62="","",'Plate organization+'!$B$43)</f>
        <v/>
      </c>
      <c r="E62" s="3" t="s">
        <v>120</v>
      </c>
    </row>
    <row r="63" spans="1:5" x14ac:dyDescent="0.25">
      <c r="A63" s="3" t="str">
        <f>IF(C63="","",VLOOKUP(C63,Source_Plate!$M$2:$N$9,2,FALSE))</f>
        <v/>
      </c>
      <c r="B63" s="3" t="str">
        <f>IF(C63="","",'Plan+'!F63)</f>
        <v/>
      </c>
      <c r="C63" s="32" t="str">
        <f>IF(OR('Plan+'!E63="",'Plate organization+'!$B$43="",'Plate organization+'!$B$43=0),"",'Plan+'!E63)</f>
        <v/>
      </c>
      <c r="D63" s="3" t="str">
        <f>IF(C63="","",'Plate organization+'!$B$43)</f>
        <v/>
      </c>
      <c r="E63" s="3" t="s">
        <v>120</v>
      </c>
    </row>
    <row r="64" spans="1:5" x14ac:dyDescent="0.25">
      <c r="A64" s="3" t="str">
        <f>IF(C64="","",VLOOKUP(C64,Source_Plate!$M$2:$N$9,2,FALSE))</f>
        <v/>
      </c>
      <c r="B64" s="3" t="str">
        <f>IF(C64="","",'Plan+'!F64)</f>
        <v/>
      </c>
      <c r="C64" s="32" t="str">
        <f>IF(OR('Plan+'!E64="",'Plate organization+'!$B$43="",'Plate organization+'!$B$43=0),"",'Plan+'!E64)</f>
        <v/>
      </c>
      <c r="D64" s="3" t="str">
        <f>IF(C64="","",'Plate organization+'!$B$43)</f>
        <v/>
      </c>
      <c r="E64" s="3" t="s">
        <v>120</v>
      </c>
    </row>
    <row r="65" spans="1:5" x14ac:dyDescent="0.25">
      <c r="A65" s="3" t="str">
        <f>IF(C65="","",VLOOKUP(C65,Source_Plate!$M$2:$N$9,2,FALSE))</f>
        <v/>
      </c>
      <c r="B65" s="3" t="str">
        <f>IF(C65="","",'Plan+'!F65)</f>
        <v/>
      </c>
      <c r="C65" s="32" t="str">
        <f>IF(OR('Plan+'!E65="",'Plate organization+'!$B$43="",'Plate organization+'!$B$43=0),"",'Plan+'!E65)</f>
        <v/>
      </c>
      <c r="D65" s="3" t="str">
        <f>IF(C65="","",'Plate organization+'!$B$43)</f>
        <v/>
      </c>
      <c r="E65" s="3" t="s">
        <v>120</v>
      </c>
    </row>
    <row r="66" spans="1:5" x14ac:dyDescent="0.25">
      <c r="A66" s="3" t="str">
        <f>IF(C66="","",VLOOKUP(C66,Source_Plate!$M$2:$N$9,2,FALSE))</f>
        <v/>
      </c>
      <c r="B66" s="3" t="str">
        <f>IF(C66="","",'Plan+'!F66)</f>
        <v/>
      </c>
      <c r="C66" s="32" t="str">
        <f>IF(OR('Plan+'!E66="",'Plate organization+'!$B$43="",'Plate organization+'!$B$43=0),"",'Plan+'!E66)</f>
        <v/>
      </c>
      <c r="D66" s="3" t="str">
        <f>IF(C66="","",'Plate organization+'!$B$43)</f>
        <v/>
      </c>
      <c r="E66" s="3" t="s">
        <v>120</v>
      </c>
    </row>
    <row r="67" spans="1:5" x14ac:dyDescent="0.25">
      <c r="A67" s="3" t="str">
        <f>IF(C67="","",VLOOKUP(C67,Source_Plate!$M$2:$N$9,2,FALSE))</f>
        <v/>
      </c>
      <c r="B67" s="3" t="str">
        <f>IF(C67="","",'Plan+'!F67)</f>
        <v/>
      </c>
      <c r="C67" s="32" t="str">
        <f>IF(OR('Plan+'!E67="",'Plate organization+'!$B$43="",'Plate organization+'!$B$43=0),"",'Plan+'!E67)</f>
        <v/>
      </c>
      <c r="D67" s="3" t="str">
        <f>IF(C67="","",'Plate organization+'!$B$43)</f>
        <v/>
      </c>
      <c r="E67" s="3" t="s">
        <v>120</v>
      </c>
    </row>
    <row r="68" spans="1:5" x14ac:dyDescent="0.25">
      <c r="A68" s="3" t="str">
        <f>IF(C68="","",VLOOKUP(C68,Source_Plate!$M$2:$N$9,2,FALSE))</f>
        <v/>
      </c>
      <c r="B68" s="3" t="str">
        <f>IF(C68="","",'Plan+'!F68)</f>
        <v/>
      </c>
      <c r="C68" s="32" t="str">
        <f>IF(OR('Plan+'!E68="",'Plate organization+'!$B$43="",'Plate organization+'!$B$43=0),"",'Plan+'!E68)</f>
        <v/>
      </c>
      <c r="D68" s="3" t="str">
        <f>IF(C68="","",'Plate organization+'!$B$43)</f>
        <v/>
      </c>
      <c r="E68" s="3" t="s">
        <v>120</v>
      </c>
    </row>
    <row r="69" spans="1:5" x14ac:dyDescent="0.25">
      <c r="A69" s="3" t="str">
        <f>IF(C69="","",VLOOKUP(C69,Source_Plate!$M$2:$N$9,2,FALSE))</f>
        <v/>
      </c>
      <c r="B69" s="3" t="str">
        <f>IF(C69="","",'Plan+'!F69)</f>
        <v/>
      </c>
      <c r="C69" s="32" t="str">
        <f>IF(OR('Plan+'!E69="",'Plate organization+'!$B$43="",'Plate organization+'!$B$43=0),"",'Plan+'!E69)</f>
        <v/>
      </c>
      <c r="D69" s="3" t="str">
        <f>IF(C69="","",'Plate organization+'!$B$43)</f>
        <v/>
      </c>
      <c r="E69" s="3" t="s">
        <v>120</v>
      </c>
    </row>
    <row r="70" spans="1:5" x14ac:dyDescent="0.25">
      <c r="A70" s="3" t="str">
        <f>IF(C70="","",VLOOKUP(C70,Source_Plate!$M$2:$N$9,2,FALSE))</f>
        <v/>
      </c>
      <c r="B70" s="3" t="str">
        <f>IF(C70="","",'Plan+'!F70)</f>
        <v/>
      </c>
      <c r="C70" s="32" t="str">
        <f>IF(OR('Plan+'!E70="",'Plate organization+'!$B$43="",'Plate organization+'!$B$43=0),"",'Plan+'!E70)</f>
        <v/>
      </c>
      <c r="D70" s="3" t="str">
        <f>IF(C70="","",'Plate organization+'!$B$43)</f>
        <v/>
      </c>
      <c r="E70" s="3" t="s">
        <v>120</v>
      </c>
    </row>
    <row r="71" spans="1:5" x14ac:dyDescent="0.25">
      <c r="A71" s="3" t="str">
        <f>IF(C71="","",VLOOKUP(C71,Source_Plate!$M$2:$N$9,2,FALSE))</f>
        <v/>
      </c>
      <c r="B71" s="3" t="str">
        <f>IF(C71="","",'Plan+'!F71)</f>
        <v/>
      </c>
      <c r="C71" s="32" t="str">
        <f>IF(OR('Plan+'!E71="",'Plate organization+'!$B$43="",'Plate organization+'!$B$43=0),"",'Plan+'!E71)</f>
        <v/>
      </c>
      <c r="D71" s="3" t="str">
        <f>IF(C71="","",'Plate organization+'!$B$43)</f>
        <v/>
      </c>
      <c r="E71" s="3" t="s">
        <v>120</v>
      </c>
    </row>
    <row r="72" spans="1:5" x14ac:dyDescent="0.25">
      <c r="A72" s="3" t="str">
        <f>IF(C72="","",VLOOKUP(C72,Source_Plate!$M$2:$N$9,2,FALSE))</f>
        <v/>
      </c>
      <c r="B72" s="3" t="str">
        <f>IF(C72="","",'Plan+'!F72)</f>
        <v/>
      </c>
      <c r="C72" s="32" t="str">
        <f>IF(OR('Plan+'!E72="",'Plate organization+'!$B$43="",'Plate organization+'!$B$43=0),"",'Plan+'!E72)</f>
        <v/>
      </c>
      <c r="D72" s="3" t="str">
        <f>IF(C72="","",'Plate organization+'!$B$43)</f>
        <v/>
      </c>
      <c r="E72" s="3" t="s">
        <v>120</v>
      </c>
    </row>
    <row r="73" spans="1:5" x14ac:dyDescent="0.25">
      <c r="A73" s="3" t="str">
        <f>IF(C73="","",VLOOKUP(C73,Source_Plate!$M$2:$N$9,2,FALSE))</f>
        <v/>
      </c>
      <c r="B73" s="3" t="str">
        <f>IF(C73="","",'Plan+'!F73)</f>
        <v/>
      </c>
      <c r="C73" s="32" t="str">
        <f>IF(OR('Plan+'!E73="",'Plate organization+'!$B$43="",'Plate organization+'!$B$43=0),"",'Plan+'!E73)</f>
        <v/>
      </c>
      <c r="D73" s="3" t="str">
        <f>IF(C73="","",'Plate organization+'!$B$43)</f>
        <v/>
      </c>
      <c r="E73" s="3" t="s">
        <v>120</v>
      </c>
    </row>
    <row r="74" spans="1:5" x14ac:dyDescent="0.25">
      <c r="A74" s="3" t="str">
        <f>IF(C74="","",VLOOKUP(C74,Source_Plate!$M$2:$N$9,2,FALSE))</f>
        <v/>
      </c>
      <c r="B74" s="3" t="str">
        <f>IF(C74="","",'Plan+'!F74)</f>
        <v/>
      </c>
      <c r="C74" s="32" t="str">
        <f>IF(OR('Plan+'!E74="",'Plate organization+'!$B$43="",'Plate organization+'!$B$43=0),"",'Plan+'!E74)</f>
        <v/>
      </c>
      <c r="D74" s="3" t="str">
        <f>IF(C74="","",'Plate organization+'!$B$43)</f>
        <v/>
      </c>
      <c r="E74" s="3" t="s">
        <v>120</v>
      </c>
    </row>
    <row r="75" spans="1:5" x14ac:dyDescent="0.25">
      <c r="A75" s="3" t="str">
        <f>IF(C75="","",VLOOKUP(C75,Source_Plate!$M$2:$N$9,2,FALSE))</f>
        <v/>
      </c>
      <c r="B75" s="3" t="str">
        <f>IF(C75="","",'Plan+'!F75)</f>
        <v/>
      </c>
      <c r="C75" s="32" t="str">
        <f>IF(OR('Plan+'!E75="",'Plate organization+'!$B$43="",'Plate organization+'!$B$43=0),"",'Plan+'!E75)</f>
        <v/>
      </c>
      <c r="D75" s="3" t="str">
        <f>IF(C75="","",'Plate organization+'!$B$43)</f>
        <v/>
      </c>
      <c r="E75" s="3" t="s">
        <v>120</v>
      </c>
    </row>
    <row r="76" spans="1:5" x14ac:dyDescent="0.25">
      <c r="A76" s="3" t="str">
        <f>IF(C76="","",VLOOKUP(C76,Source_Plate!$M$2:$N$9,2,FALSE))</f>
        <v/>
      </c>
      <c r="B76" s="3" t="str">
        <f>IF(C76="","",'Plan+'!F76)</f>
        <v/>
      </c>
      <c r="C76" s="32" t="str">
        <f>IF(OR('Plan+'!E76="",'Plate organization+'!$B$43="",'Plate organization+'!$B$43=0),"",'Plan+'!E76)</f>
        <v/>
      </c>
      <c r="D76" s="3" t="str">
        <f>IF(C76="","",'Plate organization+'!$B$43)</f>
        <v/>
      </c>
      <c r="E76" s="3" t="s">
        <v>120</v>
      </c>
    </row>
    <row r="77" spans="1:5" x14ac:dyDescent="0.25">
      <c r="A77" s="3" t="str">
        <f>IF(C77="","",VLOOKUP(C77,Source_Plate!$M$2:$N$9,2,FALSE))</f>
        <v/>
      </c>
      <c r="B77" s="3" t="str">
        <f>IF(C77="","",'Plan+'!F77)</f>
        <v/>
      </c>
      <c r="C77" s="32" t="str">
        <f>IF(OR('Plan+'!E77="",'Plate organization+'!$B$43="",'Plate organization+'!$B$43=0),"",'Plan+'!E77)</f>
        <v/>
      </c>
      <c r="D77" s="3" t="str">
        <f>IF(C77="","",'Plate organization+'!$B$43)</f>
        <v/>
      </c>
      <c r="E77" s="3" t="s">
        <v>120</v>
      </c>
    </row>
    <row r="78" spans="1:5" x14ac:dyDescent="0.25">
      <c r="A78" s="3" t="str">
        <f>IF(C78="","",VLOOKUP(C78,Source_Plate!$M$2:$N$9,2,FALSE))</f>
        <v/>
      </c>
      <c r="B78" s="3" t="str">
        <f>IF(C78="","",'Plan+'!F78)</f>
        <v/>
      </c>
      <c r="C78" s="32" t="str">
        <f>IF(OR('Plan+'!E78="",'Plate organization+'!$B$43="",'Plate organization+'!$B$43=0),"",'Plan+'!E78)</f>
        <v/>
      </c>
      <c r="D78" s="3" t="str">
        <f>IF(C78="","",'Plate organization+'!$B$43)</f>
        <v/>
      </c>
      <c r="E78" s="3" t="s">
        <v>120</v>
      </c>
    </row>
    <row r="79" spans="1:5" x14ac:dyDescent="0.25">
      <c r="A79" s="3" t="str">
        <f>IF(C79="","",VLOOKUP(C79,Source_Plate!$M$2:$N$9,2,FALSE))</f>
        <v/>
      </c>
      <c r="B79" s="3" t="str">
        <f>IF(C79="","",'Plan+'!F79)</f>
        <v/>
      </c>
      <c r="C79" s="32" t="str">
        <f>IF(OR('Plan+'!E79="",'Plate organization+'!$B$43="",'Plate organization+'!$B$43=0),"",'Plan+'!E79)</f>
        <v/>
      </c>
      <c r="D79" s="3" t="str">
        <f>IF(C79="","",'Plate organization+'!$B$43)</f>
        <v/>
      </c>
      <c r="E79" s="3" t="s">
        <v>120</v>
      </c>
    </row>
    <row r="80" spans="1:5" x14ac:dyDescent="0.25">
      <c r="A80" s="3" t="str">
        <f>IF(C80="","",VLOOKUP(C80,Source_Plate!$M$2:$N$9,2,FALSE))</f>
        <v/>
      </c>
      <c r="B80" s="3" t="str">
        <f>IF(C80="","",'Plan+'!F80)</f>
        <v/>
      </c>
      <c r="C80" s="32" t="str">
        <f>IF(OR('Plan+'!E80="",'Plate organization+'!$B$43="",'Plate organization+'!$B$43=0),"",'Plan+'!E80)</f>
        <v/>
      </c>
      <c r="D80" s="3" t="str">
        <f>IF(C80="","",'Plate organization+'!$B$43)</f>
        <v/>
      </c>
      <c r="E80" s="3" t="s">
        <v>120</v>
      </c>
    </row>
    <row r="81" spans="1:5" x14ac:dyDescent="0.25">
      <c r="A81" s="3" t="str">
        <f>IF(C81="","",VLOOKUP(C81,Source_Plate!$M$2:$N$9,2,FALSE))</f>
        <v/>
      </c>
      <c r="B81" s="3" t="str">
        <f>IF(C81="","",'Plan+'!F81)</f>
        <v/>
      </c>
      <c r="C81" s="32" t="str">
        <f>IF(OR('Plan+'!E81="",'Plate organization+'!$B$43="",'Plate organization+'!$B$43=0),"",'Plan+'!E81)</f>
        <v/>
      </c>
      <c r="D81" s="3" t="str">
        <f>IF(C81="","",'Plate organization+'!$B$43)</f>
        <v/>
      </c>
      <c r="E81" s="3" t="s">
        <v>120</v>
      </c>
    </row>
    <row r="82" spans="1:5" x14ac:dyDescent="0.25">
      <c r="A82" s="3" t="str">
        <f>IF(C82="","",VLOOKUP(C82,Source_Plate!$M$2:$N$9,2,FALSE))</f>
        <v/>
      </c>
      <c r="B82" s="3" t="str">
        <f>IF(C82="","",'Plan+'!F82)</f>
        <v/>
      </c>
      <c r="C82" s="32" t="str">
        <f>IF(OR('Plan+'!E82="",'Plate organization+'!$B$43="",'Plate organization+'!$B$43=0),"",'Plan+'!E82)</f>
        <v/>
      </c>
      <c r="D82" s="3" t="str">
        <f>IF(C82="","",'Plate organization+'!$B$43)</f>
        <v/>
      </c>
      <c r="E82" s="3" t="s">
        <v>120</v>
      </c>
    </row>
    <row r="83" spans="1:5" x14ac:dyDescent="0.25">
      <c r="A83" s="3" t="str">
        <f>IF(C83="","",VLOOKUP(C83,Source_Plate!$M$2:$N$9,2,FALSE))</f>
        <v/>
      </c>
      <c r="B83" s="3" t="str">
        <f>IF(C83="","",'Plan+'!F83)</f>
        <v/>
      </c>
      <c r="C83" s="32" t="str">
        <f>IF(OR('Plan+'!E83="",'Plate organization+'!$B$43="",'Plate organization+'!$B$43=0),"",'Plan+'!E83)</f>
        <v/>
      </c>
      <c r="D83" s="3" t="str">
        <f>IF(C83="","",'Plate organization+'!$B$43)</f>
        <v/>
      </c>
      <c r="E83" s="3" t="s">
        <v>120</v>
      </c>
    </row>
    <row r="84" spans="1:5" x14ac:dyDescent="0.25">
      <c r="A84" s="3" t="str">
        <f>IF(C84="","",VLOOKUP(C84,Source_Plate!$M$2:$N$9,2,FALSE))</f>
        <v/>
      </c>
      <c r="B84" s="3" t="str">
        <f>IF(C84="","",'Plan+'!F84)</f>
        <v/>
      </c>
      <c r="C84" s="32" t="str">
        <f>IF(OR('Plan+'!E84="",'Plate organization+'!$B$43="",'Plate organization+'!$B$43=0),"",'Plan+'!E84)</f>
        <v/>
      </c>
      <c r="D84" s="3" t="str">
        <f>IF(C84="","",'Plate organization+'!$B$43)</f>
        <v/>
      </c>
      <c r="E84" s="3" t="s">
        <v>120</v>
      </c>
    </row>
    <row r="85" spans="1:5" x14ac:dyDescent="0.25">
      <c r="A85" s="3" t="str">
        <f>IF(C85="","",VLOOKUP(C85,Source_Plate!$M$2:$N$9,2,FALSE))</f>
        <v/>
      </c>
      <c r="B85" s="3" t="str">
        <f>IF(C85="","",'Plan+'!F85)</f>
        <v/>
      </c>
      <c r="C85" s="32" t="str">
        <f>IF(OR('Plan+'!E85="",'Plate organization+'!$B$43="",'Plate organization+'!$B$43=0),"",'Plan+'!E85)</f>
        <v/>
      </c>
      <c r="D85" s="3" t="str">
        <f>IF(C85="","",'Plate organization+'!$B$43)</f>
        <v/>
      </c>
      <c r="E85" s="3" t="s">
        <v>120</v>
      </c>
    </row>
    <row r="86" spans="1:5" x14ac:dyDescent="0.25">
      <c r="A86" s="3" t="str">
        <f>IF(C86="","",VLOOKUP(C86,Source_Plate!$M$2:$N$9,2,FALSE))</f>
        <v/>
      </c>
      <c r="B86" s="3" t="str">
        <f>IF(C86="","",'Plan+'!F86)</f>
        <v/>
      </c>
      <c r="C86" s="32" t="str">
        <f>IF(OR('Plan+'!E86="",'Plate organization+'!$B$43="",'Plate organization+'!$B$43=0),"",'Plan+'!E86)</f>
        <v/>
      </c>
      <c r="D86" s="3" t="str">
        <f>IF(C86="","",'Plate organization+'!$B$43)</f>
        <v/>
      </c>
      <c r="E86" s="3" t="s">
        <v>120</v>
      </c>
    </row>
    <row r="87" spans="1:5" x14ac:dyDescent="0.25">
      <c r="A87" s="3" t="str">
        <f>IF(C87="","",VLOOKUP(C87,Source_Plate!$M$2:$N$9,2,FALSE))</f>
        <v/>
      </c>
      <c r="B87" s="3" t="str">
        <f>IF(C87="","",'Plan+'!F87)</f>
        <v/>
      </c>
      <c r="C87" s="32" t="str">
        <f>IF(OR('Plan+'!E87="",'Plate organization+'!$B$43="",'Plate organization+'!$B$43=0),"",'Plan+'!E87)</f>
        <v/>
      </c>
      <c r="D87" s="3" t="str">
        <f>IF(C87="","",'Plate organization+'!$B$43)</f>
        <v/>
      </c>
      <c r="E87" s="3" t="s">
        <v>120</v>
      </c>
    </row>
    <row r="88" spans="1:5" x14ac:dyDescent="0.25">
      <c r="A88" s="3" t="str">
        <f>IF(C88="","",VLOOKUP(C88,Source_Plate!$M$2:$N$9,2,FALSE))</f>
        <v/>
      </c>
      <c r="B88" s="3" t="str">
        <f>IF(C88="","",'Plan+'!F88)</f>
        <v/>
      </c>
      <c r="C88" s="32" t="str">
        <f>IF(OR('Plan+'!E88="",'Plate organization+'!$B$43="",'Plate organization+'!$B$43=0),"",'Plan+'!E88)</f>
        <v/>
      </c>
      <c r="D88" s="3" t="str">
        <f>IF(C88="","",'Plate organization+'!$B$43)</f>
        <v/>
      </c>
      <c r="E88" s="3" t="s">
        <v>120</v>
      </c>
    </row>
    <row r="89" spans="1:5" x14ac:dyDescent="0.25">
      <c r="A89" s="3" t="str">
        <f>IF(C89="","",VLOOKUP(C89,Source_Plate!$M$2:$N$9,2,FALSE))</f>
        <v/>
      </c>
      <c r="B89" s="3" t="str">
        <f>IF(C89="","",'Plan+'!F89)</f>
        <v/>
      </c>
      <c r="C89" s="32" t="str">
        <f>IF(OR('Plan+'!E89="",'Plate organization+'!$B$43="",'Plate organization+'!$B$43=0),"",'Plan+'!E89)</f>
        <v/>
      </c>
      <c r="D89" s="3" t="str">
        <f>IF(C89="","",'Plate organization+'!$B$43)</f>
        <v/>
      </c>
      <c r="E89" s="3" t="s">
        <v>120</v>
      </c>
    </row>
    <row r="90" spans="1:5" x14ac:dyDescent="0.25">
      <c r="A90" s="3" t="str">
        <f>IF(C90="","",VLOOKUP(C90,Source_Plate!$M$2:$N$9,2,FALSE))</f>
        <v/>
      </c>
      <c r="B90" s="3" t="str">
        <f>IF(C90="","",'Plan+'!F90)</f>
        <v/>
      </c>
      <c r="C90" s="32" t="str">
        <f>IF(OR('Plan+'!E90="",'Plate organization+'!$B$43="",'Plate organization+'!$B$43=0),"",'Plan+'!E90)</f>
        <v/>
      </c>
      <c r="D90" s="3" t="str">
        <f>IF(C90="","",'Plate organization+'!$B$43)</f>
        <v/>
      </c>
      <c r="E90" s="3" t="s">
        <v>120</v>
      </c>
    </row>
    <row r="91" spans="1:5" x14ac:dyDescent="0.25">
      <c r="A91" s="3" t="str">
        <f>IF(C91="","",VLOOKUP(C91,Source_Plate!$M$2:$N$9,2,FALSE))</f>
        <v/>
      </c>
      <c r="B91" s="3" t="str">
        <f>IF(C91="","",'Plan+'!F91)</f>
        <v/>
      </c>
      <c r="C91" s="32" t="str">
        <f>IF(OR('Plan+'!E91="",'Plate organization+'!$B$43="",'Plate organization+'!$B$43=0),"",'Plan+'!E91)</f>
        <v/>
      </c>
      <c r="D91" s="3" t="str">
        <f>IF(C91="","",'Plate organization+'!$B$43)</f>
        <v/>
      </c>
      <c r="E91" s="3" t="s">
        <v>120</v>
      </c>
    </row>
    <row r="92" spans="1:5" x14ac:dyDescent="0.25">
      <c r="A92" s="3" t="str">
        <f>IF(C92="","",VLOOKUP(C92,Source_Plate!$M$2:$N$9,2,FALSE))</f>
        <v/>
      </c>
      <c r="B92" s="3" t="str">
        <f>IF(C92="","",'Plan+'!F92)</f>
        <v/>
      </c>
      <c r="C92" s="32" t="str">
        <f>IF(OR('Plan+'!E92="",'Plate organization+'!$B$43="",'Plate organization+'!$B$43=0),"",'Plan+'!E92)</f>
        <v/>
      </c>
      <c r="D92" s="3" t="str">
        <f>IF(C92="","",'Plate organization+'!$B$43)</f>
        <v/>
      </c>
      <c r="E92" s="3" t="s">
        <v>120</v>
      </c>
    </row>
    <row r="93" spans="1:5" x14ac:dyDescent="0.25">
      <c r="A93" s="3" t="str">
        <f>IF(C93="","",VLOOKUP(C93,Source_Plate!$M$2:$N$9,2,FALSE))</f>
        <v/>
      </c>
      <c r="B93" s="3" t="str">
        <f>IF(C93="","",'Plan+'!F93)</f>
        <v/>
      </c>
      <c r="C93" s="32" t="str">
        <f>IF(OR('Plan+'!E93="",'Plate organization+'!$B$43="",'Plate organization+'!$B$43=0),"",'Plan+'!E93)</f>
        <v/>
      </c>
      <c r="D93" s="3" t="str">
        <f>IF(C93="","",'Plate organization+'!$B$43)</f>
        <v/>
      </c>
      <c r="E93" s="3" t="s">
        <v>120</v>
      </c>
    </row>
    <row r="94" spans="1:5" x14ac:dyDescent="0.25">
      <c r="A94" s="3" t="str">
        <f>IF(C94="","",VLOOKUP(C94,Source_Plate!$M$2:$N$9,2,FALSE))</f>
        <v/>
      </c>
      <c r="B94" s="3" t="str">
        <f>IF(C94="","",'Plan+'!F94)</f>
        <v/>
      </c>
      <c r="C94" s="32" t="str">
        <f>IF(OR('Plan+'!E94="",'Plate organization+'!$B$43="",'Plate organization+'!$B$43=0),"",'Plan+'!E94)</f>
        <v/>
      </c>
      <c r="D94" s="3" t="str">
        <f>IF(C94="","",'Plate organization+'!$B$43)</f>
        <v/>
      </c>
      <c r="E94" s="3" t="s">
        <v>120</v>
      </c>
    </row>
    <row r="95" spans="1:5" x14ac:dyDescent="0.25">
      <c r="A95" s="3" t="str">
        <f>IF(C95="","",VLOOKUP(C95,Source_Plate!$M$2:$N$9,2,FALSE))</f>
        <v/>
      </c>
      <c r="B95" s="3" t="str">
        <f>IF(C95="","",'Plan+'!F95)</f>
        <v/>
      </c>
      <c r="C95" s="32" t="str">
        <f>IF(OR('Plan+'!E95="",'Plate organization+'!$B$43="",'Plate organization+'!$B$43=0),"",'Plan+'!E95)</f>
        <v/>
      </c>
      <c r="D95" s="3" t="str">
        <f>IF(C95="","",'Plate organization+'!$B$43)</f>
        <v/>
      </c>
      <c r="E95" s="3" t="s">
        <v>120</v>
      </c>
    </row>
    <row r="96" spans="1:5" x14ac:dyDescent="0.25">
      <c r="A96" s="3" t="str">
        <f>IF(C96="","",VLOOKUP(C96,Source_Plate!$M$2:$N$9,2,FALSE))</f>
        <v/>
      </c>
      <c r="B96" s="3" t="str">
        <f>IF(C96="","",'Plan+'!F96)</f>
        <v/>
      </c>
      <c r="C96" s="32" t="str">
        <f>IF(OR('Plan+'!E96="",'Plate organization+'!$B$43="",'Plate organization+'!$B$43=0),"",'Plan+'!E96)</f>
        <v/>
      </c>
      <c r="D96" s="3" t="str">
        <f>IF(C96="","",'Plate organization+'!$B$43)</f>
        <v/>
      </c>
      <c r="E96" s="3" t="s">
        <v>120</v>
      </c>
    </row>
    <row r="97" spans="1:5" x14ac:dyDescent="0.25">
      <c r="A97" s="3" t="str">
        <f>IF(C97="","",VLOOKUP(C97,Source_Plate!$M$2:$N$9,2,FALSE))</f>
        <v/>
      </c>
      <c r="B97" s="3" t="str">
        <f>IF(C97="","",'Plan+'!F97)</f>
        <v/>
      </c>
      <c r="C97" s="32" t="str">
        <f>IF(OR('Plan+'!E97="",'Plate organization+'!$B$43="",'Plate organization+'!$B$43=0),"",'Plan+'!E97)</f>
        <v/>
      </c>
      <c r="D97" s="3" t="str">
        <f>IF(C97="","",'Plate organization+'!$B$43)</f>
        <v/>
      </c>
      <c r="E97" s="3" t="s">
        <v>120</v>
      </c>
    </row>
    <row r="98" spans="1:5" x14ac:dyDescent="0.25">
      <c r="A98" s="3"/>
      <c r="B98" s="7">
        <f>COUNTA(B2:B97)</f>
        <v>96</v>
      </c>
      <c r="C98" s="3"/>
      <c r="D98"/>
    </row>
    <row r="99" spans="1:5" x14ac:dyDescent="0.25">
      <c r="B99"/>
      <c r="C99" s="3"/>
      <c r="D99"/>
    </row>
    <row r="100" spans="1:5" x14ac:dyDescent="0.25">
      <c r="B100"/>
      <c r="C100" s="3"/>
      <c r="D100"/>
    </row>
    <row r="101" spans="1:5" x14ac:dyDescent="0.25">
      <c r="B101"/>
      <c r="C101" s="3"/>
      <c r="D10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selection activeCell="C1" sqref="C1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0" bestFit="1" customWidth="1"/>
    <col min="4" max="4" width="11.42578125" style="3"/>
    <col min="5" max="5" width="19" bestFit="1" customWidth="1"/>
    <col min="6" max="6" width="17.5703125" style="3" customWidth="1"/>
  </cols>
  <sheetData>
    <row r="1" spans="1:6" x14ac:dyDescent="0.25">
      <c r="A1" s="4" t="s">
        <v>66</v>
      </c>
      <c r="B1" s="4" t="s">
        <v>68</v>
      </c>
      <c r="C1" s="4" t="s">
        <v>135</v>
      </c>
      <c r="D1" s="4" t="s">
        <v>67</v>
      </c>
      <c r="E1" s="4" t="s">
        <v>109</v>
      </c>
      <c r="F1" s="4" t="s">
        <v>132</v>
      </c>
    </row>
    <row r="2" spans="1:6" x14ac:dyDescent="0.25">
      <c r="A2" s="3" t="str">
        <f>IF(C2="","",VLOOKUP(C2,Source_Plate!$I$2:$J$97,2,FALSE))</f>
        <v>A01</v>
      </c>
      <c r="B2" s="3" t="str">
        <f>IF(C2="","",'Plan+'!F2)</f>
        <v>A01</v>
      </c>
      <c r="C2" s="32" t="str">
        <f>IF('Plan+'!C2="","",'Plan+'!C2)</f>
        <v>Template 1</v>
      </c>
      <c r="D2" s="3">
        <f>IF(C2="","",'Plate organization+'!$B$42)</f>
        <v>5</v>
      </c>
      <c r="E2" t="str">
        <f>'Plan+'!G2</f>
        <v>Destination_Plate_1</v>
      </c>
      <c r="F2" s="3" t="str">
        <f>'Plate organization+'!$A$13</f>
        <v>mtp_source</v>
      </c>
    </row>
    <row r="3" spans="1:6" x14ac:dyDescent="0.25">
      <c r="A3" s="3" t="str">
        <f>IF(C3="","",VLOOKUP(C3,Source_Plate!$I$2:$J$97,2,FALSE))</f>
        <v>B01</v>
      </c>
      <c r="B3" s="3" t="str">
        <f>IF(C3="","",'Plan+'!F3)</f>
        <v>B01</v>
      </c>
      <c r="C3" s="32" t="str">
        <f>IF('Plan+'!C3="","",'Plan+'!C3)</f>
        <v>Template 2</v>
      </c>
      <c r="D3" s="3">
        <f>IF(C3="","",'Plate organization+'!$B$42)</f>
        <v>5</v>
      </c>
      <c r="E3" t="str">
        <f>'Plan+'!G3</f>
        <v>Destination_Plate_1</v>
      </c>
      <c r="F3" s="3" t="str">
        <f>'Plate organization+'!$A$13</f>
        <v>mtp_source</v>
      </c>
    </row>
    <row r="4" spans="1:6" x14ac:dyDescent="0.25">
      <c r="A4" s="3" t="str">
        <f>IF(C4="","",VLOOKUP(C4,Source_Plate!$I$2:$J$97,2,FALSE))</f>
        <v/>
      </c>
      <c r="B4" s="3" t="str">
        <f>IF(C4="","",'Plan+'!F4)</f>
        <v/>
      </c>
      <c r="C4" s="32" t="str">
        <f>IF('Plan+'!C4="","",'Plan+'!C4)</f>
        <v/>
      </c>
      <c r="D4" s="3" t="str">
        <f>IF(C4="","",'Plate organization+'!$B$42)</f>
        <v/>
      </c>
      <c r="E4" t="str">
        <f>'Plan+'!G4</f>
        <v>Destination_Plate_1</v>
      </c>
      <c r="F4" s="3" t="str">
        <f>'Plate organization+'!$A$13</f>
        <v>mtp_source</v>
      </c>
    </row>
    <row r="5" spans="1:6" x14ac:dyDescent="0.25">
      <c r="A5" s="3" t="str">
        <f>IF(C5="","",VLOOKUP(C5,Source_Plate!$I$2:$J$97,2,FALSE))</f>
        <v/>
      </c>
      <c r="B5" s="3" t="str">
        <f>IF(C5="","",'Plan+'!F5)</f>
        <v/>
      </c>
      <c r="C5" s="32" t="str">
        <f>IF('Plan+'!C5="","",'Plan+'!C5)</f>
        <v/>
      </c>
      <c r="D5" s="3" t="str">
        <f>IF(C5="","",'Plate organization+'!$B$42)</f>
        <v/>
      </c>
      <c r="E5" t="str">
        <f>'Plan+'!G5</f>
        <v>Destination_Plate_1</v>
      </c>
      <c r="F5" s="3" t="str">
        <f>'Plate organization+'!$A$13</f>
        <v>mtp_source</v>
      </c>
    </row>
    <row r="6" spans="1:6" x14ac:dyDescent="0.25">
      <c r="A6" s="3" t="str">
        <f>IF(C6="","",VLOOKUP(C6,Source_Plate!$I$2:$J$97,2,FALSE))</f>
        <v/>
      </c>
      <c r="B6" s="3" t="str">
        <f>IF(C6="","",'Plan+'!F6)</f>
        <v/>
      </c>
      <c r="C6" s="32" t="str">
        <f>IF('Plan+'!C6="","",'Plan+'!C6)</f>
        <v/>
      </c>
      <c r="D6" s="3" t="str">
        <f>IF(C6="","",'Plate organization+'!$B$42)</f>
        <v/>
      </c>
      <c r="E6" t="str">
        <f>'Plan+'!G6</f>
        <v>Destination_Plate_1</v>
      </c>
      <c r="F6" s="3" t="str">
        <f>'Plate organization+'!$A$13</f>
        <v>mtp_source</v>
      </c>
    </row>
    <row r="7" spans="1:6" x14ac:dyDescent="0.25">
      <c r="A7" s="3" t="str">
        <f>IF(C7="","",VLOOKUP(C7,Source_Plate!$I$2:$J$97,2,FALSE))</f>
        <v/>
      </c>
      <c r="B7" s="3" t="str">
        <f>IF(C7="","",'Plan+'!F7)</f>
        <v/>
      </c>
      <c r="C7" s="32" t="str">
        <f>IF('Plan+'!C7="","",'Plan+'!C7)</f>
        <v/>
      </c>
      <c r="D7" s="3" t="str">
        <f>IF(C7="","",'Plate organization+'!$B$42)</f>
        <v/>
      </c>
      <c r="E7" t="str">
        <f>'Plan+'!G7</f>
        <v>Destination_Plate_1</v>
      </c>
      <c r="F7" s="3" t="str">
        <f>'Plate organization+'!$A$13</f>
        <v>mtp_source</v>
      </c>
    </row>
    <row r="8" spans="1:6" x14ac:dyDescent="0.25">
      <c r="A8" s="3" t="str">
        <f>IF(C8="","",VLOOKUP(C8,Source_Plate!$I$2:$J$97,2,FALSE))</f>
        <v/>
      </c>
      <c r="B8" s="3" t="str">
        <f>IF(C8="","",'Plan+'!F8)</f>
        <v/>
      </c>
      <c r="C8" s="32" t="str">
        <f>IF('Plan+'!C8="","",'Plan+'!C8)</f>
        <v/>
      </c>
      <c r="D8" s="3" t="str">
        <f>IF(C8="","",'Plate organization+'!$B$42)</f>
        <v/>
      </c>
      <c r="E8" t="str">
        <f>'Plan+'!G8</f>
        <v>Destination_Plate_1</v>
      </c>
      <c r="F8" s="3" t="str">
        <f>'Plate organization+'!$A$13</f>
        <v>mtp_source</v>
      </c>
    </row>
    <row r="9" spans="1:6" x14ac:dyDescent="0.25">
      <c r="A9" s="3" t="str">
        <f>IF(C9="","",VLOOKUP(C9,Source_Plate!$I$2:$J$97,2,FALSE))</f>
        <v/>
      </c>
      <c r="B9" s="3" t="str">
        <f>IF(C9="","",'Plan+'!F9)</f>
        <v/>
      </c>
      <c r="C9" s="32" t="str">
        <f>IF('Plan+'!C9="","",'Plan+'!C9)</f>
        <v/>
      </c>
      <c r="D9" s="3" t="str">
        <f>IF(C9="","",'Plate organization+'!$B$42)</f>
        <v/>
      </c>
      <c r="E9" t="str">
        <f>'Plan+'!G9</f>
        <v>Destination_Plate_1</v>
      </c>
      <c r="F9" s="3" t="str">
        <f>'Plate organization+'!$A$13</f>
        <v>mtp_source</v>
      </c>
    </row>
    <row r="10" spans="1:6" x14ac:dyDescent="0.25">
      <c r="A10" s="3" t="str">
        <f>IF(C10="","",VLOOKUP(C10,Source_Plate!$I$2:$J$97,2,FALSE))</f>
        <v/>
      </c>
      <c r="B10" s="3" t="str">
        <f>IF(C10="","",'Plan+'!F10)</f>
        <v/>
      </c>
      <c r="C10" s="32" t="str">
        <f>IF('Plan+'!C10="","",'Plan+'!C10)</f>
        <v/>
      </c>
      <c r="D10" s="3" t="str">
        <f>IF(C10="","",'Plate organization+'!$B$42)</f>
        <v/>
      </c>
      <c r="E10" t="str">
        <f>'Plan+'!G10</f>
        <v>Destination_Plate_1</v>
      </c>
      <c r="F10" s="3" t="str">
        <f>'Plate organization+'!$A$13</f>
        <v>mtp_source</v>
      </c>
    </row>
    <row r="11" spans="1:6" x14ac:dyDescent="0.25">
      <c r="A11" s="3" t="str">
        <f>IF(C11="","",VLOOKUP(C11,Source_Plate!$I$2:$J$97,2,FALSE))</f>
        <v/>
      </c>
      <c r="B11" s="3" t="str">
        <f>IF(C11="","",'Plan+'!F11)</f>
        <v/>
      </c>
      <c r="C11" s="32" t="str">
        <f>IF('Plan+'!C11="","",'Plan+'!C11)</f>
        <v/>
      </c>
      <c r="D11" s="3" t="str">
        <f>IF(C11="","",'Plate organization+'!$B$42)</f>
        <v/>
      </c>
      <c r="E11" t="str">
        <f>'Plan+'!G11</f>
        <v>Destination_Plate_1</v>
      </c>
      <c r="F11" s="3" t="str">
        <f>'Plate organization+'!$A$13</f>
        <v>mtp_source</v>
      </c>
    </row>
    <row r="12" spans="1:6" x14ac:dyDescent="0.25">
      <c r="A12" s="3" t="str">
        <f>IF(C12="","",VLOOKUP(C12,Source_Plate!$I$2:$J$97,2,FALSE))</f>
        <v/>
      </c>
      <c r="B12" s="3" t="str">
        <f>IF(C12="","",'Plan+'!F12)</f>
        <v/>
      </c>
      <c r="C12" s="32" t="str">
        <f>IF('Plan+'!C12="","",'Plan+'!C12)</f>
        <v/>
      </c>
      <c r="D12" s="3" t="str">
        <f>IF(C12="","",'Plate organization+'!$B$42)</f>
        <v/>
      </c>
      <c r="E12" t="str">
        <f>'Plan+'!G12</f>
        <v>Destination_Plate_1</v>
      </c>
      <c r="F12" s="3" t="str">
        <f>'Plate organization+'!$A$13</f>
        <v>mtp_source</v>
      </c>
    </row>
    <row r="13" spans="1:6" x14ac:dyDescent="0.25">
      <c r="A13" s="3" t="str">
        <f>IF(C13="","",VLOOKUP(C13,Source_Plate!$I$2:$J$97,2,FALSE))</f>
        <v/>
      </c>
      <c r="B13" s="3" t="str">
        <f>IF(C13="","",'Plan+'!F13)</f>
        <v/>
      </c>
      <c r="C13" s="32" t="str">
        <f>IF('Plan+'!C13="","",'Plan+'!C13)</f>
        <v/>
      </c>
      <c r="D13" s="3" t="str">
        <f>IF(C13="","",'Plate organization+'!$B$42)</f>
        <v/>
      </c>
      <c r="E13" t="str">
        <f>'Plan+'!G13</f>
        <v>Destination_Plate_1</v>
      </c>
      <c r="F13" s="3" t="str">
        <f>'Plate organization+'!$A$13</f>
        <v>mtp_source</v>
      </c>
    </row>
    <row r="14" spans="1:6" x14ac:dyDescent="0.25">
      <c r="A14" s="3" t="str">
        <f>IF(C14="","",VLOOKUP(C14,Source_Plate!$I$2:$J$97,2,FALSE))</f>
        <v/>
      </c>
      <c r="B14" s="3" t="str">
        <f>IF(C14="","",'Plan+'!F14)</f>
        <v/>
      </c>
      <c r="C14" s="32" t="str">
        <f>IF('Plan+'!C14="","",'Plan+'!C14)</f>
        <v/>
      </c>
      <c r="D14" s="3" t="str">
        <f>IF(C14="","",'Plate organization+'!$B$42)</f>
        <v/>
      </c>
      <c r="E14" t="str">
        <f>'Plan+'!G14</f>
        <v>Destination_Plate_1</v>
      </c>
      <c r="F14" s="3" t="str">
        <f>'Plate organization+'!$A$13</f>
        <v>mtp_source</v>
      </c>
    </row>
    <row r="15" spans="1:6" x14ac:dyDescent="0.25">
      <c r="A15" s="3" t="str">
        <f>IF(C15="","",VLOOKUP(C15,Source_Plate!$I$2:$J$97,2,FALSE))</f>
        <v/>
      </c>
      <c r="B15" s="3" t="str">
        <f>IF(C15="","",'Plan+'!F15)</f>
        <v/>
      </c>
      <c r="C15" s="32" t="str">
        <f>IF('Plan+'!C15="","",'Plan+'!C15)</f>
        <v/>
      </c>
      <c r="D15" s="3" t="str">
        <f>IF(C15="","",'Plate organization+'!$B$42)</f>
        <v/>
      </c>
      <c r="E15" t="str">
        <f>'Plan+'!G15</f>
        <v>Destination_Plate_1</v>
      </c>
      <c r="F15" s="3" t="str">
        <f>'Plate organization+'!$A$13</f>
        <v>mtp_source</v>
      </c>
    </row>
    <row r="16" spans="1:6" x14ac:dyDescent="0.25">
      <c r="A16" s="3" t="str">
        <f>IF(C16="","",VLOOKUP(C16,Source_Plate!$I$2:$J$97,2,FALSE))</f>
        <v/>
      </c>
      <c r="B16" s="3" t="str">
        <f>IF(C16="","",'Plan+'!F16)</f>
        <v/>
      </c>
      <c r="C16" s="32" t="str">
        <f>IF('Plan+'!C16="","",'Plan+'!C16)</f>
        <v/>
      </c>
      <c r="D16" s="3" t="str">
        <f>IF(C16="","",'Plate organization+'!$B$42)</f>
        <v/>
      </c>
      <c r="E16" t="str">
        <f>'Plan+'!G16</f>
        <v>Destination_Plate_1</v>
      </c>
      <c r="F16" s="3" t="str">
        <f>'Plate organization+'!$A$13</f>
        <v>mtp_source</v>
      </c>
    </row>
    <row r="17" spans="1:6" x14ac:dyDescent="0.25">
      <c r="A17" s="3" t="str">
        <f>IF(C17="","",VLOOKUP(C17,Source_Plate!$I$2:$J$97,2,FALSE))</f>
        <v/>
      </c>
      <c r="B17" s="3" t="str">
        <f>IF(C17="","",'Plan+'!F17)</f>
        <v/>
      </c>
      <c r="C17" s="32" t="str">
        <f>IF('Plan+'!C17="","",'Plan+'!C17)</f>
        <v/>
      </c>
      <c r="D17" s="3" t="str">
        <f>IF(C17="","",'Plate organization+'!$B$42)</f>
        <v/>
      </c>
      <c r="E17" t="str">
        <f>'Plan+'!G17</f>
        <v>Destination_Plate_1</v>
      </c>
      <c r="F17" s="3" t="str">
        <f>'Plate organization+'!$A$13</f>
        <v>mtp_source</v>
      </c>
    </row>
    <row r="18" spans="1:6" x14ac:dyDescent="0.25">
      <c r="A18" s="3" t="str">
        <f>IF(C18="","",VLOOKUP(C18,Source_Plate!$I$2:$J$97,2,FALSE))</f>
        <v/>
      </c>
      <c r="B18" s="3" t="str">
        <f>IF(C18="","",'Plan+'!F18)</f>
        <v/>
      </c>
      <c r="C18" s="32" t="str">
        <f>IF('Plan+'!C18="","",'Plan+'!C18)</f>
        <v/>
      </c>
      <c r="D18" s="3" t="str">
        <f>IF(C18="","",'Plate organization+'!$B$42)</f>
        <v/>
      </c>
      <c r="E18" t="str">
        <f>'Plan+'!G18</f>
        <v>Destination_Plate_1</v>
      </c>
      <c r="F18" s="3" t="str">
        <f>'Plate organization+'!$A$13</f>
        <v>mtp_source</v>
      </c>
    </row>
    <row r="19" spans="1:6" x14ac:dyDescent="0.25">
      <c r="A19" s="3" t="str">
        <f>IF(C19="","",VLOOKUP(C19,Source_Plate!$I$2:$J$97,2,FALSE))</f>
        <v/>
      </c>
      <c r="B19" s="3" t="str">
        <f>IF(C19="","",'Plan+'!F19)</f>
        <v/>
      </c>
      <c r="C19" s="32" t="str">
        <f>IF('Plan+'!C19="","",'Plan+'!C19)</f>
        <v/>
      </c>
      <c r="D19" s="3" t="str">
        <f>IF(C19="","",'Plate organization+'!$B$42)</f>
        <v/>
      </c>
      <c r="E19" t="str">
        <f>'Plan+'!G19</f>
        <v>Destination_Plate_1</v>
      </c>
      <c r="F19" s="3" t="str">
        <f>'Plate organization+'!$A$13</f>
        <v>mtp_source</v>
      </c>
    </row>
    <row r="20" spans="1:6" x14ac:dyDescent="0.25">
      <c r="A20" s="3" t="str">
        <f>IF(C20="","",VLOOKUP(C20,Source_Plate!$I$2:$J$97,2,FALSE))</f>
        <v/>
      </c>
      <c r="B20" s="3" t="str">
        <f>IF(C20="","",'Plan+'!F20)</f>
        <v/>
      </c>
      <c r="C20" s="32" t="str">
        <f>IF('Plan+'!C20="","",'Plan+'!C20)</f>
        <v/>
      </c>
      <c r="D20" s="3" t="str">
        <f>IF(C20="","",'Plate organization+'!$B$42)</f>
        <v/>
      </c>
      <c r="E20" t="str">
        <f>'Plan+'!G20</f>
        <v>Destination_Plate_1</v>
      </c>
      <c r="F20" s="3" t="str">
        <f>'Plate organization+'!$A$13</f>
        <v>mtp_source</v>
      </c>
    </row>
    <row r="21" spans="1:6" x14ac:dyDescent="0.25">
      <c r="A21" s="3" t="str">
        <f>IF(C21="","",VLOOKUP(C21,Source_Plate!$I$2:$J$97,2,FALSE))</f>
        <v/>
      </c>
      <c r="B21" s="3" t="str">
        <f>IF(C21="","",'Plan+'!F21)</f>
        <v/>
      </c>
      <c r="C21" s="32" t="str">
        <f>IF('Plan+'!C21="","",'Plan+'!C21)</f>
        <v/>
      </c>
      <c r="D21" s="3" t="str">
        <f>IF(C21="","",'Plate organization+'!$B$42)</f>
        <v/>
      </c>
      <c r="E21" t="str">
        <f>'Plan+'!G21</f>
        <v>Destination_Plate_1</v>
      </c>
      <c r="F21" s="3" t="str">
        <f>'Plate organization+'!$A$13</f>
        <v>mtp_source</v>
      </c>
    </row>
    <row r="22" spans="1:6" x14ac:dyDescent="0.25">
      <c r="A22" s="3" t="str">
        <f>IF(C22="","",VLOOKUP(C22,Source_Plate!$I$2:$J$97,2,FALSE))</f>
        <v/>
      </c>
      <c r="B22" s="3" t="str">
        <f>IF(C22="","",'Plan+'!F22)</f>
        <v/>
      </c>
      <c r="C22" s="32" t="str">
        <f>IF('Plan+'!C22="","",'Plan+'!C22)</f>
        <v/>
      </c>
      <c r="D22" s="3" t="str">
        <f>IF(C22="","",'Plate organization+'!$B$42)</f>
        <v/>
      </c>
      <c r="E22" t="str">
        <f>'Plan+'!G22</f>
        <v>Destination_Plate_1</v>
      </c>
      <c r="F22" s="3" t="str">
        <f>'Plate organization+'!$A$13</f>
        <v>mtp_source</v>
      </c>
    </row>
    <row r="23" spans="1:6" x14ac:dyDescent="0.25">
      <c r="A23" s="3" t="str">
        <f>IF(C23="","",VLOOKUP(C23,Source_Plate!$I$2:$J$97,2,FALSE))</f>
        <v/>
      </c>
      <c r="B23" s="3" t="str">
        <f>IF(C23="","",'Plan+'!F23)</f>
        <v/>
      </c>
      <c r="C23" s="32" t="str">
        <f>IF('Plan+'!C23="","",'Plan+'!C23)</f>
        <v/>
      </c>
      <c r="D23" s="3" t="str">
        <f>IF(C23="","",'Plate organization+'!$B$42)</f>
        <v/>
      </c>
      <c r="E23" t="str">
        <f>'Plan+'!G23</f>
        <v>Destination_Plate_1</v>
      </c>
      <c r="F23" s="3" t="str">
        <f>'Plate organization+'!$A$13</f>
        <v>mtp_source</v>
      </c>
    </row>
    <row r="24" spans="1:6" x14ac:dyDescent="0.25">
      <c r="A24" s="3" t="str">
        <f>IF(C24="","",VLOOKUP(C24,Source_Plate!$I$2:$J$97,2,FALSE))</f>
        <v/>
      </c>
      <c r="B24" s="3" t="str">
        <f>IF(C24="","",'Plan+'!F24)</f>
        <v/>
      </c>
      <c r="C24" s="32" t="str">
        <f>IF('Plan+'!C24="","",'Plan+'!C24)</f>
        <v/>
      </c>
      <c r="D24" s="3" t="str">
        <f>IF(C24="","",'Plate organization+'!$B$42)</f>
        <v/>
      </c>
      <c r="E24" t="str">
        <f>'Plan+'!G24</f>
        <v>Destination_Plate_1</v>
      </c>
      <c r="F24" s="3" t="str">
        <f>'Plate organization+'!$A$13</f>
        <v>mtp_source</v>
      </c>
    </row>
    <row r="25" spans="1:6" x14ac:dyDescent="0.25">
      <c r="A25" s="3" t="str">
        <f>IF(C25="","",VLOOKUP(C25,Source_Plate!$I$2:$J$97,2,FALSE))</f>
        <v/>
      </c>
      <c r="B25" s="3" t="str">
        <f>IF(C25="","",'Plan+'!F25)</f>
        <v/>
      </c>
      <c r="C25" s="32" t="str">
        <f>IF('Plan+'!C25="","",'Plan+'!C25)</f>
        <v/>
      </c>
      <c r="D25" s="3" t="str">
        <f>IF(C25="","",'Plate organization+'!$B$42)</f>
        <v/>
      </c>
      <c r="E25" t="str">
        <f>'Plan+'!G25</f>
        <v>Destination_Plate_1</v>
      </c>
      <c r="F25" s="3" t="str">
        <f>'Plate organization+'!$A$13</f>
        <v>mtp_source</v>
      </c>
    </row>
    <row r="26" spans="1:6" x14ac:dyDescent="0.25">
      <c r="A26" s="3" t="str">
        <f>IF(C26="","",VLOOKUP(C26,Source_Plate!$I$2:$J$97,2,FALSE))</f>
        <v/>
      </c>
      <c r="B26" s="3" t="str">
        <f>IF(C26="","",'Plan+'!F26)</f>
        <v/>
      </c>
      <c r="C26" s="32" t="str">
        <f>IF('Plan+'!C26="","",'Plan+'!C26)</f>
        <v/>
      </c>
      <c r="D26" s="3" t="str">
        <f>IF(C26="","",'Plate organization+'!$B$42)</f>
        <v/>
      </c>
      <c r="E26" t="str">
        <f>'Plan+'!G26</f>
        <v>Destination_Plate_1</v>
      </c>
      <c r="F26" s="3" t="str">
        <f>'Plate organization+'!$A$13</f>
        <v>mtp_source</v>
      </c>
    </row>
    <row r="27" spans="1:6" x14ac:dyDescent="0.25">
      <c r="A27" s="3" t="str">
        <f>IF(C27="","",VLOOKUP(C27,Source_Plate!$I$2:$J$97,2,FALSE))</f>
        <v/>
      </c>
      <c r="B27" s="3" t="str">
        <f>IF(C27="","",'Plan+'!F27)</f>
        <v/>
      </c>
      <c r="C27" s="32" t="str">
        <f>IF('Plan+'!C27="","",'Plan+'!C27)</f>
        <v/>
      </c>
      <c r="D27" s="3" t="str">
        <f>IF(C27="","",'Plate organization+'!$B$42)</f>
        <v/>
      </c>
      <c r="E27" t="str">
        <f>'Plan+'!G27</f>
        <v>Destination_Plate_1</v>
      </c>
      <c r="F27" s="3" t="str">
        <f>'Plate organization+'!$A$13</f>
        <v>mtp_source</v>
      </c>
    </row>
    <row r="28" spans="1:6" x14ac:dyDescent="0.25">
      <c r="A28" s="3" t="str">
        <f>IF(C28="","",VLOOKUP(C28,Source_Plate!$I$2:$J$97,2,FALSE))</f>
        <v/>
      </c>
      <c r="B28" s="3" t="str">
        <f>IF(C28="","",'Plan+'!F28)</f>
        <v/>
      </c>
      <c r="C28" s="32" t="str">
        <f>IF('Plan+'!C28="","",'Plan+'!C28)</f>
        <v/>
      </c>
      <c r="D28" s="3" t="str">
        <f>IF(C28="","",'Plate organization+'!$B$42)</f>
        <v/>
      </c>
      <c r="E28" t="str">
        <f>'Plan+'!G28</f>
        <v>Destination_Plate_1</v>
      </c>
      <c r="F28" s="3" t="str">
        <f>'Plate organization+'!$A$13</f>
        <v>mtp_source</v>
      </c>
    </row>
    <row r="29" spans="1:6" x14ac:dyDescent="0.25">
      <c r="A29" s="3" t="str">
        <f>IF(C29="","",VLOOKUP(C29,Source_Plate!$I$2:$J$97,2,FALSE))</f>
        <v/>
      </c>
      <c r="B29" s="3" t="str">
        <f>IF(C29="","",'Plan+'!F29)</f>
        <v/>
      </c>
      <c r="C29" s="32" t="str">
        <f>IF('Plan+'!C29="","",'Plan+'!C29)</f>
        <v/>
      </c>
      <c r="D29" s="3" t="str">
        <f>IF(C29="","",'Plate organization+'!$B$42)</f>
        <v/>
      </c>
      <c r="E29" t="str">
        <f>'Plan+'!G29</f>
        <v>Destination_Plate_1</v>
      </c>
      <c r="F29" s="3" t="str">
        <f>'Plate organization+'!$A$13</f>
        <v>mtp_source</v>
      </c>
    </row>
    <row r="30" spans="1:6" x14ac:dyDescent="0.25">
      <c r="A30" s="3" t="str">
        <f>IF(C30="","",VLOOKUP(C30,Source_Plate!$I$2:$J$97,2,FALSE))</f>
        <v/>
      </c>
      <c r="B30" s="3" t="str">
        <f>IF(C30="","",'Plan+'!F30)</f>
        <v/>
      </c>
      <c r="C30" s="32" t="str">
        <f>IF('Plan+'!C30="","",'Plan+'!C30)</f>
        <v/>
      </c>
      <c r="D30" s="3" t="str">
        <f>IF(C30="","",'Plate organization+'!$B$42)</f>
        <v/>
      </c>
      <c r="E30" t="str">
        <f>'Plan+'!G30</f>
        <v>Destination_Plate_1</v>
      </c>
      <c r="F30" s="3" t="str">
        <f>'Plate organization+'!$A$13</f>
        <v>mtp_source</v>
      </c>
    </row>
    <row r="31" spans="1:6" x14ac:dyDescent="0.25">
      <c r="A31" s="3" t="str">
        <f>IF(C31="","",VLOOKUP(C31,Source_Plate!$I$2:$J$97,2,FALSE))</f>
        <v/>
      </c>
      <c r="B31" s="3" t="str">
        <f>IF(C31="","",'Plan+'!F31)</f>
        <v/>
      </c>
      <c r="C31" s="32" t="str">
        <f>IF('Plan+'!C31="","",'Plan+'!C31)</f>
        <v/>
      </c>
      <c r="D31" s="3" t="str">
        <f>IF(C31="","",'Plate organization+'!$B$42)</f>
        <v/>
      </c>
      <c r="E31" t="str">
        <f>'Plan+'!G31</f>
        <v>Destination_Plate_1</v>
      </c>
      <c r="F31" s="3" t="str">
        <f>'Plate organization+'!$A$13</f>
        <v>mtp_source</v>
      </c>
    </row>
    <row r="32" spans="1:6" x14ac:dyDescent="0.25">
      <c r="A32" s="3" t="str">
        <f>IF(C32="","",VLOOKUP(C32,Source_Plate!$I$2:$J$97,2,FALSE))</f>
        <v/>
      </c>
      <c r="B32" s="3" t="str">
        <f>IF(C32="","",'Plan+'!F32)</f>
        <v/>
      </c>
      <c r="C32" s="32" t="str">
        <f>IF('Plan+'!C32="","",'Plan+'!C32)</f>
        <v/>
      </c>
      <c r="D32" s="3" t="str">
        <f>IF(C32="","",'Plate organization+'!$B$42)</f>
        <v/>
      </c>
      <c r="E32" t="str">
        <f>'Plan+'!G32</f>
        <v>Destination_Plate_1</v>
      </c>
      <c r="F32" s="3" t="str">
        <f>'Plate organization+'!$A$13</f>
        <v>mtp_source</v>
      </c>
    </row>
    <row r="33" spans="1:6" x14ac:dyDescent="0.25">
      <c r="A33" s="3" t="str">
        <f>IF(C33="","",VLOOKUP(C33,Source_Plate!$I$2:$J$97,2,FALSE))</f>
        <v/>
      </c>
      <c r="B33" s="3" t="str">
        <f>IF(C33="","",'Plan+'!F33)</f>
        <v/>
      </c>
      <c r="C33" s="32" t="str">
        <f>IF('Plan+'!C33="","",'Plan+'!C33)</f>
        <v/>
      </c>
      <c r="D33" s="3" t="str">
        <f>IF(C33="","",'Plate organization+'!$B$42)</f>
        <v/>
      </c>
      <c r="E33" t="str">
        <f>'Plan+'!G33</f>
        <v>Destination_Plate_1</v>
      </c>
      <c r="F33" s="3" t="str">
        <f>'Plate organization+'!$A$13</f>
        <v>mtp_source</v>
      </c>
    </row>
    <row r="34" spans="1:6" x14ac:dyDescent="0.25">
      <c r="A34" s="3" t="str">
        <f>IF(C34="","",VLOOKUP(C34,Source_Plate!$I$2:$J$97,2,FALSE))</f>
        <v/>
      </c>
      <c r="B34" s="3" t="str">
        <f>IF(C34="","",'Plan+'!F34)</f>
        <v/>
      </c>
      <c r="C34" s="32" t="str">
        <f>IF('Plan+'!C34="","",'Plan+'!C34)</f>
        <v/>
      </c>
      <c r="D34" s="3" t="str">
        <f>IF(C34="","",'Plate organization+'!$B$42)</f>
        <v/>
      </c>
      <c r="E34" t="str">
        <f>'Plan+'!G34</f>
        <v>Destination_Plate_1</v>
      </c>
      <c r="F34" s="3" t="str">
        <f>'Plate organization+'!$A$13</f>
        <v>mtp_source</v>
      </c>
    </row>
    <row r="35" spans="1:6" x14ac:dyDescent="0.25">
      <c r="A35" s="3" t="str">
        <f>IF(C35="","",VLOOKUP(C35,Source_Plate!$I$2:$J$97,2,FALSE))</f>
        <v/>
      </c>
      <c r="B35" s="3" t="str">
        <f>IF(C35="","",'Plan+'!F35)</f>
        <v/>
      </c>
      <c r="C35" s="32" t="str">
        <f>IF('Plan+'!C35="","",'Plan+'!C35)</f>
        <v/>
      </c>
      <c r="D35" s="3" t="str">
        <f>IF(C35="","",'Plate organization+'!$B$42)</f>
        <v/>
      </c>
      <c r="E35" t="str">
        <f>'Plan+'!G35</f>
        <v>Destination_Plate_1</v>
      </c>
      <c r="F35" s="3" t="str">
        <f>'Plate organization+'!$A$13</f>
        <v>mtp_source</v>
      </c>
    </row>
    <row r="36" spans="1:6" x14ac:dyDescent="0.25">
      <c r="A36" s="3" t="str">
        <f>IF(C36="","",VLOOKUP(C36,Source_Plate!$I$2:$J$97,2,FALSE))</f>
        <v/>
      </c>
      <c r="B36" s="3" t="str">
        <f>IF(C36="","",'Plan+'!F36)</f>
        <v/>
      </c>
      <c r="C36" s="32" t="str">
        <f>IF('Plan+'!C36="","",'Plan+'!C36)</f>
        <v/>
      </c>
      <c r="D36" s="3" t="str">
        <f>IF(C36="","",'Plate organization+'!$B$42)</f>
        <v/>
      </c>
      <c r="E36" t="str">
        <f>'Plan+'!G36</f>
        <v>Destination_Plate_1</v>
      </c>
      <c r="F36" s="3" t="str">
        <f>'Plate organization+'!$A$13</f>
        <v>mtp_source</v>
      </c>
    </row>
    <row r="37" spans="1:6" x14ac:dyDescent="0.25">
      <c r="A37" s="3" t="str">
        <f>IF(C37="","",VLOOKUP(C37,Source_Plate!$I$2:$J$97,2,FALSE))</f>
        <v/>
      </c>
      <c r="B37" s="3" t="str">
        <f>IF(C37="","",'Plan+'!F37)</f>
        <v/>
      </c>
      <c r="C37" s="32" t="str">
        <f>IF('Plan+'!C37="","",'Plan+'!C37)</f>
        <v/>
      </c>
      <c r="D37" s="3" t="str">
        <f>IF(C37="","",'Plate organization+'!$B$42)</f>
        <v/>
      </c>
      <c r="E37" t="str">
        <f>'Plan+'!G37</f>
        <v>Destination_Plate_1</v>
      </c>
      <c r="F37" s="3" t="str">
        <f>'Plate organization+'!$A$13</f>
        <v>mtp_source</v>
      </c>
    </row>
    <row r="38" spans="1:6" x14ac:dyDescent="0.25">
      <c r="A38" s="3" t="str">
        <f>IF(C38="","",VLOOKUP(C38,Source_Plate!$I$2:$J$97,2,FALSE))</f>
        <v/>
      </c>
      <c r="B38" s="3" t="str">
        <f>IF(C38="","",'Plan+'!F38)</f>
        <v/>
      </c>
      <c r="C38" s="32" t="str">
        <f>IF('Plan+'!C38="","",'Plan+'!C38)</f>
        <v/>
      </c>
      <c r="D38" s="3" t="str">
        <f>IF(C38="","",'Plate organization+'!$B$42)</f>
        <v/>
      </c>
      <c r="E38" t="str">
        <f>'Plan+'!G38</f>
        <v>Destination_Plate_1</v>
      </c>
      <c r="F38" s="3" t="str">
        <f>'Plate organization+'!$A$13</f>
        <v>mtp_source</v>
      </c>
    </row>
    <row r="39" spans="1:6" x14ac:dyDescent="0.25">
      <c r="A39" s="3" t="str">
        <f>IF(C39="","",VLOOKUP(C39,Source_Plate!$I$2:$J$97,2,FALSE))</f>
        <v/>
      </c>
      <c r="B39" s="3" t="str">
        <f>IF(C39="","",'Plan+'!F39)</f>
        <v/>
      </c>
      <c r="C39" s="32" t="str">
        <f>IF('Plan+'!C39="","",'Plan+'!C39)</f>
        <v/>
      </c>
      <c r="D39" s="3" t="str">
        <f>IF(C39="","",'Plate organization+'!$B$42)</f>
        <v/>
      </c>
      <c r="E39" t="str">
        <f>'Plan+'!G39</f>
        <v>Destination_Plate_1</v>
      </c>
      <c r="F39" s="3" t="str">
        <f>'Plate organization+'!$A$13</f>
        <v>mtp_source</v>
      </c>
    </row>
    <row r="40" spans="1:6" x14ac:dyDescent="0.25">
      <c r="A40" s="3" t="str">
        <f>IF(C40="","",VLOOKUP(C40,Source_Plate!$I$2:$J$97,2,FALSE))</f>
        <v/>
      </c>
      <c r="B40" s="3" t="str">
        <f>IF(C40="","",'Plan+'!F40)</f>
        <v/>
      </c>
      <c r="C40" s="32" t="str">
        <f>IF('Plan+'!C40="","",'Plan+'!C40)</f>
        <v/>
      </c>
      <c r="D40" s="3" t="str">
        <f>IF(C40="","",'Plate organization+'!$B$42)</f>
        <v/>
      </c>
      <c r="E40" t="str">
        <f>'Plan+'!G40</f>
        <v>Destination_Plate_1</v>
      </c>
      <c r="F40" s="3" t="str">
        <f>'Plate organization+'!$A$13</f>
        <v>mtp_source</v>
      </c>
    </row>
    <row r="41" spans="1:6" x14ac:dyDescent="0.25">
      <c r="A41" s="3" t="str">
        <f>IF(C41="","",VLOOKUP(C41,Source_Plate!$I$2:$J$97,2,FALSE))</f>
        <v/>
      </c>
      <c r="B41" s="3" t="str">
        <f>IF(C41="","",'Plan+'!F41)</f>
        <v/>
      </c>
      <c r="C41" s="32" t="str">
        <f>IF('Plan+'!C41="","",'Plan+'!C41)</f>
        <v/>
      </c>
      <c r="D41" s="3" t="str">
        <f>IF(C41="","",'Plate organization+'!$B$42)</f>
        <v/>
      </c>
      <c r="E41" t="str">
        <f>'Plan+'!G41</f>
        <v>Destination_Plate_1</v>
      </c>
      <c r="F41" s="3" t="str">
        <f>'Plate organization+'!$A$13</f>
        <v>mtp_source</v>
      </c>
    </row>
    <row r="42" spans="1:6" x14ac:dyDescent="0.25">
      <c r="A42" s="3" t="str">
        <f>IF(C42="","",VLOOKUP(C42,Source_Plate!$I$2:$J$97,2,FALSE))</f>
        <v/>
      </c>
      <c r="B42" s="3" t="str">
        <f>IF(C42="","",'Plan+'!F42)</f>
        <v/>
      </c>
      <c r="C42" s="32" t="str">
        <f>IF('Plan+'!C42="","",'Plan+'!C42)</f>
        <v/>
      </c>
      <c r="D42" s="3" t="str">
        <f>IF(C42="","",'Plate organization+'!$B$42)</f>
        <v/>
      </c>
      <c r="E42" t="str">
        <f>'Plan+'!G42</f>
        <v>Destination_Plate_1</v>
      </c>
      <c r="F42" s="3" t="str">
        <f>'Plate organization+'!$A$13</f>
        <v>mtp_source</v>
      </c>
    </row>
    <row r="43" spans="1:6" x14ac:dyDescent="0.25">
      <c r="A43" s="3" t="str">
        <f>IF(C43="","",VLOOKUP(C43,Source_Plate!$I$2:$J$97,2,FALSE))</f>
        <v/>
      </c>
      <c r="B43" s="3" t="str">
        <f>IF(C43="","",'Plan+'!F43)</f>
        <v/>
      </c>
      <c r="C43" s="32" t="str">
        <f>IF('Plan+'!C43="","",'Plan+'!C43)</f>
        <v/>
      </c>
      <c r="D43" s="3" t="str">
        <f>IF(C43="","",'Plate organization+'!$B$42)</f>
        <v/>
      </c>
      <c r="E43" t="str">
        <f>'Plan+'!G43</f>
        <v>Destination_Plate_1</v>
      </c>
      <c r="F43" s="3" t="str">
        <f>'Plate organization+'!$A$13</f>
        <v>mtp_source</v>
      </c>
    </row>
    <row r="44" spans="1:6" x14ac:dyDescent="0.25">
      <c r="A44" s="3" t="str">
        <f>IF(C44="","",VLOOKUP(C44,Source_Plate!$I$2:$J$97,2,FALSE))</f>
        <v/>
      </c>
      <c r="B44" s="3" t="str">
        <f>IF(C44="","",'Plan+'!F44)</f>
        <v/>
      </c>
      <c r="C44" s="32" t="str">
        <f>IF('Plan+'!C44="","",'Plan+'!C44)</f>
        <v/>
      </c>
      <c r="D44" s="3" t="str">
        <f>IF(C44="","",'Plate organization+'!$B$42)</f>
        <v/>
      </c>
      <c r="E44" t="str">
        <f>'Plan+'!G44</f>
        <v>Destination_Plate_1</v>
      </c>
      <c r="F44" s="3" t="str">
        <f>'Plate organization+'!$A$13</f>
        <v>mtp_source</v>
      </c>
    </row>
    <row r="45" spans="1:6" x14ac:dyDescent="0.25">
      <c r="A45" s="3" t="str">
        <f>IF(C45="","",VLOOKUP(C45,Source_Plate!$I$2:$J$97,2,FALSE))</f>
        <v/>
      </c>
      <c r="B45" s="3" t="str">
        <f>IF(C45="","",'Plan+'!F45)</f>
        <v/>
      </c>
      <c r="C45" s="32" t="str">
        <f>IF('Plan+'!C45="","",'Plan+'!C45)</f>
        <v/>
      </c>
      <c r="D45" s="3" t="str">
        <f>IF(C45="","",'Plate organization+'!$B$42)</f>
        <v/>
      </c>
      <c r="E45" t="str">
        <f>'Plan+'!G45</f>
        <v>Destination_Plate_1</v>
      </c>
      <c r="F45" s="3" t="str">
        <f>'Plate organization+'!$A$13</f>
        <v>mtp_source</v>
      </c>
    </row>
    <row r="46" spans="1:6" x14ac:dyDescent="0.25">
      <c r="A46" s="3" t="str">
        <f>IF(C46="","",VLOOKUP(C46,Source_Plate!$I$2:$J$97,2,FALSE))</f>
        <v/>
      </c>
      <c r="B46" s="3" t="str">
        <f>IF(C46="","",'Plan+'!F46)</f>
        <v/>
      </c>
      <c r="C46" s="32" t="str">
        <f>IF('Plan+'!C46="","",'Plan+'!C46)</f>
        <v/>
      </c>
      <c r="D46" s="3" t="str">
        <f>IF(C46="","",'Plate organization+'!$B$42)</f>
        <v/>
      </c>
      <c r="E46" t="str">
        <f>'Plan+'!G46</f>
        <v>Destination_Plate_1</v>
      </c>
      <c r="F46" s="3" t="str">
        <f>'Plate organization+'!$A$13</f>
        <v>mtp_source</v>
      </c>
    </row>
    <row r="47" spans="1:6" x14ac:dyDescent="0.25">
      <c r="A47" s="3" t="str">
        <f>IF(C47="","",VLOOKUP(C47,Source_Plate!$I$2:$J$97,2,FALSE))</f>
        <v/>
      </c>
      <c r="B47" s="3" t="str">
        <f>IF(C47="","",'Plan+'!F47)</f>
        <v/>
      </c>
      <c r="C47" s="32" t="str">
        <f>IF('Plan+'!C47="","",'Plan+'!C47)</f>
        <v/>
      </c>
      <c r="D47" s="3" t="str">
        <f>IF(C47="","",'Plate organization+'!$B$42)</f>
        <v/>
      </c>
      <c r="E47" t="str">
        <f>'Plan+'!G47</f>
        <v>Destination_Plate_1</v>
      </c>
      <c r="F47" s="3" t="str">
        <f>'Plate organization+'!$A$13</f>
        <v>mtp_source</v>
      </c>
    </row>
    <row r="48" spans="1:6" x14ac:dyDescent="0.25">
      <c r="A48" s="3" t="str">
        <f>IF(C48="","",VLOOKUP(C48,Source_Plate!$I$2:$J$97,2,FALSE))</f>
        <v/>
      </c>
      <c r="B48" s="3" t="str">
        <f>IF(C48="","",'Plan+'!F48)</f>
        <v/>
      </c>
      <c r="C48" s="32" t="str">
        <f>IF('Plan+'!C48="","",'Plan+'!C48)</f>
        <v/>
      </c>
      <c r="D48" s="3" t="str">
        <f>IF(C48="","",'Plate organization+'!$B$42)</f>
        <v/>
      </c>
      <c r="E48" t="str">
        <f>'Plan+'!G48</f>
        <v>Destination_Plate_1</v>
      </c>
      <c r="F48" s="3" t="str">
        <f>'Plate organization+'!$A$13</f>
        <v>mtp_source</v>
      </c>
    </row>
    <row r="49" spans="1:6" x14ac:dyDescent="0.25">
      <c r="A49" s="3" t="str">
        <f>IF(C49="","",VLOOKUP(C49,Source_Plate!$I$2:$J$97,2,FALSE))</f>
        <v/>
      </c>
      <c r="B49" s="3" t="str">
        <f>IF(C49="","",'Plan+'!F49)</f>
        <v/>
      </c>
      <c r="C49" s="32" t="str">
        <f>IF('Plan+'!C49="","",'Plan+'!C49)</f>
        <v/>
      </c>
      <c r="D49" s="3" t="str">
        <f>IF(C49="","",'Plate organization+'!$B$42)</f>
        <v/>
      </c>
      <c r="E49" t="str">
        <f>'Plan+'!G49</f>
        <v>Destination_Plate_1</v>
      </c>
      <c r="F49" s="3" t="str">
        <f>'Plate organization+'!$A$13</f>
        <v>mtp_source</v>
      </c>
    </row>
    <row r="50" spans="1:6" x14ac:dyDescent="0.25">
      <c r="A50" s="3" t="str">
        <f>IF(C50="","",VLOOKUP(C50,Source_Plate!$I$2:$J$97,2,FALSE))</f>
        <v/>
      </c>
      <c r="B50" s="3" t="str">
        <f>IF(C50="","",'Plan+'!F50)</f>
        <v/>
      </c>
      <c r="C50" s="32" t="str">
        <f>IF('Plan+'!C50="","",'Plan+'!C50)</f>
        <v/>
      </c>
      <c r="D50" s="3" t="str">
        <f>IF(C50="","",'Plate organization+'!$B$42)</f>
        <v/>
      </c>
      <c r="E50" t="str">
        <f>'Plan+'!G50</f>
        <v>Destination_Plate_1</v>
      </c>
      <c r="F50" s="3" t="str">
        <f>'Plate organization+'!$A$13</f>
        <v>mtp_source</v>
      </c>
    </row>
    <row r="51" spans="1:6" x14ac:dyDescent="0.25">
      <c r="A51" s="3" t="str">
        <f>IF(C51="","",VLOOKUP(C51,Source_Plate!$I$2:$J$97,2,FALSE))</f>
        <v/>
      </c>
      <c r="B51" s="3" t="str">
        <f>IF(C51="","",'Plan+'!F51)</f>
        <v/>
      </c>
      <c r="C51" s="32" t="str">
        <f>IF('Plan+'!C51="","",'Plan+'!C51)</f>
        <v/>
      </c>
      <c r="D51" s="3" t="str">
        <f>IF(C51="","",'Plate organization+'!$B$42)</f>
        <v/>
      </c>
      <c r="E51" t="str">
        <f>'Plan+'!G51</f>
        <v>Destination_Plate_1</v>
      </c>
      <c r="F51" s="3" t="str">
        <f>'Plate organization+'!$A$13</f>
        <v>mtp_source</v>
      </c>
    </row>
    <row r="52" spans="1:6" x14ac:dyDescent="0.25">
      <c r="A52" s="3" t="str">
        <f>IF(C52="","",VLOOKUP(C52,Source_Plate!$I$2:$J$97,2,FALSE))</f>
        <v/>
      </c>
      <c r="B52" s="3" t="str">
        <f>IF(C52="","",'Plan+'!F52)</f>
        <v/>
      </c>
      <c r="C52" s="32" t="str">
        <f>IF('Plan+'!C52="","",'Plan+'!C52)</f>
        <v/>
      </c>
      <c r="D52" s="3" t="str">
        <f>IF(C52="","",'Plate organization+'!$B$42)</f>
        <v/>
      </c>
      <c r="E52" t="str">
        <f>'Plan+'!G52</f>
        <v>Destination_Plate_1</v>
      </c>
      <c r="F52" s="3" t="str">
        <f>'Plate organization+'!$A$13</f>
        <v>mtp_source</v>
      </c>
    </row>
    <row r="53" spans="1:6" x14ac:dyDescent="0.25">
      <c r="A53" s="3" t="str">
        <f>IF(C53="","",VLOOKUP(C53,Source_Plate!$I$2:$J$97,2,FALSE))</f>
        <v/>
      </c>
      <c r="B53" s="3" t="str">
        <f>IF(C53="","",'Plan+'!F53)</f>
        <v/>
      </c>
      <c r="C53" s="32" t="str">
        <f>IF('Plan+'!C53="","",'Plan+'!C53)</f>
        <v/>
      </c>
      <c r="D53" s="3" t="str">
        <f>IF(C53="","",'Plate organization+'!$B$42)</f>
        <v/>
      </c>
      <c r="E53" t="str">
        <f>'Plan+'!G53</f>
        <v>Destination_Plate_1</v>
      </c>
      <c r="F53" s="3" t="str">
        <f>'Plate organization+'!$A$13</f>
        <v>mtp_source</v>
      </c>
    </row>
    <row r="54" spans="1:6" x14ac:dyDescent="0.25">
      <c r="A54" s="3" t="str">
        <f>IF(C54="","",VLOOKUP(C54,Source_Plate!$I$2:$J$97,2,FALSE))</f>
        <v/>
      </c>
      <c r="B54" s="3" t="str">
        <f>IF(C54="","",'Plan+'!F54)</f>
        <v/>
      </c>
      <c r="C54" s="32" t="str">
        <f>IF('Plan+'!C54="","",'Plan+'!C54)</f>
        <v/>
      </c>
      <c r="D54" s="3" t="str">
        <f>IF(C54="","",'Plate organization+'!$B$42)</f>
        <v/>
      </c>
      <c r="E54" t="str">
        <f>'Plan+'!G54</f>
        <v>Destination_Plate_1</v>
      </c>
      <c r="F54" s="3" t="str">
        <f>'Plate organization+'!$A$13</f>
        <v>mtp_source</v>
      </c>
    </row>
    <row r="55" spans="1:6" x14ac:dyDescent="0.25">
      <c r="A55" s="3" t="str">
        <f>IF(C55="","",VLOOKUP(C55,Source_Plate!$I$2:$J$97,2,FALSE))</f>
        <v/>
      </c>
      <c r="B55" s="3" t="str">
        <f>IF(C55="","",'Plan+'!F55)</f>
        <v/>
      </c>
      <c r="C55" s="32" t="str">
        <f>IF('Plan+'!C55="","",'Plan+'!C55)</f>
        <v/>
      </c>
      <c r="D55" s="3" t="str">
        <f>IF(C55="","",'Plate organization+'!$B$42)</f>
        <v/>
      </c>
      <c r="E55" t="str">
        <f>'Plan+'!G55</f>
        <v>Destination_Plate_1</v>
      </c>
      <c r="F55" s="3" t="str">
        <f>'Plate organization+'!$A$13</f>
        <v>mtp_source</v>
      </c>
    </row>
    <row r="56" spans="1:6" x14ac:dyDescent="0.25">
      <c r="A56" s="3" t="str">
        <f>IF(C56="","",VLOOKUP(C56,Source_Plate!$I$2:$J$97,2,FALSE))</f>
        <v/>
      </c>
      <c r="B56" s="3" t="str">
        <f>IF(C56="","",'Plan+'!F56)</f>
        <v/>
      </c>
      <c r="C56" s="32" t="str">
        <f>IF('Plan+'!C56="","",'Plan+'!C56)</f>
        <v/>
      </c>
      <c r="D56" s="3" t="str">
        <f>IF(C56="","",'Plate organization+'!$B$42)</f>
        <v/>
      </c>
      <c r="E56" t="str">
        <f>'Plan+'!G56</f>
        <v>Destination_Plate_1</v>
      </c>
      <c r="F56" s="3" t="str">
        <f>'Plate organization+'!$A$13</f>
        <v>mtp_source</v>
      </c>
    </row>
    <row r="57" spans="1:6" x14ac:dyDescent="0.25">
      <c r="A57" s="3" t="str">
        <f>IF(C57="","",VLOOKUP(C57,Source_Plate!$I$2:$J$97,2,FALSE))</f>
        <v/>
      </c>
      <c r="B57" s="3" t="str">
        <f>IF(C57="","",'Plan+'!F57)</f>
        <v/>
      </c>
      <c r="C57" s="32" t="str">
        <f>IF('Plan+'!C57="","",'Plan+'!C57)</f>
        <v/>
      </c>
      <c r="D57" s="3" t="str">
        <f>IF(C57="","",'Plate organization+'!$B$42)</f>
        <v/>
      </c>
      <c r="E57" t="str">
        <f>'Plan+'!G57</f>
        <v>Destination_Plate_1</v>
      </c>
      <c r="F57" s="3" t="str">
        <f>'Plate organization+'!$A$13</f>
        <v>mtp_source</v>
      </c>
    </row>
    <row r="58" spans="1:6" x14ac:dyDescent="0.25">
      <c r="A58" s="3" t="str">
        <f>IF(C58="","",VLOOKUP(C58,Source_Plate!$I$2:$J$97,2,FALSE))</f>
        <v/>
      </c>
      <c r="B58" s="3" t="str">
        <f>IF(C58="","",'Plan+'!F58)</f>
        <v/>
      </c>
      <c r="C58" s="32" t="str">
        <f>IF('Plan+'!C58="","",'Plan+'!C58)</f>
        <v/>
      </c>
      <c r="D58" s="3" t="str">
        <f>IF(C58="","",'Plate organization+'!$B$42)</f>
        <v/>
      </c>
      <c r="E58" t="str">
        <f>'Plan+'!G58</f>
        <v>Destination_Plate_1</v>
      </c>
      <c r="F58" s="3" t="str">
        <f>'Plate organization+'!$A$13</f>
        <v>mtp_source</v>
      </c>
    </row>
    <row r="59" spans="1:6" x14ac:dyDescent="0.25">
      <c r="A59" s="3" t="str">
        <f>IF(C59="","",VLOOKUP(C59,Source_Plate!$I$2:$J$97,2,FALSE))</f>
        <v/>
      </c>
      <c r="B59" s="3" t="str">
        <f>IF(C59="","",'Plan+'!F59)</f>
        <v/>
      </c>
      <c r="C59" s="32" t="str">
        <f>IF('Plan+'!C59="","",'Plan+'!C59)</f>
        <v/>
      </c>
      <c r="D59" s="3" t="str">
        <f>IF(C59="","",'Plate organization+'!$B$42)</f>
        <v/>
      </c>
      <c r="E59" t="str">
        <f>'Plan+'!G59</f>
        <v>Destination_Plate_1</v>
      </c>
      <c r="F59" s="3" t="str">
        <f>'Plate organization+'!$A$13</f>
        <v>mtp_source</v>
      </c>
    </row>
    <row r="60" spans="1:6" x14ac:dyDescent="0.25">
      <c r="A60" s="3" t="str">
        <f>IF(C60="","",VLOOKUP(C60,Source_Plate!$I$2:$J$97,2,FALSE))</f>
        <v/>
      </c>
      <c r="B60" s="3" t="str">
        <f>IF(C60="","",'Plan+'!F60)</f>
        <v/>
      </c>
      <c r="C60" s="32" t="str">
        <f>IF('Plan+'!C60="","",'Plan+'!C60)</f>
        <v/>
      </c>
      <c r="D60" s="3" t="str">
        <f>IF(C60="","",'Plate organization+'!$B$42)</f>
        <v/>
      </c>
      <c r="E60" t="str">
        <f>'Plan+'!G60</f>
        <v>Destination_Plate_1</v>
      </c>
      <c r="F60" s="3" t="str">
        <f>'Plate organization+'!$A$13</f>
        <v>mtp_source</v>
      </c>
    </row>
    <row r="61" spans="1:6" x14ac:dyDescent="0.25">
      <c r="A61" s="3" t="str">
        <f>IF(C61="","",VLOOKUP(C61,Source_Plate!$I$2:$J$97,2,FALSE))</f>
        <v/>
      </c>
      <c r="B61" s="3" t="str">
        <f>IF(C61="","",'Plan+'!F61)</f>
        <v/>
      </c>
      <c r="C61" s="32" t="str">
        <f>IF('Plan+'!C61="","",'Plan+'!C61)</f>
        <v/>
      </c>
      <c r="D61" s="3" t="str">
        <f>IF(C61="","",'Plate organization+'!$B$42)</f>
        <v/>
      </c>
      <c r="E61" t="str">
        <f>'Plan+'!G61</f>
        <v>Destination_Plate_1</v>
      </c>
      <c r="F61" s="3" t="str">
        <f>'Plate organization+'!$A$13</f>
        <v>mtp_source</v>
      </c>
    </row>
    <row r="62" spans="1:6" x14ac:dyDescent="0.25">
      <c r="A62" s="3" t="str">
        <f>IF(C62="","",VLOOKUP(C62,Source_Plate!$I$2:$J$97,2,FALSE))</f>
        <v/>
      </c>
      <c r="B62" s="3" t="str">
        <f>IF(C62="","",'Plan+'!F62)</f>
        <v/>
      </c>
      <c r="C62" s="32" t="str">
        <f>IF('Plan+'!C62="","",'Plan+'!C62)</f>
        <v/>
      </c>
      <c r="D62" s="3" t="str">
        <f>IF(C62="","",'Plate organization+'!$B$42)</f>
        <v/>
      </c>
      <c r="E62" t="str">
        <f>'Plan+'!G62</f>
        <v>Destination_Plate_1</v>
      </c>
      <c r="F62" s="3" t="str">
        <f>'Plate organization+'!$A$13</f>
        <v>mtp_source</v>
      </c>
    </row>
    <row r="63" spans="1:6" x14ac:dyDescent="0.25">
      <c r="A63" s="3" t="str">
        <f>IF(C63="","",VLOOKUP(C63,Source_Plate!$I$2:$J$97,2,FALSE))</f>
        <v/>
      </c>
      <c r="B63" s="3" t="str">
        <f>IF(C63="","",'Plan+'!F63)</f>
        <v/>
      </c>
      <c r="C63" s="32" t="str">
        <f>IF('Plan+'!C63="","",'Plan+'!C63)</f>
        <v/>
      </c>
      <c r="D63" s="3" t="str">
        <f>IF(C63="","",'Plate organization+'!$B$42)</f>
        <v/>
      </c>
      <c r="E63" t="str">
        <f>'Plan+'!G63</f>
        <v>Destination_Plate_1</v>
      </c>
      <c r="F63" s="3" t="str">
        <f>'Plate organization+'!$A$13</f>
        <v>mtp_source</v>
      </c>
    </row>
    <row r="64" spans="1:6" x14ac:dyDescent="0.25">
      <c r="A64" s="3" t="str">
        <f>IF(C64="","",VLOOKUP(C64,Source_Plate!$I$2:$J$97,2,FALSE))</f>
        <v/>
      </c>
      <c r="B64" s="3" t="str">
        <f>IF(C64="","",'Plan+'!F64)</f>
        <v/>
      </c>
      <c r="C64" s="32" t="str">
        <f>IF('Plan+'!C64="","",'Plan+'!C64)</f>
        <v/>
      </c>
      <c r="D64" s="3" t="str">
        <f>IF(C64="","",'Plate organization+'!$B$42)</f>
        <v/>
      </c>
      <c r="E64" t="str">
        <f>'Plan+'!G64</f>
        <v>Destination_Plate_1</v>
      </c>
      <c r="F64" s="3" t="str">
        <f>'Plate organization+'!$A$13</f>
        <v>mtp_source</v>
      </c>
    </row>
    <row r="65" spans="1:6" x14ac:dyDescent="0.25">
      <c r="A65" s="3" t="str">
        <f>IF(C65="","",VLOOKUP(C65,Source_Plate!$I$2:$J$97,2,FALSE))</f>
        <v/>
      </c>
      <c r="B65" s="3" t="str">
        <f>IF(C65="","",'Plan+'!F65)</f>
        <v/>
      </c>
      <c r="C65" s="32" t="str">
        <f>IF('Plan+'!C65="","",'Plan+'!C65)</f>
        <v/>
      </c>
      <c r="D65" s="3" t="str">
        <f>IF(C65="","",'Plate organization+'!$B$42)</f>
        <v/>
      </c>
      <c r="E65" t="str">
        <f>'Plan+'!G65</f>
        <v>Destination_Plate_1</v>
      </c>
      <c r="F65" s="3" t="str">
        <f>'Plate organization+'!$A$13</f>
        <v>mtp_source</v>
      </c>
    </row>
    <row r="66" spans="1:6" x14ac:dyDescent="0.25">
      <c r="A66" s="3" t="str">
        <f>IF(C66="","",VLOOKUP(C66,Source_Plate!$I$2:$J$97,2,FALSE))</f>
        <v/>
      </c>
      <c r="B66" s="3" t="str">
        <f>IF(C66="","",'Plan+'!F66)</f>
        <v/>
      </c>
      <c r="C66" s="32" t="str">
        <f>IF('Plan+'!C66="","",'Plan+'!C66)</f>
        <v/>
      </c>
      <c r="D66" s="3" t="str">
        <f>IF(C66="","",'Plate organization+'!$B$42)</f>
        <v/>
      </c>
      <c r="E66" t="str">
        <f>'Plan+'!G66</f>
        <v>Destination_Plate_1</v>
      </c>
      <c r="F66" s="3" t="str">
        <f>'Plate organization+'!$A$13</f>
        <v>mtp_source</v>
      </c>
    </row>
    <row r="67" spans="1:6" x14ac:dyDescent="0.25">
      <c r="A67" s="3" t="str">
        <f>IF(C67="","",VLOOKUP(C67,Source_Plate!$I$2:$J$97,2,FALSE))</f>
        <v/>
      </c>
      <c r="B67" s="3" t="str">
        <f>IF(C67="","",'Plan+'!F67)</f>
        <v/>
      </c>
      <c r="C67" s="32" t="str">
        <f>IF('Plan+'!C67="","",'Plan+'!C67)</f>
        <v/>
      </c>
      <c r="D67" s="3" t="str">
        <f>IF(C67="","",'Plate organization+'!$B$42)</f>
        <v/>
      </c>
      <c r="E67" t="str">
        <f>'Plan+'!G67</f>
        <v>Destination_Plate_1</v>
      </c>
      <c r="F67" s="3" t="str">
        <f>'Plate organization+'!$A$13</f>
        <v>mtp_source</v>
      </c>
    </row>
    <row r="68" spans="1:6" x14ac:dyDescent="0.25">
      <c r="A68" s="3" t="str">
        <f>IF(C68="","",VLOOKUP(C68,Source_Plate!$I$2:$J$97,2,FALSE))</f>
        <v/>
      </c>
      <c r="B68" s="3" t="str">
        <f>IF(C68="","",'Plan+'!F68)</f>
        <v/>
      </c>
      <c r="C68" s="32" t="str">
        <f>IF('Plan+'!C68="","",'Plan+'!C68)</f>
        <v/>
      </c>
      <c r="D68" s="3" t="str">
        <f>IF(C68="","",'Plate organization+'!$B$42)</f>
        <v/>
      </c>
      <c r="E68" t="str">
        <f>'Plan+'!G68</f>
        <v>Destination_Plate_1</v>
      </c>
      <c r="F68" s="3" t="str">
        <f>'Plate organization+'!$A$13</f>
        <v>mtp_source</v>
      </c>
    </row>
    <row r="69" spans="1:6" x14ac:dyDescent="0.25">
      <c r="A69" s="3" t="str">
        <f>IF(C69="","",VLOOKUP(C69,Source_Plate!$I$2:$J$97,2,FALSE))</f>
        <v/>
      </c>
      <c r="B69" s="3" t="str">
        <f>IF(C69="","",'Plan+'!F69)</f>
        <v/>
      </c>
      <c r="C69" s="32" t="str">
        <f>IF('Plan+'!C69="","",'Plan+'!C69)</f>
        <v/>
      </c>
      <c r="D69" s="3" t="str">
        <f>IF(C69="","",'Plate organization+'!$B$42)</f>
        <v/>
      </c>
      <c r="E69" t="str">
        <f>'Plan+'!G69</f>
        <v>Destination_Plate_1</v>
      </c>
      <c r="F69" s="3" t="str">
        <f>'Plate organization+'!$A$13</f>
        <v>mtp_source</v>
      </c>
    </row>
    <row r="70" spans="1:6" x14ac:dyDescent="0.25">
      <c r="A70" s="3" t="str">
        <f>IF(C70="","",VLOOKUP(C70,Source_Plate!$I$2:$J$97,2,FALSE))</f>
        <v/>
      </c>
      <c r="B70" s="3" t="str">
        <f>IF(C70="","",'Plan+'!F70)</f>
        <v/>
      </c>
      <c r="C70" s="32" t="str">
        <f>IF('Plan+'!C70="","",'Plan+'!C70)</f>
        <v/>
      </c>
      <c r="D70" s="3" t="str">
        <f>IF(C70="","",'Plate organization+'!$B$42)</f>
        <v/>
      </c>
      <c r="E70" t="str">
        <f>'Plan+'!G70</f>
        <v>Destination_Plate_1</v>
      </c>
      <c r="F70" s="3" t="str">
        <f>'Plate organization+'!$A$13</f>
        <v>mtp_source</v>
      </c>
    </row>
    <row r="71" spans="1:6" x14ac:dyDescent="0.25">
      <c r="A71" s="3" t="str">
        <f>IF(C71="","",VLOOKUP(C71,Source_Plate!$I$2:$J$97,2,FALSE))</f>
        <v/>
      </c>
      <c r="B71" s="3" t="str">
        <f>IF(C71="","",'Plan+'!F71)</f>
        <v/>
      </c>
      <c r="C71" s="32" t="str">
        <f>IF('Plan+'!C71="","",'Plan+'!C71)</f>
        <v/>
      </c>
      <c r="D71" s="3" t="str">
        <f>IF(C71="","",'Plate organization+'!$B$42)</f>
        <v/>
      </c>
      <c r="E71" t="str">
        <f>'Plan+'!G71</f>
        <v>Destination_Plate_1</v>
      </c>
      <c r="F71" s="3" t="str">
        <f>'Plate organization+'!$A$13</f>
        <v>mtp_source</v>
      </c>
    </row>
    <row r="72" spans="1:6" x14ac:dyDescent="0.25">
      <c r="A72" s="3" t="str">
        <f>IF(C72="","",VLOOKUP(C72,Source_Plate!$I$2:$J$97,2,FALSE))</f>
        <v/>
      </c>
      <c r="B72" s="3" t="str">
        <f>IF(C72="","",'Plan+'!F72)</f>
        <v/>
      </c>
      <c r="C72" s="32" t="str">
        <f>IF('Plan+'!C72="","",'Plan+'!C72)</f>
        <v/>
      </c>
      <c r="D72" s="3" t="str">
        <f>IF(C72="","",'Plate organization+'!$B$42)</f>
        <v/>
      </c>
      <c r="E72" t="str">
        <f>'Plan+'!G72</f>
        <v>Destination_Plate_1</v>
      </c>
      <c r="F72" s="3" t="str">
        <f>'Plate organization+'!$A$13</f>
        <v>mtp_source</v>
      </c>
    </row>
    <row r="73" spans="1:6" x14ac:dyDescent="0.25">
      <c r="A73" s="3" t="str">
        <f>IF(C73="","",VLOOKUP(C73,Source_Plate!$I$2:$J$97,2,FALSE))</f>
        <v/>
      </c>
      <c r="B73" s="3" t="str">
        <f>IF(C73="","",'Plan+'!F73)</f>
        <v/>
      </c>
      <c r="C73" s="32" t="str">
        <f>IF('Plan+'!C73="","",'Plan+'!C73)</f>
        <v/>
      </c>
      <c r="D73" s="3" t="str">
        <f>IF(C73="","",'Plate organization+'!$B$42)</f>
        <v/>
      </c>
      <c r="E73" t="str">
        <f>'Plan+'!G73</f>
        <v>Destination_Plate_1</v>
      </c>
      <c r="F73" s="3" t="str">
        <f>'Plate organization+'!$A$13</f>
        <v>mtp_source</v>
      </c>
    </row>
    <row r="74" spans="1:6" x14ac:dyDescent="0.25">
      <c r="A74" s="3" t="str">
        <f>IF(C74="","",VLOOKUP(C74,Source_Plate!$I$2:$J$97,2,FALSE))</f>
        <v/>
      </c>
      <c r="B74" s="3" t="str">
        <f>IF(C74="","",'Plan+'!F74)</f>
        <v/>
      </c>
      <c r="C74" s="32" t="str">
        <f>IF('Plan+'!C74="","",'Plan+'!C74)</f>
        <v/>
      </c>
      <c r="D74" s="3" t="str">
        <f>IF(C74="","",'Plate organization+'!$B$42)</f>
        <v/>
      </c>
      <c r="E74" t="str">
        <f>'Plan+'!G74</f>
        <v>Destination_Plate_1</v>
      </c>
      <c r="F74" s="3" t="str">
        <f>'Plate organization+'!$A$13</f>
        <v>mtp_source</v>
      </c>
    </row>
    <row r="75" spans="1:6" x14ac:dyDescent="0.25">
      <c r="A75" s="3" t="str">
        <f>IF(C75="","",VLOOKUP(C75,Source_Plate!$I$2:$J$97,2,FALSE))</f>
        <v/>
      </c>
      <c r="B75" s="3" t="str">
        <f>IF(C75="","",'Plan+'!F75)</f>
        <v/>
      </c>
      <c r="C75" s="32" t="str">
        <f>IF('Plan+'!C75="","",'Plan+'!C75)</f>
        <v/>
      </c>
      <c r="D75" s="3" t="str">
        <f>IF(C75="","",'Plate organization+'!$B$42)</f>
        <v/>
      </c>
      <c r="E75" t="str">
        <f>'Plan+'!G75</f>
        <v>Destination_Plate_1</v>
      </c>
      <c r="F75" s="3" t="str">
        <f>'Plate organization+'!$A$13</f>
        <v>mtp_source</v>
      </c>
    </row>
    <row r="76" spans="1:6" x14ac:dyDescent="0.25">
      <c r="A76" s="3" t="str">
        <f>IF(C76="","",VLOOKUP(C76,Source_Plate!$I$2:$J$97,2,FALSE))</f>
        <v/>
      </c>
      <c r="B76" s="3" t="str">
        <f>IF(C76="","",'Plan+'!F76)</f>
        <v/>
      </c>
      <c r="C76" s="32" t="str">
        <f>IF('Plan+'!C76="","",'Plan+'!C76)</f>
        <v/>
      </c>
      <c r="D76" s="3" t="str">
        <f>IF(C76="","",'Plate organization+'!$B$42)</f>
        <v/>
      </c>
      <c r="E76" t="str">
        <f>'Plan+'!G76</f>
        <v>Destination_Plate_1</v>
      </c>
      <c r="F76" s="3" t="str">
        <f>'Plate organization+'!$A$13</f>
        <v>mtp_source</v>
      </c>
    </row>
    <row r="77" spans="1:6" x14ac:dyDescent="0.25">
      <c r="A77" s="3" t="str">
        <f>IF(C77="","",VLOOKUP(C77,Source_Plate!$I$2:$J$97,2,FALSE))</f>
        <v/>
      </c>
      <c r="B77" s="3" t="str">
        <f>IF(C77="","",'Plan+'!F77)</f>
        <v/>
      </c>
      <c r="C77" s="32" t="str">
        <f>IF('Plan+'!C77="","",'Plan+'!C77)</f>
        <v/>
      </c>
      <c r="D77" s="3" t="str">
        <f>IF(C77="","",'Plate organization+'!$B$42)</f>
        <v/>
      </c>
      <c r="E77" t="str">
        <f>'Plan+'!G77</f>
        <v>Destination_Plate_1</v>
      </c>
      <c r="F77" s="3" t="str">
        <f>'Plate organization+'!$A$13</f>
        <v>mtp_source</v>
      </c>
    </row>
    <row r="78" spans="1:6" x14ac:dyDescent="0.25">
      <c r="A78" s="3" t="str">
        <f>IF(C78="","",VLOOKUP(C78,Source_Plate!$I$2:$J$97,2,FALSE))</f>
        <v/>
      </c>
      <c r="B78" s="3" t="str">
        <f>IF(C78="","",'Plan+'!F78)</f>
        <v/>
      </c>
      <c r="C78" s="32" t="str">
        <f>IF('Plan+'!C78="","",'Plan+'!C78)</f>
        <v/>
      </c>
      <c r="D78" s="3" t="str">
        <f>IF(C78="","",'Plate organization+'!$B$42)</f>
        <v/>
      </c>
      <c r="E78" t="str">
        <f>'Plan+'!G78</f>
        <v>Destination_Plate_1</v>
      </c>
      <c r="F78" s="3" t="str">
        <f>'Plate organization+'!$A$13</f>
        <v>mtp_source</v>
      </c>
    </row>
    <row r="79" spans="1:6" x14ac:dyDescent="0.25">
      <c r="A79" s="3" t="str">
        <f>IF(C79="","",VLOOKUP(C79,Source_Plate!$I$2:$J$97,2,FALSE))</f>
        <v/>
      </c>
      <c r="B79" s="3" t="str">
        <f>IF(C79="","",'Plan+'!F79)</f>
        <v/>
      </c>
      <c r="C79" s="32" t="str">
        <f>IF('Plan+'!C79="","",'Plan+'!C79)</f>
        <v/>
      </c>
      <c r="D79" s="3" t="str">
        <f>IF(C79="","",'Plate organization+'!$B$42)</f>
        <v/>
      </c>
      <c r="E79" t="str">
        <f>'Plan+'!G79</f>
        <v>Destination_Plate_1</v>
      </c>
      <c r="F79" s="3" t="str">
        <f>'Plate organization+'!$A$13</f>
        <v>mtp_source</v>
      </c>
    </row>
    <row r="80" spans="1:6" x14ac:dyDescent="0.25">
      <c r="A80" s="3" t="str">
        <f>IF(C80="","",VLOOKUP(C80,Source_Plate!$I$2:$J$97,2,FALSE))</f>
        <v/>
      </c>
      <c r="B80" s="3" t="str">
        <f>IF(C80="","",'Plan+'!F80)</f>
        <v/>
      </c>
      <c r="C80" s="32" t="str">
        <f>IF('Plan+'!C80="","",'Plan+'!C80)</f>
        <v/>
      </c>
      <c r="D80" s="3" t="str">
        <f>IF(C80="","",'Plate organization+'!$B$42)</f>
        <v/>
      </c>
      <c r="E80" t="str">
        <f>'Plan+'!G80</f>
        <v>Destination_Plate_1</v>
      </c>
      <c r="F80" s="3" t="str">
        <f>'Plate organization+'!$A$13</f>
        <v>mtp_source</v>
      </c>
    </row>
    <row r="81" spans="1:6" x14ac:dyDescent="0.25">
      <c r="A81" s="3" t="str">
        <f>IF(C81="","",VLOOKUP(C81,Source_Plate!$I$2:$J$97,2,FALSE))</f>
        <v/>
      </c>
      <c r="B81" s="3" t="str">
        <f>IF(C81="","",'Plan+'!F81)</f>
        <v/>
      </c>
      <c r="C81" s="32" t="str">
        <f>IF('Plan+'!C81="","",'Plan+'!C81)</f>
        <v/>
      </c>
      <c r="D81" s="3" t="str">
        <f>IF(C81="","",'Plate organization+'!$B$42)</f>
        <v/>
      </c>
      <c r="E81" t="str">
        <f>'Plan+'!G81</f>
        <v>Destination_Plate_1</v>
      </c>
      <c r="F81" s="3" t="str">
        <f>'Plate organization+'!$A$13</f>
        <v>mtp_source</v>
      </c>
    </row>
    <row r="82" spans="1:6" x14ac:dyDescent="0.25">
      <c r="A82" s="3" t="str">
        <f>IF(C82="","",VLOOKUP(C82,Source_Plate!$I$2:$J$97,2,FALSE))</f>
        <v/>
      </c>
      <c r="B82" s="3" t="str">
        <f>IF(C82="","",'Plan+'!F82)</f>
        <v/>
      </c>
      <c r="C82" s="32" t="str">
        <f>IF('Plan+'!C82="","",'Plan+'!C82)</f>
        <v/>
      </c>
      <c r="D82" s="3" t="str">
        <f>IF(C82="","",'Plate organization+'!$B$42)</f>
        <v/>
      </c>
      <c r="E82" t="str">
        <f>'Plan+'!G82</f>
        <v>Destination_Plate_1</v>
      </c>
      <c r="F82" s="3" t="str">
        <f>'Plate organization+'!$A$13</f>
        <v>mtp_source</v>
      </c>
    </row>
    <row r="83" spans="1:6" x14ac:dyDescent="0.25">
      <c r="A83" s="3" t="str">
        <f>IF(C83="","",VLOOKUP(C83,Source_Plate!$I$2:$J$97,2,FALSE))</f>
        <v/>
      </c>
      <c r="B83" s="3" t="str">
        <f>IF(C83="","",'Plan+'!F83)</f>
        <v/>
      </c>
      <c r="C83" s="32" t="str">
        <f>IF('Plan+'!C83="","",'Plan+'!C83)</f>
        <v/>
      </c>
      <c r="D83" s="3" t="str">
        <f>IF(C83="","",'Plate organization+'!$B$42)</f>
        <v/>
      </c>
      <c r="E83" t="str">
        <f>'Plan+'!G83</f>
        <v>Destination_Plate_1</v>
      </c>
      <c r="F83" s="3" t="str">
        <f>'Plate organization+'!$A$13</f>
        <v>mtp_source</v>
      </c>
    </row>
    <row r="84" spans="1:6" x14ac:dyDescent="0.25">
      <c r="A84" s="3" t="str">
        <f>IF(C84="","",VLOOKUP(C84,Source_Plate!$I$2:$J$97,2,FALSE))</f>
        <v/>
      </c>
      <c r="B84" s="3" t="str">
        <f>IF(C84="","",'Plan+'!F84)</f>
        <v/>
      </c>
      <c r="C84" s="32" t="str">
        <f>IF('Plan+'!C84="","",'Plan+'!C84)</f>
        <v/>
      </c>
      <c r="D84" s="3" t="str">
        <f>IF(C84="","",'Plate organization+'!$B$42)</f>
        <v/>
      </c>
      <c r="E84" t="str">
        <f>'Plan+'!G84</f>
        <v>Destination_Plate_1</v>
      </c>
      <c r="F84" s="3" t="str">
        <f>'Plate organization+'!$A$13</f>
        <v>mtp_source</v>
      </c>
    </row>
    <row r="85" spans="1:6" x14ac:dyDescent="0.25">
      <c r="A85" s="3" t="str">
        <f>IF(C85="","",VLOOKUP(C85,Source_Plate!$I$2:$J$97,2,FALSE))</f>
        <v/>
      </c>
      <c r="B85" s="3" t="str">
        <f>IF(C85="","",'Plan+'!F85)</f>
        <v/>
      </c>
      <c r="C85" s="32" t="str">
        <f>IF('Plan+'!C85="","",'Plan+'!C85)</f>
        <v/>
      </c>
      <c r="D85" s="3" t="str">
        <f>IF(C85="","",'Plate organization+'!$B$42)</f>
        <v/>
      </c>
      <c r="E85" t="str">
        <f>'Plan+'!G85</f>
        <v>Destination_Plate_1</v>
      </c>
      <c r="F85" s="3" t="str">
        <f>'Plate organization+'!$A$13</f>
        <v>mtp_source</v>
      </c>
    </row>
    <row r="86" spans="1:6" x14ac:dyDescent="0.25">
      <c r="A86" s="3" t="str">
        <f>IF(C86="","",VLOOKUP(C86,Source_Plate!$I$2:$J$97,2,FALSE))</f>
        <v/>
      </c>
      <c r="B86" s="3" t="str">
        <f>IF(C86="","",'Plan+'!F86)</f>
        <v/>
      </c>
      <c r="C86" s="32" t="str">
        <f>IF('Plan+'!C86="","",'Plan+'!C86)</f>
        <v/>
      </c>
      <c r="D86" s="3" t="str">
        <f>IF(C86="","",'Plate organization+'!$B$42)</f>
        <v/>
      </c>
      <c r="E86" t="str">
        <f>'Plan+'!G86</f>
        <v>Destination_Plate_1</v>
      </c>
      <c r="F86" s="3" t="str">
        <f>'Plate organization+'!$A$13</f>
        <v>mtp_source</v>
      </c>
    </row>
    <row r="87" spans="1:6" x14ac:dyDescent="0.25">
      <c r="A87" s="3" t="str">
        <f>IF(C87="","",VLOOKUP(C87,Source_Plate!$I$2:$J$97,2,FALSE))</f>
        <v/>
      </c>
      <c r="B87" s="3" t="str">
        <f>IF(C87="","",'Plan+'!F87)</f>
        <v/>
      </c>
      <c r="C87" s="32" t="str">
        <f>IF('Plan+'!C87="","",'Plan+'!C87)</f>
        <v/>
      </c>
      <c r="D87" s="3" t="str">
        <f>IF(C87="","",'Plate organization+'!$B$42)</f>
        <v/>
      </c>
      <c r="E87" t="str">
        <f>'Plan+'!G87</f>
        <v>Destination_Plate_1</v>
      </c>
      <c r="F87" s="3" t="str">
        <f>'Plate organization+'!$A$13</f>
        <v>mtp_source</v>
      </c>
    </row>
    <row r="88" spans="1:6" x14ac:dyDescent="0.25">
      <c r="A88" s="3" t="str">
        <f>IF(C88="","",VLOOKUP(C88,Source_Plate!$I$2:$J$97,2,FALSE))</f>
        <v/>
      </c>
      <c r="B88" s="3" t="str">
        <f>IF(C88="","",'Plan+'!F88)</f>
        <v/>
      </c>
      <c r="C88" s="32" t="str">
        <f>IF('Plan+'!C88="","",'Plan+'!C88)</f>
        <v/>
      </c>
      <c r="D88" s="3" t="str">
        <f>IF(C88="","",'Plate organization+'!$B$42)</f>
        <v/>
      </c>
      <c r="E88" t="str">
        <f>'Plan+'!G88</f>
        <v>Destination_Plate_1</v>
      </c>
      <c r="F88" s="3" t="str">
        <f>'Plate organization+'!$A$13</f>
        <v>mtp_source</v>
      </c>
    </row>
    <row r="89" spans="1:6" x14ac:dyDescent="0.25">
      <c r="A89" s="3" t="str">
        <f>IF(C89="","",VLOOKUP(C89,Source_Plate!$I$2:$J$97,2,FALSE))</f>
        <v/>
      </c>
      <c r="B89" s="3" t="str">
        <f>IF(C89="","",'Plan+'!F89)</f>
        <v/>
      </c>
      <c r="C89" s="32" t="str">
        <f>IF('Plan+'!C89="","",'Plan+'!C89)</f>
        <v/>
      </c>
      <c r="D89" s="3" t="str">
        <f>IF(C89="","",'Plate organization+'!$B$42)</f>
        <v/>
      </c>
      <c r="E89" t="str">
        <f>'Plan+'!G89</f>
        <v>Destination_Plate_1</v>
      </c>
      <c r="F89" s="3" t="str">
        <f>'Plate organization+'!$A$13</f>
        <v>mtp_source</v>
      </c>
    </row>
    <row r="90" spans="1:6" x14ac:dyDescent="0.25">
      <c r="A90" s="3" t="str">
        <f>IF(C90="","",VLOOKUP(C90,Source_Plate!$I$2:$J$97,2,FALSE))</f>
        <v/>
      </c>
      <c r="B90" s="3" t="str">
        <f>IF(C90="","",'Plan+'!F90)</f>
        <v/>
      </c>
      <c r="C90" s="32" t="str">
        <f>IF('Plan+'!C90="","",'Plan+'!C90)</f>
        <v/>
      </c>
      <c r="D90" s="3" t="str">
        <f>IF(C90="","",'Plate organization+'!$B$42)</f>
        <v/>
      </c>
      <c r="E90" t="str">
        <f>'Plan+'!G90</f>
        <v>Destination_Plate_1</v>
      </c>
      <c r="F90" s="3" t="str">
        <f>'Plate organization+'!$A$13</f>
        <v>mtp_source</v>
      </c>
    </row>
    <row r="91" spans="1:6" x14ac:dyDescent="0.25">
      <c r="A91" s="3" t="str">
        <f>IF(C91="","",VLOOKUP(C91,Source_Plate!$I$2:$J$97,2,FALSE))</f>
        <v/>
      </c>
      <c r="B91" s="3" t="str">
        <f>IF(C91="","",'Plan+'!F91)</f>
        <v/>
      </c>
      <c r="C91" s="32" t="str">
        <f>IF('Plan+'!C91="","",'Plan+'!C91)</f>
        <v/>
      </c>
      <c r="D91" s="3" t="str">
        <f>IF(C91="","",'Plate organization+'!$B$42)</f>
        <v/>
      </c>
      <c r="E91" t="str">
        <f>'Plan+'!G91</f>
        <v>Destination_Plate_1</v>
      </c>
      <c r="F91" s="3" t="str">
        <f>'Plate organization+'!$A$13</f>
        <v>mtp_source</v>
      </c>
    </row>
    <row r="92" spans="1:6" x14ac:dyDescent="0.25">
      <c r="A92" s="3" t="str">
        <f>IF(C92="","",VLOOKUP(C92,Source_Plate!$I$2:$J$97,2,FALSE))</f>
        <v/>
      </c>
      <c r="B92" s="3" t="str">
        <f>IF(C92="","",'Plan+'!F92)</f>
        <v/>
      </c>
      <c r="C92" s="32" t="str">
        <f>IF('Plan+'!C92="","",'Plan+'!C92)</f>
        <v/>
      </c>
      <c r="D92" s="3" t="str">
        <f>IF(C92="","",'Plate organization+'!$B$42)</f>
        <v/>
      </c>
      <c r="E92" t="str">
        <f>'Plan+'!G92</f>
        <v>Destination_Plate_1</v>
      </c>
      <c r="F92" s="3" t="str">
        <f>'Plate organization+'!$A$13</f>
        <v>mtp_source</v>
      </c>
    </row>
    <row r="93" spans="1:6" x14ac:dyDescent="0.25">
      <c r="A93" s="3" t="str">
        <f>IF(C93="","",VLOOKUP(C93,Source_Plate!$I$2:$J$97,2,FALSE))</f>
        <v/>
      </c>
      <c r="B93" s="3" t="str">
        <f>IF(C93="","",'Plan+'!F93)</f>
        <v/>
      </c>
      <c r="C93" s="32" t="str">
        <f>IF('Plan+'!C93="","",'Plan+'!C93)</f>
        <v/>
      </c>
      <c r="D93" s="3" t="str">
        <f>IF(C93="","",'Plate organization+'!$B$42)</f>
        <v/>
      </c>
      <c r="E93" t="str">
        <f>'Plan+'!G93</f>
        <v>Destination_Plate_1</v>
      </c>
      <c r="F93" s="3" t="str">
        <f>'Plate organization+'!$A$13</f>
        <v>mtp_source</v>
      </c>
    </row>
    <row r="94" spans="1:6" x14ac:dyDescent="0.25">
      <c r="A94" s="3" t="str">
        <f>IF(C94="","",VLOOKUP(C94,Source_Plate!$I$2:$J$97,2,FALSE))</f>
        <v/>
      </c>
      <c r="B94" s="3" t="str">
        <f>IF(C94="","",'Plan+'!F94)</f>
        <v/>
      </c>
      <c r="C94" s="32" t="str">
        <f>IF('Plan+'!C94="","",'Plan+'!C94)</f>
        <v/>
      </c>
      <c r="D94" s="3" t="str">
        <f>IF(C94="","",'Plate organization+'!$B$42)</f>
        <v/>
      </c>
      <c r="E94" t="str">
        <f>'Plan+'!G94</f>
        <v>Destination_Plate_1</v>
      </c>
      <c r="F94" s="3" t="str">
        <f>'Plate organization+'!$A$13</f>
        <v>mtp_source</v>
      </c>
    </row>
    <row r="95" spans="1:6" x14ac:dyDescent="0.25">
      <c r="A95" s="3" t="str">
        <f>IF(C95="","",VLOOKUP(C95,Source_Plate!$I$2:$J$97,2,FALSE))</f>
        <v/>
      </c>
      <c r="B95" s="3" t="str">
        <f>IF(C95="","",'Plan+'!F95)</f>
        <v/>
      </c>
      <c r="C95" s="32" t="str">
        <f>IF('Plan+'!C95="","",'Plan+'!C95)</f>
        <v/>
      </c>
      <c r="D95" s="3" t="str">
        <f>IF(C95="","",'Plate organization+'!$B$42)</f>
        <v/>
      </c>
      <c r="E95" t="str">
        <f>'Plan+'!G95</f>
        <v>Destination_Plate_1</v>
      </c>
      <c r="F95" s="3" t="str">
        <f>'Plate organization+'!$A$13</f>
        <v>mtp_source</v>
      </c>
    </row>
    <row r="96" spans="1:6" x14ac:dyDescent="0.25">
      <c r="A96" s="3" t="str">
        <f>IF(C96="","",VLOOKUP(C96,Source_Plate!$I$2:$J$97,2,FALSE))</f>
        <v/>
      </c>
      <c r="B96" s="3" t="str">
        <f>IF(C96="","",'Plan+'!F96)</f>
        <v/>
      </c>
      <c r="C96" s="32" t="str">
        <f>IF('Plan+'!C96="","",'Plan+'!C96)</f>
        <v/>
      </c>
      <c r="D96" s="3" t="str">
        <f>IF(C96="","",'Plate organization+'!$B$42)</f>
        <v/>
      </c>
      <c r="E96" t="str">
        <f>'Plan+'!G96</f>
        <v>Destination_Plate_1</v>
      </c>
      <c r="F96" s="3" t="str">
        <f>'Plate organization+'!$A$13</f>
        <v>mtp_source</v>
      </c>
    </row>
    <row r="97" spans="1:6" x14ac:dyDescent="0.25">
      <c r="A97" s="3" t="str">
        <f>IF(C97="","",VLOOKUP(C97,Source_Plate!$I$2:$J$97,2,FALSE))</f>
        <v/>
      </c>
      <c r="B97" s="3" t="str">
        <f>IF(C97="","",'Plan+'!F97)</f>
        <v/>
      </c>
      <c r="C97" s="32" t="str">
        <f>IF('Plan+'!C97="","",'Plan+'!C97)</f>
        <v/>
      </c>
      <c r="D97" s="3" t="str">
        <f>IF(C97="","",'Plate organization+'!$B$42)</f>
        <v/>
      </c>
      <c r="E97" t="str">
        <f>'Plan+'!G97</f>
        <v>Destination_Plate_1</v>
      </c>
      <c r="F97" s="3" t="str">
        <f>'Plate organization+'!$A$13</f>
        <v>mtp_source</v>
      </c>
    </row>
    <row r="98" spans="1:6" x14ac:dyDescent="0.25">
      <c r="A98" s="3"/>
      <c r="B98" s="7">
        <f>COUNTA(B2:B97)</f>
        <v>96</v>
      </c>
      <c r="C98" s="3"/>
      <c r="D98"/>
    </row>
    <row r="99" spans="1:6" x14ac:dyDescent="0.25">
      <c r="B99"/>
      <c r="C99" s="3"/>
      <c r="D99"/>
    </row>
    <row r="100" spans="1:6" x14ac:dyDescent="0.25">
      <c r="B100"/>
      <c r="C100" s="3"/>
      <c r="D100"/>
    </row>
    <row r="101" spans="1:6" x14ac:dyDescent="0.25">
      <c r="B101"/>
      <c r="C101" s="3"/>
      <c r="D10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"/>
  <sheetViews>
    <sheetView workbookViewId="0">
      <selection activeCell="H29" sqref="H29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0" bestFit="1" customWidth="1"/>
    <col min="4" max="4" width="11.42578125" style="3"/>
    <col min="5" max="5" width="19" bestFit="1" customWidth="1"/>
    <col min="6" max="6" width="17.5703125" style="3" customWidth="1"/>
  </cols>
  <sheetData>
    <row r="1" spans="1:6" x14ac:dyDescent="0.25">
      <c r="A1" s="4" t="s">
        <v>66</v>
      </c>
      <c r="B1" s="4" t="s">
        <v>68</v>
      </c>
      <c r="C1" s="4" t="s">
        <v>135</v>
      </c>
      <c r="D1" s="4" t="s">
        <v>67</v>
      </c>
      <c r="E1" s="4" t="s">
        <v>109</v>
      </c>
      <c r="F1" s="4" t="s">
        <v>132</v>
      </c>
    </row>
    <row r="2" spans="1:6" x14ac:dyDescent="0.25">
      <c r="A2" s="3" t="str">
        <f>IF(C2="","",VLOOKUP(C2,Source_Plate!$A$2:$B$97,2,FALSE))</f>
        <v>A03</v>
      </c>
      <c r="B2" s="3" t="str">
        <f>IF(C2="","",'Plan+'!F2)</f>
        <v>A01</v>
      </c>
      <c r="C2" s="32" t="str">
        <f>IF('Plan+'!D2="","",'Plan+'!D2)</f>
        <v>Mastermix1</v>
      </c>
      <c r="D2" s="3">
        <f>IF(C2="","",'Plate organization+'!$B$40)</f>
        <v>40</v>
      </c>
      <c r="E2" t="str">
        <f>'Plan+'!G2</f>
        <v>Destination_Plate_1</v>
      </c>
      <c r="F2" s="3" t="str">
        <f>'Plate organization+'!$A$13</f>
        <v>mtp_source</v>
      </c>
    </row>
    <row r="3" spans="1:6" x14ac:dyDescent="0.25">
      <c r="A3" s="3" t="str">
        <f>IF(C3="","",VLOOKUP(C3,Source_Plate!$A$2:$B$97,2,FALSE))</f>
        <v>A03</v>
      </c>
      <c r="B3" s="3" t="str">
        <f>IF(C3="","",'Plan+'!F3)</f>
        <v>B01</v>
      </c>
      <c r="C3" s="32" t="str">
        <f>IF('Plan+'!D3="","",'Plan+'!D3)</f>
        <v>Mastermix1</v>
      </c>
      <c r="D3" s="3">
        <f>IF(C3="","",'Plate organization+'!$B$40)</f>
        <v>40</v>
      </c>
      <c r="E3" t="str">
        <f>'Plan+'!G3</f>
        <v>Destination_Plate_1</v>
      </c>
      <c r="F3" s="3" t="str">
        <f>'Plate organization+'!$A$13</f>
        <v>mtp_source</v>
      </c>
    </row>
    <row r="4" spans="1:6" x14ac:dyDescent="0.25">
      <c r="A4" s="3" t="str">
        <f>IF(C4="","",VLOOKUP(C4,Source_Plate!$A$2:$B$97,2,FALSE))</f>
        <v/>
      </c>
      <c r="B4" s="3" t="str">
        <f>IF(C4="","",'Plan+'!F4)</f>
        <v/>
      </c>
      <c r="C4" s="32" t="str">
        <f>IF('Plan+'!D4="","",'Plan+'!D4)</f>
        <v/>
      </c>
      <c r="D4" s="3" t="str">
        <f>IF(C4="","",'Plate organization+'!$B$40)</f>
        <v/>
      </c>
      <c r="E4" t="str">
        <f>'Plan+'!G4</f>
        <v>Destination_Plate_1</v>
      </c>
      <c r="F4" s="3" t="str">
        <f>'Plate organization+'!$A$13</f>
        <v>mtp_source</v>
      </c>
    </row>
    <row r="5" spans="1:6" x14ac:dyDescent="0.25">
      <c r="A5" s="3" t="str">
        <f>IF(C5="","",VLOOKUP(C5,Source_Plate!$A$2:$B$97,2,FALSE))</f>
        <v/>
      </c>
      <c r="B5" s="3" t="str">
        <f>IF(C5="","",'Plan+'!F5)</f>
        <v/>
      </c>
      <c r="C5" s="32" t="str">
        <f>IF('Plan+'!D5="","",'Plan+'!D5)</f>
        <v/>
      </c>
      <c r="D5" s="3" t="str">
        <f>IF(C5="","",'Plate organization+'!$B$40)</f>
        <v/>
      </c>
      <c r="E5" t="str">
        <f>'Plan+'!G5</f>
        <v>Destination_Plate_1</v>
      </c>
      <c r="F5" s="3" t="str">
        <f>'Plate organization+'!$A$13</f>
        <v>mtp_source</v>
      </c>
    </row>
    <row r="6" spans="1:6" x14ac:dyDescent="0.25">
      <c r="A6" s="3" t="str">
        <f>IF(C6="","",VLOOKUP(C6,Source_Plate!$A$2:$B$97,2,FALSE))</f>
        <v/>
      </c>
      <c r="B6" s="3" t="str">
        <f>IF(C6="","",'Plan+'!F6)</f>
        <v/>
      </c>
      <c r="C6" s="32" t="str">
        <f>IF('Plan+'!D6="","",'Plan+'!D6)</f>
        <v/>
      </c>
      <c r="D6" s="3" t="str">
        <f>IF(C6="","",'Plate organization+'!$B$40)</f>
        <v/>
      </c>
      <c r="E6" t="str">
        <f>'Plan+'!G6</f>
        <v>Destination_Plate_1</v>
      </c>
      <c r="F6" s="3" t="str">
        <f>'Plate organization+'!$A$13</f>
        <v>mtp_source</v>
      </c>
    </row>
    <row r="7" spans="1:6" x14ac:dyDescent="0.25">
      <c r="A7" s="3" t="str">
        <f>IF(C7="","",VLOOKUP(C7,Source_Plate!$A$2:$B$97,2,FALSE))</f>
        <v/>
      </c>
      <c r="B7" s="3" t="str">
        <f>IF(C7="","",'Plan+'!F7)</f>
        <v/>
      </c>
      <c r="C7" s="32" t="str">
        <f>IF('Plan+'!D7="","",'Plan+'!D7)</f>
        <v/>
      </c>
      <c r="D7" s="3" t="str">
        <f>IF(C7="","",'Plate organization+'!$B$40)</f>
        <v/>
      </c>
      <c r="E7" t="str">
        <f>'Plan+'!G7</f>
        <v>Destination_Plate_1</v>
      </c>
      <c r="F7" s="3" t="str">
        <f>'Plate organization+'!$A$13</f>
        <v>mtp_source</v>
      </c>
    </row>
    <row r="8" spans="1:6" x14ac:dyDescent="0.25">
      <c r="A8" s="3" t="str">
        <f>IF(C8="","",VLOOKUP(C8,Source_Plate!$A$2:$B$97,2,FALSE))</f>
        <v/>
      </c>
      <c r="B8" s="3" t="str">
        <f>IF(C8="","",'Plan+'!F8)</f>
        <v/>
      </c>
      <c r="C8" s="32" t="str">
        <f>IF('Plan+'!D8="","",'Plan+'!D8)</f>
        <v/>
      </c>
      <c r="D8" s="3" t="str">
        <f>IF(C8="","",'Plate organization+'!$B$40)</f>
        <v/>
      </c>
      <c r="E8" t="str">
        <f>'Plan+'!G8</f>
        <v>Destination_Plate_1</v>
      </c>
      <c r="F8" s="3" t="str">
        <f>'Plate organization+'!$A$13</f>
        <v>mtp_source</v>
      </c>
    </row>
    <row r="9" spans="1:6" x14ac:dyDescent="0.25">
      <c r="A9" s="3" t="str">
        <f>IF(C9="","",VLOOKUP(C9,Source_Plate!$A$2:$B$97,2,FALSE))</f>
        <v/>
      </c>
      <c r="B9" s="3" t="str">
        <f>IF(C9="","",'Plan+'!F9)</f>
        <v/>
      </c>
      <c r="C9" s="32" t="str">
        <f>IF('Plan+'!D9="","",'Plan+'!D9)</f>
        <v/>
      </c>
      <c r="D9" s="3" t="str">
        <f>IF(C9="","",'Plate organization+'!$B$40)</f>
        <v/>
      </c>
      <c r="E9" t="str">
        <f>'Plan+'!G9</f>
        <v>Destination_Plate_1</v>
      </c>
      <c r="F9" s="3" t="str">
        <f>'Plate organization+'!$A$13</f>
        <v>mtp_source</v>
      </c>
    </row>
    <row r="10" spans="1:6" x14ac:dyDescent="0.25">
      <c r="A10" s="3" t="str">
        <f>IF(C10="","",VLOOKUP(C10,Source_Plate!$A$2:$B$97,2,FALSE))</f>
        <v/>
      </c>
      <c r="B10" s="3" t="str">
        <f>IF(C10="","",'Plan+'!F10)</f>
        <v/>
      </c>
      <c r="C10" s="32" t="str">
        <f>IF('Plan+'!D10="","",'Plan+'!D10)</f>
        <v/>
      </c>
      <c r="D10" s="3" t="str">
        <f>IF(C10="","",'Plate organization+'!$B$40)</f>
        <v/>
      </c>
      <c r="E10" t="str">
        <f>'Plan+'!G10</f>
        <v>Destination_Plate_1</v>
      </c>
      <c r="F10" s="3" t="str">
        <f>'Plate organization+'!$A$13</f>
        <v>mtp_source</v>
      </c>
    </row>
    <row r="11" spans="1:6" x14ac:dyDescent="0.25">
      <c r="A11" s="3" t="str">
        <f>IF(C11="","",VLOOKUP(C11,Source_Plate!$A$2:$B$97,2,FALSE))</f>
        <v/>
      </c>
      <c r="B11" s="3" t="str">
        <f>IF(C11="","",'Plan+'!F11)</f>
        <v/>
      </c>
      <c r="C11" s="32" t="str">
        <f>IF('Plan+'!D11="","",'Plan+'!D11)</f>
        <v/>
      </c>
      <c r="D11" s="3" t="str">
        <f>IF(C11="","",'Plate organization+'!$B$40)</f>
        <v/>
      </c>
      <c r="E11" t="str">
        <f>'Plan+'!G11</f>
        <v>Destination_Plate_1</v>
      </c>
      <c r="F11" s="3" t="str">
        <f>'Plate organization+'!$A$13</f>
        <v>mtp_source</v>
      </c>
    </row>
    <row r="12" spans="1:6" x14ac:dyDescent="0.25">
      <c r="A12" s="3" t="str">
        <f>IF(C12="","",VLOOKUP(C12,Source_Plate!$A$2:$B$97,2,FALSE))</f>
        <v/>
      </c>
      <c r="B12" s="3" t="str">
        <f>IF(C12="","",'Plan+'!F12)</f>
        <v/>
      </c>
      <c r="C12" s="32" t="str">
        <f>IF('Plan+'!D12="","",'Plan+'!D12)</f>
        <v/>
      </c>
      <c r="D12" s="3" t="str">
        <f>IF(C12="","",'Plate organization+'!$B$40)</f>
        <v/>
      </c>
      <c r="E12" t="str">
        <f>'Plan+'!G12</f>
        <v>Destination_Plate_1</v>
      </c>
      <c r="F12" s="3" t="str">
        <f>'Plate organization+'!$A$13</f>
        <v>mtp_source</v>
      </c>
    </row>
    <row r="13" spans="1:6" x14ac:dyDescent="0.25">
      <c r="A13" s="3" t="str">
        <f>IF(C13="","",VLOOKUP(C13,Source_Plate!$A$2:$B$97,2,FALSE))</f>
        <v/>
      </c>
      <c r="B13" s="3" t="str">
        <f>IF(C13="","",'Plan+'!F13)</f>
        <v/>
      </c>
      <c r="C13" s="32" t="str">
        <f>IF('Plan+'!D13="","",'Plan+'!D13)</f>
        <v/>
      </c>
      <c r="D13" s="3" t="str">
        <f>IF(C13="","",'Plate organization+'!$B$40)</f>
        <v/>
      </c>
      <c r="E13" t="str">
        <f>'Plan+'!G13</f>
        <v>Destination_Plate_1</v>
      </c>
      <c r="F13" s="3" t="str">
        <f>'Plate organization+'!$A$13</f>
        <v>mtp_source</v>
      </c>
    </row>
    <row r="14" spans="1:6" x14ac:dyDescent="0.25">
      <c r="A14" s="3" t="str">
        <f>IF(C14="","",VLOOKUP(C14,Source_Plate!$A$2:$B$97,2,FALSE))</f>
        <v/>
      </c>
      <c r="B14" s="3" t="str">
        <f>IF(C14="","",'Plan+'!F14)</f>
        <v/>
      </c>
      <c r="C14" s="32" t="str">
        <f>IF('Plan+'!D14="","",'Plan+'!D14)</f>
        <v/>
      </c>
      <c r="D14" s="3" t="str">
        <f>IF(C14="","",'Plate organization+'!$B$40)</f>
        <v/>
      </c>
      <c r="E14" t="str">
        <f>'Plan+'!G14</f>
        <v>Destination_Plate_1</v>
      </c>
      <c r="F14" s="3" t="str">
        <f>'Plate organization+'!$A$13</f>
        <v>mtp_source</v>
      </c>
    </row>
    <row r="15" spans="1:6" x14ac:dyDescent="0.25">
      <c r="A15" s="3" t="str">
        <f>IF(C15="","",VLOOKUP(C15,Source_Plate!$A$2:$B$97,2,FALSE))</f>
        <v/>
      </c>
      <c r="B15" s="3" t="str">
        <f>IF(C15="","",'Plan+'!F15)</f>
        <v/>
      </c>
      <c r="C15" s="32" t="str">
        <f>IF('Plan+'!D15="","",'Plan+'!D15)</f>
        <v/>
      </c>
      <c r="D15" s="3" t="str">
        <f>IF(C15="","",'Plate organization+'!$B$40)</f>
        <v/>
      </c>
      <c r="E15" t="str">
        <f>'Plan+'!G15</f>
        <v>Destination_Plate_1</v>
      </c>
      <c r="F15" s="3" t="str">
        <f>'Plate organization+'!$A$13</f>
        <v>mtp_source</v>
      </c>
    </row>
    <row r="16" spans="1:6" x14ac:dyDescent="0.25">
      <c r="A16" s="3" t="str">
        <f>IF(C16="","",VLOOKUP(C16,Source_Plate!$A$2:$B$97,2,FALSE))</f>
        <v/>
      </c>
      <c r="B16" s="3" t="str">
        <f>IF(C16="","",'Plan+'!F16)</f>
        <v/>
      </c>
      <c r="C16" s="32" t="str">
        <f>IF('Plan+'!D16="","",'Plan+'!D16)</f>
        <v/>
      </c>
      <c r="D16" s="3" t="str">
        <f>IF(C16="","",'Plate organization+'!$B$40)</f>
        <v/>
      </c>
      <c r="E16" t="str">
        <f>'Plan+'!G16</f>
        <v>Destination_Plate_1</v>
      </c>
      <c r="F16" s="3" t="str">
        <f>'Plate organization+'!$A$13</f>
        <v>mtp_source</v>
      </c>
    </row>
    <row r="17" spans="1:6" x14ac:dyDescent="0.25">
      <c r="A17" s="3" t="str">
        <f>IF(C17="","",VLOOKUP(C17,Source_Plate!$A$2:$B$97,2,FALSE))</f>
        <v/>
      </c>
      <c r="B17" s="3" t="str">
        <f>IF(C17="","",'Plan+'!F17)</f>
        <v/>
      </c>
      <c r="C17" s="32" t="str">
        <f>IF('Plan+'!D17="","",'Plan+'!D17)</f>
        <v/>
      </c>
      <c r="D17" s="3" t="str">
        <f>IF(C17="","",'Plate organization+'!$B$40)</f>
        <v/>
      </c>
      <c r="E17" t="str">
        <f>'Plan+'!G17</f>
        <v>Destination_Plate_1</v>
      </c>
      <c r="F17" s="3" t="str">
        <f>'Plate organization+'!$A$13</f>
        <v>mtp_source</v>
      </c>
    </row>
    <row r="18" spans="1:6" x14ac:dyDescent="0.25">
      <c r="A18" s="3" t="str">
        <f>IF(C18="","",VLOOKUP(C18,Source_Plate!$A$2:$B$97,2,FALSE))</f>
        <v/>
      </c>
      <c r="B18" s="3" t="str">
        <f>IF(C18="","",'Plan+'!F18)</f>
        <v/>
      </c>
      <c r="C18" s="32" t="str">
        <f>IF('Plan+'!D18="","",'Plan+'!D18)</f>
        <v/>
      </c>
      <c r="D18" s="3" t="str">
        <f>IF(C18="","",'Plate organization+'!$B$40)</f>
        <v/>
      </c>
      <c r="E18" t="str">
        <f>'Plan+'!G18</f>
        <v>Destination_Plate_1</v>
      </c>
      <c r="F18" s="3" t="str">
        <f>'Plate organization+'!$A$13</f>
        <v>mtp_source</v>
      </c>
    </row>
    <row r="19" spans="1:6" x14ac:dyDescent="0.25">
      <c r="A19" s="3" t="str">
        <f>IF(C19="","",VLOOKUP(C19,Source_Plate!$A$2:$B$97,2,FALSE))</f>
        <v/>
      </c>
      <c r="B19" s="3" t="str">
        <f>IF(C19="","",'Plan+'!F19)</f>
        <v/>
      </c>
      <c r="C19" s="32" t="str">
        <f>IF('Plan+'!D19="","",'Plan+'!D19)</f>
        <v/>
      </c>
      <c r="D19" s="3" t="str">
        <f>IF(C19="","",'Plate organization+'!$B$40)</f>
        <v/>
      </c>
      <c r="E19" t="str">
        <f>'Plan+'!G19</f>
        <v>Destination_Plate_1</v>
      </c>
      <c r="F19" s="3" t="str">
        <f>'Plate organization+'!$A$13</f>
        <v>mtp_source</v>
      </c>
    </row>
    <row r="20" spans="1:6" x14ac:dyDescent="0.25">
      <c r="A20" s="3" t="str">
        <f>IF(C20="","",VLOOKUP(C20,Source_Plate!$A$2:$B$97,2,FALSE))</f>
        <v/>
      </c>
      <c r="B20" s="3" t="str">
        <f>IF(C20="","",'Plan+'!F20)</f>
        <v/>
      </c>
      <c r="C20" s="32" t="str">
        <f>IF('Plan+'!D20="","",'Plan+'!D20)</f>
        <v/>
      </c>
      <c r="D20" s="3" t="str">
        <f>IF(C20="","",'Plate organization+'!$B$40)</f>
        <v/>
      </c>
      <c r="E20" t="str">
        <f>'Plan+'!G20</f>
        <v>Destination_Plate_1</v>
      </c>
      <c r="F20" s="3" t="str">
        <f>'Plate organization+'!$A$13</f>
        <v>mtp_source</v>
      </c>
    </row>
    <row r="21" spans="1:6" x14ac:dyDescent="0.25">
      <c r="A21" s="3" t="str">
        <f>IF(C21="","",VLOOKUP(C21,Source_Plate!$A$2:$B$97,2,FALSE))</f>
        <v/>
      </c>
      <c r="B21" s="3" t="str">
        <f>IF(C21="","",'Plan+'!F21)</f>
        <v/>
      </c>
      <c r="C21" s="32" t="str">
        <f>IF('Plan+'!D21="","",'Plan+'!D21)</f>
        <v/>
      </c>
      <c r="D21" s="3" t="str">
        <f>IF(C21="","",'Plate organization+'!$B$40)</f>
        <v/>
      </c>
      <c r="E21" t="str">
        <f>'Plan+'!G21</f>
        <v>Destination_Plate_1</v>
      </c>
      <c r="F21" s="3" t="str">
        <f>'Plate organization+'!$A$13</f>
        <v>mtp_source</v>
      </c>
    </row>
    <row r="22" spans="1:6" x14ac:dyDescent="0.25">
      <c r="A22" s="3" t="str">
        <f>IF(C22="","",VLOOKUP(C22,Source_Plate!$A$2:$B$97,2,FALSE))</f>
        <v/>
      </c>
      <c r="B22" s="3" t="str">
        <f>IF(C22="","",'Plan+'!F22)</f>
        <v/>
      </c>
      <c r="C22" s="32" t="str">
        <f>IF('Plan+'!D22="","",'Plan+'!D22)</f>
        <v/>
      </c>
      <c r="D22" s="3" t="str">
        <f>IF(C22="","",'Plate organization+'!$B$40)</f>
        <v/>
      </c>
      <c r="E22" t="str">
        <f>'Plan+'!G22</f>
        <v>Destination_Plate_1</v>
      </c>
      <c r="F22" s="3" t="str">
        <f>'Plate organization+'!$A$13</f>
        <v>mtp_source</v>
      </c>
    </row>
    <row r="23" spans="1:6" x14ac:dyDescent="0.25">
      <c r="A23" s="3" t="str">
        <f>IF(C23="","",VLOOKUP(C23,Source_Plate!$A$2:$B$97,2,FALSE))</f>
        <v/>
      </c>
      <c r="B23" s="3" t="str">
        <f>IF(C23="","",'Plan+'!F23)</f>
        <v/>
      </c>
      <c r="C23" s="32" t="str">
        <f>IF('Plan+'!D23="","",'Plan+'!D23)</f>
        <v/>
      </c>
      <c r="D23" s="3" t="str">
        <f>IF(C23="","",'Plate organization+'!$B$40)</f>
        <v/>
      </c>
      <c r="E23" t="str">
        <f>'Plan+'!G23</f>
        <v>Destination_Plate_1</v>
      </c>
      <c r="F23" s="3" t="str">
        <f>'Plate organization+'!$A$13</f>
        <v>mtp_source</v>
      </c>
    </row>
    <row r="24" spans="1:6" x14ac:dyDescent="0.25">
      <c r="A24" s="3" t="str">
        <f>IF(C24="","",VLOOKUP(C24,Source_Plate!$A$2:$B$97,2,FALSE))</f>
        <v/>
      </c>
      <c r="B24" s="3" t="str">
        <f>IF(C24="","",'Plan+'!F24)</f>
        <v/>
      </c>
      <c r="C24" s="32" t="str">
        <f>IF('Plan+'!D24="","",'Plan+'!D24)</f>
        <v/>
      </c>
      <c r="D24" s="3" t="str">
        <f>IF(C24="","",'Plate organization+'!$B$40)</f>
        <v/>
      </c>
      <c r="E24" t="str">
        <f>'Plan+'!G24</f>
        <v>Destination_Plate_1</v>
      </c>
      <c r="F24" s="3" t="str">
        <f>'Plate organization+'!$A$13</f>
        <v>mtp_source</v>
      </c>
    </row>
    <row r="25" spans="1:6" x14ac:dyDescent="0.25">
      <c r="A25" s="3" t="str">
        <f>IF(C25="","",VLOOKUP(C25,Source_Plate!$A$2:$B$97,2,FALSE))</f>
        <v/>
      </c>
      <c r="B25" s="3" t="str">
        <f>IF(C25="","",'Plan+'!F25)</f>
        <v/>
      </c>
      <c r="C25" s="32" t="str">
        <f>IF('Plan+'!D25="","",'Plan+'!D25)</f>
        <v/>
      </c>
      <c r="D25" s="3" t="str">
        <f>IF(C25="","",'Plate organization+'!$B$40)</f>
        <v/>
      </c>
      <c r="E25" t="str">
        <f>'Plan+'!G25</f>
        <v>Destination_Plate_1</v>
      </c>
      <c r="F25" s="3" t="str">
        <f>'Plate organization+'!$A$13</f>
        <v>mtp_source</v>
      </c>
    </row>
    <row r="26" spans="1:6" x14ac:dyDescent="0.25">
      <c r="A26" s="3" t="str">
        <f>IF(C26="","",VLOOKUP(C26,Source_Plate!$A$2:$B$97,2,FALSE))</f>
        <v/>
      </c>
      <c r="B26" s="3" t="str">
        <f>IF(C26="","",'Plan+'!F26)</f>
        <v/>
      </c>
      <c r="C26" s="32" t="str">
        <f>IF('Plan+'!D26="","",'Plan+'!D26)</f>
        <v/>
      </c>
      <c r="D26" s="3" t="str">
        <f>IF(C26="","",'Plate organization+'!$B$40)</f>
        <v/>
      </c>
      <c r="E26" t="str">
        <f>'Plan+'!G26</f>
        <v>Destination_Plate_1</v>
      </c>
      <c r="F26" s="3" t="str">
        <f>'Plate organization+'!$A$13</f>
        <v>mtp_source</v>
      </c>
    </row>
    <row r="27" spans="1:6" x14ac:dyDescent="0.25">
      <c r="A27" s="3" t="str">
        <f>IF(C27="","",VLOOKUP(C27,Source_Plate!$A$2:$B$97,2,FALSE))</f>
        <v/>
      </c>
      <c r="B27" s="3" t="str">
        <f>IF(C27="","",'Plan+'!F27)</f>
        <v/>
      </c>
      <c r="C27" s="32" t="str">
        <f>IF('Plan+'!D27="","",'Plan+'!D27)</f>
        <v/>
      </c>
      <c r="D27" s="3" t="str">
        <f>IF(C27="","",'Plate organization+'!$B$40)</f>
        <v/>
      </c>
      <c r="E27" t="str">
        <f>'Plan+'!G27</f>
        <v>Destination_Plate_1</v>
      </c>
      <c r="F27" s="3" t="str">
        <f>'Plate organization+'!$A$13</f>
        <v>mtp_source</v>
      </c>
    </row>
    <row r="28" spans="1:6" x14ac:dyDescent="0.25">
      <c r="A28" s="3" t="str">
        <f>IF(C28="","",VLOOKUP(C28,Source_Plate!$A$2:$B$97,2,FALSE))</f>
        <v/>
      </c>
      <c r="B28" s="3" t="str">
        <f>IF(C28="","",'Plan+'!F28)</f>
        <v/>
      </c>
      <c r="C28" s="32" t="str">
        <f>IF('Plan+'!D28="","",'Plan+'!D28)</f>
        <v/>
      </c>
      <c r="D28" s="3" t="str">
        <f>IF(C28="","",'Plate organization+'!$B$40)</f>
        <v/>
      </c>
      <c r="E28" t="str">
        <f>'Plan+'!G28</f>
        <v>Destination_Plate_1</v>
      </c>
      <c r="F28" s="3" t="str">
        <f>'Plate organization+'!$A$13</f>
        <v>mtp_source</v>
      </c>
    </row>
    <row r="29" spans="1:6" x14ac:dyDescent="0.25">
      <c r="A29" s="3" t="str">
        <f>IF(C29="","",VLOOKUP(C29,Source_Plate!$A$2:$B$97,2,FALSE))</f>
        <v/>
      </c>
      <c r="B29" s="3" t="str">
        <f>IF(C29="","",'Plan+'!F29)</f>
        <v/>
      </c>
      <c r="C29" s="32" t="str">
        <f>IF('Plan+'!D29="","",'Plan+'!D29)</f>
        <v/>
      </c>
      <c r="D29" s="3" t="str">
        <f>IF(C29="","",'Plate organization+'!$B$40)</f>
        <v/>
      </c>
      <c r="E29" t="str">
        <f>'Plan+'!G29</f>
        <v>Destination_Plate_1</v>
      </c>
      <c r="F29" s="3" t="str">
        <f>'Plate organization+'!$A$13</f>
        <v>mtp_source</v>
      </c>
    </row>
    <row r="30" spans="1:6" x14ac:dyDescent="0.25">
      <c r="A30" s="3" t="str">
        <f>IF(C30="","",VLOOKUP(C30,Source_Plate!$A$2:$B$97,2,FALSE))</f>
        <v/>
      </c>
      <c r="B30" s="3" t="str">
        <f>IF(C30="","",'Plan+'!F30)</f>
        <v/>
      </c>
      <c r="C30" s="32" t="str">
        <f>IF('Plan+'!D30="","",'Plan+'!D30)</f>
        <v/>
      </c>
      <c r="D30" s="3" t="str">
        <f>IF(C30="","",'Plate organization+'!$B$40)</f>
        <v/>
      </c>
      <c r="E30" t="str">
        <f>'Plan+'!G30</f>
        <v>Destination_Plate_1</v>
      </c>
      <c r="F30" s="3" t="str">
        <f>'Plate organization+'!$A$13</f>
        <v>mtp_source</v>
      </c>
    </row>
    <row r="31" spans="1:6" x14ac:dyDescent="0.25">
      <c r="A31" s="3" t="str">
        <f>IF(C31="","",VLOOKUP(C31,Source_Plate!$A$2:$B$97,2,FALSE))</f>
        <v/>
      </c>
      <c r="B31" s="3" t="str">
        <f>IF(C31="","",'Plan+'!F31)</f>
        <v/>
      </c>
      <c r="C31" s="32" t="str">
        <f>IF('Plan+'!D31="","",'Plan+'!D31)</f>
        <v/>
      </c>
      <c r="D31" s="3" t="str">
        <f>IF(C31="","",'Plate organization+'!$B$40)</f>
        <v/>
      </c>
      <c r="E31" t="str">
        <f>'Plan+'!G31</f>
        <v>Destination_Plate_1</v>
      </c>
      <c r="F31" s="3" t="str">
        <f>'Plate organization+'!$A$13</f>
        <v>mtp_source</v>
      </c>
    </row>
    <row r="32" spans="1:6" x14ac:dyDescent="0.25">
      <c r="A32" s="3" t="str">
        <f>IF(C32="","",VLOOKUP(C32,Source_Plate!$A$2:$B$97,2,FALSE))</f>
        <v/>
      </c>
      <c r="B32" s="3" t="str">
        <f>IF(C32="","",'Plan+'!F32)</f>
        <v/>
      </c>
      <c r="C32" s="32" t="str">
        <f>IF('Plan+'!D32="","",'Plan+'!D32)</f>
        <v/>
      </c>
      <c r="D32" s="3" t="str">
        <f>IF(C32="","",'Plate organization+'!$B$40)</f>
        <v/>
      </c>
      <c r="E32" t="str">
        <f>'Plan+'!G32</f>
        <v>Destination_Plate_1</v>
      </c>
      <c r="F32" s="3" t="str">
        <f>'Plate organization+'!$A$13</f>
        <v>mtp_source</v>
      </c>
    </row>
    <row r="33" spans="1:6" x14ac:dyDescent="0.25">
      <c r="A33" s="3" t="str">
        <f>IF(C33="","",VLOOKUP(C33,Source_Plate!$A$2:$B$97,2,FALSE))</f>
        <v/>
      </c>
      <c r="B33" s="3" t="str">
        <f>IF(C33="","",'Plan+'!F33)</f>
        <v/>
      </c>
      <c r="C33" s="32" t="str">
        <f>IF('Plan+'!D33="","",'Plan+'!D33)</f>
        <v/>
      </c>
      <c r="D33" s="3" t="str">
        <f>IF(C33="","",'Plate organization+'!$B$40)</f>
        <v/>
      </c>
      <c r="E33" t="str">
        <f>'Plan+'!G33</f>
        <v>Destination_Plate_1</v>
      </c>
      <c r="F33" s="3" t="str">
        <f>'Plate organization+'!$A$13</f>
        <v>mtp_source</v>
      </c>
    </row>
    <row r="34" spans="1:6" x14ac:dyDescent="0.25">
      <c r="A34" s="3" t="str">
        <f>IF(C34="","",VLOOKUP(C34,Source_Plate!$A$2:$B$97,2,FALSE))</f>
        <v/>
      </c>
      <c r="B34" s="3" t="str">
        <f>IF(C34="","",'Plan+'!F34)</f>
        <v/>
      </c>
      <c r="C34" s="32" t="str">
        <f>IF('Plan+'!D34="","",'Plan+'!D34)</f>
        <v/>
      </c>
      <c r="D34" s="3" t="str">
        <f>IF(C34="","",'Plate organization+'!$B$40)</f>
        <v/>
      </c>
      <c r="E34" t="str">
        <f>'Plan+'!G34</f>
        <v>Destination_Plate_1</v>
      </c>
      <c r="F34" s="3" t="str">
        <f>'Plate organization+'!$A$13</f>
        <v>mtp_source</v>
      </c>
    </row>
    <row r="35" spans="1:6" x14ac:dyDescent="0.25">
      <c r="A35" s="3" t="str">
        <f>IF(C35="","",VLOOKUP(C35,Source_Plate!$A$2:$B$97,2,FALSE))</f>
        <v/>
      </c>
      <c r="B35" s="3" t="str">
        <f>IF(C35="","",'Plan+'!F35)</f>
        <v/>
      </c>
      <c r="C35" s="32" t="str">
        <f>IF('Plan+'!D35="","",'Plan+'!D35)</f>
        <v/>
      </c>
      <c r="D35" s="3" t="str">
        <f>IF(C35="","",'Plate organization+'!$B$40)</f>
        <v/>
      </c>
      <c r="E35" t="str">
        <f>'Plan+'!G35</f>
        <v>Destination_Plate_1</v>
      </c>
      <c r="F35" s="3" t="str">
        <f>'Plate organization+'!$A$13</f>
        <v>mtp_source</v>
      </c>
    </row>
    <row r="36" spans="1:6" x14ac:dyDescent="0.25">
      <c r="A36" s="3" t="str">
        <f>IF(C36="","",VLOOKUP(C36,Source_Plate!$A$2:$B$97,2,FALSE))</f>
        <v/>
      </c>
      <c r="B36" s="3" t="str">
        <f>IF(C36="","",'Plan+'!F36)</f>
        <v/>
      </c>
      <c r="C36" s="32" t="str">
        <f>IF('Plan+'!D36="","",'Plan+'!D36)</f>
        <v/>
      </c>
      <c r="D36" s="3" t="str">
        <f>IF(C36="","",'Plate organization+'!$B$40)</f>
        <v/>
      </c>
      <c r="E36" t="str">
        <f>'Plan+'!G36</f>
        <v>Destination_Plate_1</v>
      </c>
      <c r="F36" s="3" t="str">
        <f>'Plate organization+'!$A$13</f>
        <v>mtp_source</v>
      </c>
    </row>
    <row r="37" spans="1:6" x14ac:dyDescent="0.25">
      <c r="A37" s="3" t="str">
        <f>IF(C37="","",VLOOKUP(C37,Source_Plate!$A$2:$B$97,2,FALSE))</f>
        <v/>
      </c>
      <c r="B37" s="3" t="str">
        <f>IF(C37="","",'Plan+'!F37)</f>
        <v/>
      </c>
      <c r="C37" s="32" t="str">
        <f>IF('Plan+'!D37="","",'Plan+'!D37)</f>
        <v/>
      </c>
      <c r="D37" s="3" t="str">
        <f>IF(C37="","",'Plate organization+'!$B$40)</f>
        <v/>
      </c>
      <c r="E37" t="str">
        <f>'Plan+'!G37</f>
        <v>Destination_Plate_1</v>
      </c>
      <c r="F37" s="3" t="str">
        <f>'Plate organization+'!$A$13</f>
        <v>mtp_source</v>
      </c>
    </row>
    <row r="38" spans="1:6" x14ac:dyDescent="0.25">
      <c r="A38" s="3" t="str">
        <f>IF(C38="","",VLOOKUP(C38,Source_Plate!$A$2:$B$97,2,FALSE))</f>
        <v/>
      </c>
      <c r="B38" s="3" t="str">
        <f>IF(C38="","",'Plan+'!F38)</f>
        <v/>
      </c>
      <c r="C38" s="32" t="str">
        <f>IF('Plan+'!D38="","",'Plan+'!D38)</f>
        <v/>
      </c>
      <c r="D38" s="3" t="str">
        <f>IF(C38="","",'Plate organization+'!$B$40)</f>
        <v/>
      </c>
      <c r="E38" t="str">
        <f>'Plan+'!G38</f>
        <v>Destination_Plate_1</v>
      </c>
      <c r="F38" s="3" t="str">
        <f>'Plate organization+'!$A$13</f>
        <v>mtp_source</v>
      </c>
    </row>
    <row r="39" spans="1:6" x14ac:dyDescent="0.25">
      <c r="A39" s="3" t="str">
        <f>IF(C39="","",VLOOKUP(C39,Source_Plate!$A$2:$B$97,2,FALSE))</f>
        <v/>
      </c>
      <c r="B39" s="3" t="str">
        <f>IF(C39="","",'Plan+'!F39)</f>
        <v/>
      </c>
      <c r="C39" s="32" t="str">
        <f>IF('Plan+'!D39="","",'Plan+'!D39)</f>
        <v/>
      </c>
      <c r="D39" s="3" t="str">
        <f>IF(C39="","",'Plate organization+'!$B$40)</f>
        <v/>
      </c>
      <c r="E39" t="str">
        <f>'Plan+'!G39</f>
        <v>Destination_Plate_1</v>
      </c>
      <c r="F39" s="3" t="str">
        <f>'Plate organization+'!$A$13</f>
        <v>mtp_source</v>
      </c>
    </row>
    <row r="40" spans="1:6" x14ac:dyDescent="0.25">
      <c r="A40" s="3" t="str">
        <f>IF(C40="","",VLOOKUP(C40,Source_Plate!$A$2:$B$97,2,FALSE))</f>
        <v/>
      </c>
      <c r="B40" s="3" t="str">
        <f>IF(C40="","",'Plan+'!F40)</f>
        <v/>
      </c>
      <c r="C40" s="32" t="str">
        <f>IF('Plan+'!D40="","",'Plan+'!D40)</f>
        <v/>
      </c>
      <c r="D40" s="3" t="str">
        <f>IF(C40="","",'Plate organization+'!$B$40)</f>
        <v/>
      </c>
      <c r="E40" t="str">
        <f>'Plan+'!G40</f>
        <v>Destination_Plate_1</v>
      </c>
      <c r="F40" s="3" t="str">
        <f>'Plate organization+'!$A$13</f>
        <v>mtp_source</v>
      </c>
    </row>
    <row r="41" spans="1:6" x14ac:dyDescent="0.25">
      <c r="A41" s="3" t="str">
        <f>IF(C41="","",VLOOKUP(C41,Source_Plate!$A$2:$B$97,2,FALSE))</f>
        <v/>
      </c>
      <c r="B41" s="3" t="str">
        <f>IF(C41="","",'Plan+'!F41)</f>
        <v/>
      </c>
      <c r="C41" s="32" t="str">
        <f>IF('Plan+'!D41="","",'Plan+'!D41)</f>
        <v/>
      </c>
      <c r="D41" s="3" t="str">
        <f>IF(C41="","",'Plate organization+'!$B$40)</f>
        <v/>
      </c>
      <c r="E41" t="str">
        <f>'Plan+'!G41</f>
        <v>Destination_Plate_1</v>
      </c>
      <c r="F41" s="3" t="str">
        <f>'Plate organization+'!$A$13</f>
        <v>mtp_source</v>
      </c>
    </row>
    <row r="42" spans="1:6" x14ac:dyDescent="0.25">
      <c r="A42" s="3" t="str">
        <f>IF(C42="","",VLOOKUP(C42,Source_Plate!$A$2:$B$97,2,FALSE))</f>
        <v/>
      </c>
      <c r="B42" s="3" t="str">
        <f>IF(C42="","",'Plan+'!F42)</f>
        <v/>
      </c>
      <c r="C42" s="32" t="str">
        <f>IF('Plan+'!D42="","",'Plan+'!D42)</f>
        <v/>
      </c>
      <c r="D42" s="3" t="str">
        <f>IF(C42="","",'Plate organization+'!$B$40)</f>
        <v/>
      </c>
      <c r="E42" t="str">
        <f>'Plan+'!G42</f>
        <v>Destination_Plate_1</v>
      </c>
      <c r="F42" s="3" t="str">
        <f>'Plate organization+'!$A$13</f>
        <v>mtp_source</v>
      </c>
    </row>
    <row r="43" spans="1:6" x14ac:dyDescent="0.25">
      <c r="A43" s="3" t="str">
        <f>IF(C43="","",VLOOKUP(C43,Source_Plate!$A$2:$B$97,2,FALSE))</f>
        <v/>
      </c>
      <c r="B43" s="3" t="str">
        <f>IF(C43="","",'Plan+'!F43)</f>
        <v/>
      </c>
      <c r="C43" s="32" t="str">
        <f>IF('Plan+'!D43="","",'Plan+'!D43)</f>
        <v/>
      </c>
      <c r="D43" s="3" t="str">
        <f>IF(C43="","",'Plate organization+'!$B$40)</f>
        <v/>
      </c>
      <c r="E43" t="str">
        <f>'Plan+'!G43</f>
        <v>Destination_Plate_1</v>
      </c>
      <c r="F43" s="3" t="str">
        <f>'Plate organization+'!$A$13</f>
        <v>mtp_source</v>
      </c>
    </row>
    <row r="44" spans="1:6" x14ac:dyDescent="0.25">
      <c r="A44" s="3" t="str">
        <f>IF(C44="","",VLOOKUP(C44,Source_Plate!$A$2:$B$97,2,FALSE))</f>
        <v/>
      </c>
      <c r="B44" s="3" t="str">
        <f>IF(C44="","",'Plan+'!F44)</f>
        <v/>
      </c>
      <c r="C44" s="32" t="str">
        <f>IF('Plan+'!D44="","",'Plan+'!D44)</f>
        <v/>
      </c>
      <c r="D44" s="3" t="str">
        <f>IF(C44="","",'Plate organization+'!$B$40)</f>
        <v/>
      </c>
      <c r="E44" t="str">
        <f>'Plan+'!G44</f>
        <v>Destination_Plate_1</v>
      </c>
      <c r="F44" s="3" t="str">
        <f>'Plate organization+'!$A$13</f>
        <v>mtp_source</v>
      </c>
    </row>
    <row r="45" spans="1:6" x14ac:dyDescent="0.25">
      <c r="A45" s="3" t="str">
        <f>IF(C45="","",VLOOKUP(C45,Source_Plate!$A$2:$B$97,2,FALSE))</f>
        <v/>
      </c>
      <c r="B45" s="3" t="str">
        <f>IF(C45="","",'Plan+'!F45)</f>
        <v/>
      </c>
      <c r="C45" s="32" t="str">
        <f>IF('Plan+'!D45="","",'Plan+'!D45)</f>
        <v/>
      </c>
      <c r="D45" s="3" t="str">
        <f>IF(C45="","",'Plate organization+'!$B$40)</f>
        <v/>
      </c>
      <c r="E45" t="str">
        <f>'Plan+'!G45</f>
        <v>Destination_Plate_1</v>
      </c>
      <c r="F45" s="3" t="str">
        <f>'Plate organization+'!$A$13</f>
        <v>mtp_source</v>
      </c>
    </row>
    <row r="46" spans="1:6" x14ac:dyDescent="0.25">
      <c r="A46" s="3" t="str">
        <f>IF(C46="","",VLOOKUP(C46,Source_Plate!$A$2:$B$97,2,FALSE))</f>
        <v/>
      </c>
      <c r="B46" s="3" t="str">
        <f>IF(C46="","",'Plan+'!F46)</f>
        <v/>
      </c>
      <c r="C46" s="32" t="str">
        <f>IF('Plan+'!D46="","",'Plan+'!D46)</f>
        <v/>
      </c>
      <c r="D46" s="3" t="str">
        <f>IF(C46="","",'Plate organization+'!$B$40)</f>
        <v/>
      </c>
      <c r="E46" t="str">
        <f>'Plan+'!G46</f>
        <v>Destination_Plate_1</v>
      </c>
      <c r="F46" s="3" t="str">
        <f>'Plate organization+'!$A$13</f>
        <v>mtp_source</v>
      </c>
    </row>
    <row r="47" spans="1:6" x14ac:dyDescent="0.25">
      <c r="A47" s="3" t="str">
        <f>IF(C47="","",VLOOKUP(C47,Source_Plate!$A$2:$B$97,2,FALSE))</f>
        <v/>
      </c>
      <c r="B47" s="3" t="str">
        <f>IF(C47="","",'Plan+'!F47)</f>
        <v/>
      </c>
      <c r="C47" s="32" t="str">
        <f>IF('Plan+'!D47="","",'Plan+'!D47)</f>
        <v/>
      </c>
      <c r="D47" s="3" t="str">
        <f>IF(C47="","",'Plate organization+'!$B$40)</f>
        <v/>
      </c>
      <c r="E47" t="str">
        <f>'Plan+'!G47</f>
        <v>Destination_Plate_1</v>
      </c>
      <c r="F47" s="3" t="str">
        <f>'Plate organization+'!$A$13</f>
        <v>mtp_source</v>
      </c>
    </row>
    <row r="48" spans="1:6" x14ac:dyDescent="0.25">
      <c r="A48" s="3" t="str">
        <f>IF(C48="","",VLOOKUP(C48,Source_Plate!$A$2:$B$97,2,FALSE))</f>
        <v/>
      </c>
      <c r="B48" s="3" t="str">
        <f>IF(C48="","",'Plan+'!F48)</f>
        <v/>
      </c>
      <c r="C48" s="32" t="str">
        <f>IF('Plan+'!D48="","",'Plan+'!D48)</f>
        <v/>
      </c>
      <c r="D48" s="3" t="str">
        <f>IF(C48="","",'Plate organization+'!$B$40)</f>
        <v/>
      </c>
      <c r="E48" t="str">
        <f>'Plan+'!G48</f>
        <v>Destination_Plate_1</v>
      </c>
      <c r="F48" s="3" t="str">
        <f>'Plate organization+'!$A$13</f>
        <v>mtp_source</v>
      </c>
    </row>
    <row r="49" spans="1:6" x14ac:dyDescent="0.25">
      <c r="A49" s="3" t="str">
        <f>IF(C49="","",VLOOKUP(C49,Source_Plate!$A$2:$B$97,2,FALSE))</f>
        <v/>
      </c>
      <c r="B49" s="3" t="str">
        <f>IF(C49="","",'Plan+'!F49)</f>
        <v/>
      </c>
      <c r="C49" s="32" t="str">
        <f>IF('Plan+'!D49="","",'Plan+'!D49)</f>
        <v/>
      </c>
      <c r="D49" s="3" t="str">
        <f>IF(C49="","",'Plate organization+'!$B$40)</f>
        <v/>
      </c>
      <c r="E49" t="str">
        <f>'Plan+'!G49</f>
        <v>Destination_Plate_1</v>
      </c>
      <c r="F49" s="3" t="str">
        <f>'Plate organization+'!$A$13</f>
        <v>mtp_source</v>
      </c>
    </row>
    <row r="50" spans="1:6" x14ac:dyDescent="0.25">
      <c r="A50" s="3" t="str">
        <f>IF(C50="","",VLOOKUP(C50,Source_Plate!$A$2:$B$97,2,FALSE))</f>
        <v/>
      </c>
      <c r="B50" s="3" t="str">
        <f>IF(C50="","",'Plan+'!F50)</f>
        <v/>
      </c>
      <c r="C50" s="32" t="str">
        <f>IF('Plan+'!D50="","",'Plan+'!D50)</f>
        <v/>
      </c>
      <c r="D50" s="3" t="str">
        <f>IF(C50="","",'Plate organization+'!$B$40)</f>
        <v/>
      </c>
      <c r="E50" t="str">
        <f>'Plan+'!G50</f>
        <v>Destination_Plate_1</v>
      </c>
      <c r="F50" s="3" t="str">
        <f>'Plate organization+'!$A$13</f>
        <v>mtp_source</v>
      </c>
    </row>
    <row r="51" spans="1:6" x14ac:dyDescent="0.25">
      <c r="A51" s="3" t="str">
        <f>IF(C51="","",VLOOKUP(C51,Source_Plate!$A$2:$B$97,2,FALSE))</f>
        <v/>
      </c>
      <c r="B51" s="3" t="str">
        <f>IF(C51="","",'Plan+'!F51)</f>
        <v/>
      </c>
      <c r="C51" s="32" t="str">
        <f>IF('Plan+'!D51="","",'Plan+'!D51)</f>
        <v/>
      </c>
      <c r="D51" s="3" t="str">
        <f>IF(C51="","",'Plate organization+'!$B$40)</f>
        <v/>
      </c>
      <c r="E51" t="str">
        <f>'Plan+'!G51</f>
        <v>Destination_Plate_1</v>
      </c>
      <c r="F51" s="3" t="str">
        <f>'Plate organization+'!$A$13</f>
        <v>mtp_source</v>
      </c>
    </row>
    <row r="52" spans="1:6" x14ac:dyDescent="0.25">
      <c r="A52" s="3" t="str">
        <f>IF(C52="","",VLOOKUP(C52,Source_Plate!$A$2:$B$97,2,FALSE))</f>
        <v/>
      </c>
      <c r="B52" s="3" t="str">
        <f>IF(C52="","",'Plan+'!F52)</f>
        <v/>
      </c>
      <c r="C52" s="32" t="str">
        <f>IF('Plan+'!D52="","",'Plan+'!D52)</f>
        <v/>
      </c>
      <c r="D52" s="3" t="str">
        <f>IF(C52="","",'Plate organization+'!$B$40)</f>
        <v/>
      </c>
      <c r="E52" t="str">
        <f>'Plan+'!G52</f>
        <v>Destination_Plate_1</v>
      </c>
      <c r="F52" s="3" t="str">
        <f>'Plate organization+'!$A$13</f>
        <v>mtp_source</v>
      </c>
    </row>
    <row r="53" spans="1:6" x14ac:dyDescent="0.25">
      <c r="A53" s="3" t="str">
        <f>IF(C53="","",VLOOKUP(C53,Source_Plate!$A$2:$B$97,2,FALSE))</f>
        <v/>
      </c>
      <c r="B53" s="3" t="str">
        <f>IF(C53="","",'Plan+'!F53)</f>
        <v/>
      </c>
      <c r="C53" s="32" t="str">
        <f>IF('Plan+'!D53="","",'Plan+'!D53)</f>
        <v/>
      </c>
      <c r="D53" s="3" t="str">
        <f>IF(C53="","",'Plate organization+'!$B$40)</f>
        <v/>
      </c>
      <c r="E53" t="str">
        <f>'Plan+'!G53</f>
        <v>Destination_Plate_1</v>
      </c>
      <c r="F53" s="3" t="str">
        <f>'Plate organization+'!$A$13</f>
        <v>mtp_source</v>
      </c>
    </row>
    <row r="54" spans="1:6" x14ac:dyDescent="0.25">
      <c r="A54" s="3" t="str">
        <f>IF(C54="","",VLOOKUP(C54,Source_Plate!$A$2:$B$97,2,FALSE))</f>
        <v/>
      </c>
      <c r="B54" s="3" t="str">
        <f>IF(C54="","",'Plan+'!F54)</f>
        <v/>
      </c>
      <c r="C54" s="32" t="str">
        <f>IF('Plan+'!D54="","",'Plan+'!D54)</f>
        <v/>
      </c>
      <c r="D54" s="3" t="str">
        <f>IF(C54="","",'Plate organization+'!$B$40)</f>
        <v/>
      </c>
      <c r="E54" t="str">
        <f>'Plan+'!G54</f>
        <v>Destination_Plate_1</v>
      </c>
      <c r="F54" s="3" t="str">
        <f>'Plate organization+'!$A$13</f>
        <v>mtp_source</v>
      </c>
    </row>
    <row r="55" spans="1:6" x14ac:dyDescent="0.25">
      <c r="A55" s="3" t="str">
        <f>IF(C55="","",VLOOKUP(C55,Source_Plate!$A$2:$B$97,2,FALSE))</f>
        <v/>
      </c>
      <c r="B55" s="3" t="str">
        <f>IF(C55="","",'Plan+'!F55)</f>
        <v/>
      </c>
      <c r="C55" s="32" t="str">
        <f>IF('Plan+'!D55="","",'Plan+'!D55)</f>
        <v/>
      </c>
      <c r="D55" s="3" t="str">
        <f>IF(C55="","",'Plate organization+'!$B$40)</f>
        <v/>
      </c>
      <c r="E55" t="str">
        <f>'Plan+'!G55</f>
        <v>Destination_Plate_1</v>
      </c>
      <c r="F55" s="3" t="str">
        <f>'Plate organization+'!$A$13</f>
        <v>mtp_source</v>
      </c>
    </row>
    <row r="56" spans="1:6" x14ac:dyDescent="0.25">
      <c r="A56" s="3" t="str">
        <f>IF(C56="","",VLOOKUP(C56,Source_Plate!$A$2:$B$97,2,FALSE))</f>
        <v/>
      </c>
      <c r="B56" s="3" t="str">
        <f>IF(C56="","",'Plan+'!F56)</f>
        <v/>
      </c>
      <c r="C56" s="32" t="str">
        <f>IF('Plan+'!D56="","",'Plan+'!D56)</f>
        <v/>
      </c>
      <c r="D56" s="3" t="str">
        <f>IF(C56="","",'Plate organization+'!$B$40)</f>
        <v/>
      </c>
      <c r="E56" t="str">
        <f>'Plan+'!G56</f>
        <v>Destination_Plate_1</v>
      </c>
      <c r="F56" s="3" t="str">
        <f>'Plate organization+'!$A$13</f>
        <v>mtp_source</v>
      </c>
    </row>
    <row r="57" spans="1:6" x14ac:dyDescent="0.25">
      <c r="A57" s="3" t="str">
        <f>IF(C57="","",VLOOKUP(C57,Source_Plate!$A$2:$B$97,2,FALSE))</f>
        <v/>
      </c>
      <c r="B57" s="3" t="str">
        <f>IF(C57="","",'Plan+'!F57)</f>
        <v/>
      </c>
      <c r="C57" s="32" t="str">
        <f>IF('Plan+'!D57="","",'Plan+'!D57)</f>
        <v/>
      </c>
      <c r="D57" s="3" t="str">
        <f>IF(C57="","",'Plate organization+'!$B$40)</f>
        <v/>
      </c>
      <c r="E57" t="str">
        <f>'Plan+'!G57</f>
        <v>Destination_Plate_1</v>
      </c>
      <c r="F57" s="3" t="str">
        <f>'Plate organization+'!$A$13</f>
        <v>mtp_source</v>
      </c>
    </row>
    <row r="58" spans="1:6" x14ac:dyDescent="0.25">
      <c r="A58" s="3" t="str">
        <f>IF(C58="","",VLOOKUP(C58,Source_Plate!$A$2:$B$97,2,FALSE))</f>
        <v/>
      </c>
      <c r="B58" s="3" t="str">
        <f>IF(C58="","",'Plan+'!F58)</f>
        <v/>
      </c>
      <c r="C58" s="32" t="str">
        <f>IF('Plan+'!D58="","",'Plan+'!D58)</f>
        <v/>
      </c>
      <c r="D58" s="3" t="str">
        <f>IF(C58="","",'Plate organization+'!$B$40)</f>
        <v/>
      </c>
      <c r="E58" t="str">
        <f>'Plan+'!G58</f>
        <v>Destination_Plate_1</v>
      </c>
      <c r="F58" s="3" t="str">
        <f>'Plate organization+'!$A$13</f>
        <v>mtp_source</v>
      </c>
    </row>
    <row r="59" spans="1:6" x14ac:dyDescent="0.25">
      <c r="A59" s="3" t="str">
        <f>IF(C59="","",VLOOKUP(C59,Source_Plate!$A$2:$B$97,2,FALSE))</f>
        <v/>
      </c>
      <c r="B59" s="3" t="str">
        <f>IF(C59="","",'Plan+'!F59)</f>
        <v/>
      </c>
      <c r="C59" s="32" t="str">
        <f>IF('Plan+'!D59="","",'Plan+'!D59)</f>
        <v/>
      </c>
      <c r="D59" s="3" t="str">
        <f>IF(C59="","",'Plate organization+'!$B$40)</f>
        <v/>
      </c>
      <c r="E59" t="str">
        <f>'Plan+'!G59</f>
        <v>Destination_Plate_1</v>
      </c>
      <c r="F59" s="3" t="str">
        <f>'Plate organization+'!$A$13</f>
        <v>mtp_source</v>
      </c>
    </row>
    <row r="60" spans="1:6" x14ac:dyDescent="0.25">
      <c r="A60" s="3" t="str">
        <f>IF(C60="","",VLOOKUP(C60,Source_Plate!$A$2:$B$97,2,FALSE))</f>
        <v/>
      </c>
      <c r="B60" s="3" t="str">
        <f>IF(C60="","",'Plan+'!F60)</f>
        <v/>
      </c>
      <c r="C60" s="32" t="str">
        <f>IF('Plan+'!D60="","",'Plan+'!D60)</f>
        <v/>
      </c>
      <c r="D60" s="3" t="str">
        <f>IF(C60="","",'Plate organization+'!$B$40)</f>
        <v/>
      </c>
      <c r="E60" t="str">
        <f>'Plan+'!G60</f>
        <v>Destination_Plate_1</v>
      </c>
      <c r="F60" s="3" t="str">
        <f>'Plate organization+'!$A$13</f>
        <v>mtp_source</v>
      </c>
    </row>
    <row r="61" spans="1:6" x14ac:dyDescent="0.25">
      <c r="A61" s="3" t="str">
        <f>IF(C61="","",VLOOKUP(C61,Source_Plate!$A$2:$B$97,2,FALSE))</f>
        <v/>
      </c>
      <c r="B61" s="3" t="str">
        <f>IF(C61="","",'Plan+'!F61)</f>
        <v/>
      </c>
      <c r="C61" s="32" t="str">
        <f>IF('Plan+'!D61="","",'Plan+'!D61)</f>
        <v/>
      </c>
      <c r="D61" s="3" t="str">
        <f>IF(C61="","",'Plate organization+'!$B$40)</f>
        <v/>
      </c>
      <c r="E61" t="str">
        <f>'Plan+'!G61</f>
        <v>Destination_Plate_1</v>
      </c>
      <c r="F61" s="3" t="str">
        <f>'Plate organization+'!$A$13</f>
        <v>mtp_source</v>
      </c>
    </row>
    <row r="62" spans="1:6" x14ac:dyDescent="0.25">
      <c r="A62" s="3" t="str">
        <f>IF(C62="","",VLOOKUP(C62,Source_Plate!$A$2:$B$97,2,FALSE))</f>
        <v/>
      </c>
      <c r="B62" s="3" t="str">
        <f>IF(C62="","",'Plan+'!F62)</f>
        <v/>
      </c>
      <c r="C62" s="32" t="str">
        <f>IF('Plan+'!D62="","",'Plan+'!D62)</f>
        <v/>
      </c>
      <c r="D62" s="3" t="str">
        <f>IF(C62="","",'Plate organization+'!$B$40)</f>
        <v/>
      </c>
      <c r="E62" t="str">
        <f>'Plan+'!G62</f>
        <v>Destination_Plate_1</v>
      </c>
      <c r="F62" s="3" t="str">
        <f>'Plate organization+'!$A$13</f>
        <v>mtp_source</v>
      </c>
    </row>
    <row r="63" spans="1:6" x14ac:dyDescent="0.25">
      <c r="A63" s="3" t="str">
        <f>IF(C63="","",VLOOKUP(C63,Source_Plate!$A$2:$B$97,2,FALSE))</f>
        <v/>
      </c>
      <c r="B63" s="3" t="str">
        <f>IF(C63="","",'Plan+'!F63)</f>
        <v/>
      </c>
      <c r="C63" s="32" t="str">
        <f>IF('Plan+'!D63="","",'Plan+'!D63)</f>
        <v/>
      </c>
      <c r="D63" s="3" t="str">
        <f>IF(C63="","",'Plate organization+'!$B$40)</f>
        <v/>
      </c>
      <c r="E63" t="str">
        <f>'Plan+'!G63</f>
        <v>Destination_Plate_1</v>
      </c>
      <c r="F63" s="3" t="str">
        <f>'Plate organization+'!$A$13</f>
        <v>mtp_source</v>
      </c>
    </row>
    <row r="64" spans="1:6" x14ac:dyDescent="0.25">
      <c r="A64" s="3" t="str">
        <f>IF(C64="","",VLOOKUP(C64,Source_Plate!$A$2:$B$97,2,FALSE))</f>
        <v/>
      </c>
      <c r="B64" s="3" t="str">
        <f>IF(C64="","",'Plan+'!F64)</f>
        <v/>
      </c>
      <c r="C64" s="32" t="str">
        <f>IF('Plan+'!D64="","",'Plan+'!D64)</f>
        <v/>
      </c>
      <c r="D64" s="3" t="str">
        <f>IF(C64="","",'Plate organization+'!$B$40)</f>
        <v/>
      </c>
      <c r="E64" t="str">
        <f>'Plan+'!G64</f>
        <v>Destination_Plate_1</v>
      </c>
      <c r="F64" s="3" t="str">
        <f>'Plate organization+'!$A$13</f>
        <v>mtp_source</v>
      </c>
    </row>
    <row r="65" spans="1:6" x14ac:dyDescent="0.25">
      <c r="A65" s="3" t="str">
        <f>IF(C65="","",VLOOKUP(C65,Source_Plate!$A$2:$B$97,2,FALSE))</f>
        <v/>
      </c>
      <c r="B65" s="3" t="str">
        <f>IF(C65="","",'Plan+'!F65)</f>
        <v/>
      </c>
      <c r="C65" s="32" t="str">
        <f>IF('Plan+'!D65="","",'Plan+'!D65)</f>
        <v/>
      </c>
      <c r="D65" s="3" t="str">
        <f>IF(C65="","",'Plate organization+'!$B$40)</f>
        <v/>
      </c>
      <c r="E65" t="str">
        <f>'Plan+'!G65</f>
        <v>Destination_Plate_1</v>
      </c>
      <c r="F65" s="3" t="str">
        <f>'Plate organization+'!$A$13</f>
        <v>mtp_source</v>
      </c>
    </row>
    <row r="66" spans="1:6" x14ac:dyDescent="0.25">
      <c r="A66" s="3" t="str">
        <f>IF(C66="","",VLOOKUP(C66,Source_Plate!$A$2:$B$97,2,FALSE))</f>
        <v/>
      </c>
      <c r="B66" s="3" t="str">
        <f>IF(C66="","",'Plan+'!F66)</f>
        <v/>
      </c>
      <c r="C66" s="32" t="str">
        <f>IF('Plan+'!D66="","",'Plan+'!D66)</f>
        <v/>
      </c>
      <c r="D66" s="3" t="str">
        <f>IF(C66="","",'Plate organization+'!$B$40)</f>
        <v/>
      </c>
      <c r="E66" t="str">
        <f>'Plan+'!G66</f>
        <v>Destination_Plate_1</v>
      </c>
      <c r="F66" s="3" t="str">
        <f>'Plate organization+'!$A$13</f>
        <v>mtp_source</v>
      </c>
    </row>
    <row r="67" spans="1:6" x14ac:dyDescent="0.25">
      <c r="A67" s="3" t="str">
        <f>IF(C67="","",VLOOKUP(C67,Source_Plate!$A$2:$B$97,2,FALSE))</f>
        <v/>
      </c>
      <c r="B67" s="3" t="str">
        <f>IF(C67="","",'Plan+'!F67)</f>
        <v/>
      </c>
      <c r="C67" s="32" t="str">
        <f>IF('Plan+'!D67="","",'Plan+'!D67)</f>
        <v/>
      </c>
      <c r="D67" s="3" t="str">
        <f>IF(C67="","",'Plate organization+'!$B$40)</f>
        <v/>
      </c>
      <c r="E67" t="str">
        <f>'Plan+'!G67</f>
        <v>Destination_Plate_1</v>
      </c>
      <c r="F67" s="3" t="str">
        <f>'Plate organization+'!$A$13</f>
        <v>mtp_source</v>
      </c>
    </row>
    <row r="68" spans="1:6" x14ac:dyDescent="0.25">
      <c r="A68" s="3" t="str">
        <f>IF(C68="","",VLOOKUP(C68,Source_Plate!$A$2:$B$97,2,FALSE))</f>
        <v/>
      </c>
      <c r="B68" s="3" t="str">
        <f>IF(C68="","",'Plan+'!F68)</f>
        <v/>
      </c>
      <c r="C68" s="32" t="str">
        <f>IF('Plan+'!D68="","",'Plan+'!D68)</f>
        <v/>
      </c>
      <c r="D68" s="3" t="str">
        <f>IF(C68="","",'Plate organization+'!$B$40)</f>
        <v/>
      </c>
      <c r="E68" t="str">
        <f>'Plan+'!G68</f>
        <v>Destination_Plate_1</v>
      </c>
      <c r="F68" s="3" t="str">
        <f>'Plate organization+'!$A$13</f>
        <v>mtp_source</v>
      </c>
    </row>
    <row r="69" spans="1:6" x14ac:dyDescent="0.25">
      <c r="A69" s="3" t="str">
        <f>IF(C69="","",VLOOKUP(C69,Source_Plate!$A$2:$B$97,2,FALSE))</f>
        <v/>
      </c>
      <c r="B69" s="3" t="str">
        <f>IF(C69="","",'Plan+'!F69)</f>
        <v/>
      </c>
      <c r="C69" s="32" t="str">
        <f>IF('Plan+'!D69="","",'Plan+'!D69)</f>
        <v/>
      </c>
      <c r="D69" s="3" t="str">
        <f>IF(C69="","",'Plate organization+'!$B$40)</f>
        <v/>
      </c>
      <c r="E69" t="str">
        <f>'Plan+'!G69</f>
        <v>Destination_Plate_1</v>
      </c>
      <c r="F69" s="3" t="str">
        <f>'Plate organization+'!$A$13</f>
        <v>mtp_source</v>
      </c>
    </row>
    <row r="70" spans="1:6" x14ac:dyDescent="0.25">
      <c r="A70" s="3" t="str">
        <f>IF(C70="","",VLOOKUP(C70,Source_Plate!$A$2:$B$97,2,FALSE))</f>
        <v/>
      </c>
      <c r="B70" s="3" t="str">
        <f>IF(C70="","",'Plan+'!F70)</f>
        <v/>
      </c>
      <c r="C70" s="32" t="str">
        <f>IF('Plan+'!D70="","",'Plan+'!D70)</f>
        <v/>
      </c>
      <c r="D70" s="3" t="str">
        <f>IF(C70="","",'Plate organization+'!$B$40)</f>
        <v/>
      </c>
      <c r="E70" t="str">
        <f>'Plan+'!G70</f>
        <v>Destination_Plate_1</v>
      </c>
      <c r="F70" s="3" t="str">
        <f>'Plate organization+'!$A$13</f>
        <v>mtp_source</v>
      </c>
    </row>
    <row r="71" spans="1:6" x14ac:dyDescent="0.25">
      <c r="A71" s="3" t="str">
        <f>IF(C71="","",VLOOKUP(C71,Source_Plate!$A$2:$B$97,2,FALSE))</f>
        <v/>
      </c>
      <c r="B71" s="3" t="str">
        <f>IF(C71="","",'Plan+'!F71)</f>
        <v/>
      </c>
      <c r="C71" s="32" t="str">
        <f>IF('Plan+'!D71="","",'Plan+'!D71)</f>
        <v/>
      </c>
      <c r="D71" s="3" t="str">
        <f>IF(C71="","",'Plate organization+'!$B$40)</f>
        <v/>
      </c>
      <c r="E71" t="str">
        <f>'Plan+'!G71</f>
        <v>Destination_Plate_1</v>
      </c>
      <c r="F71" s="3" t="str">
        <f>'Plate organization+'!$A$13</f>
        <v>mtp_source</v>
      </c>
    </row>
    <row r="72" spans="1:6" x14ac:dyDescent="0.25">
      <c r="A72" s="3" t="str">
        <f>IF(C72="","",VLOOKUP(C72,Source_Plate!$A$2:$B$97,2,FALSE))</f>
        <v/>
      </c>
      <c r="B72" s="3" t="str">
        <f>IF(C72="","",'Plan+'!F72)</f>
        <v/>
      </c>
      <c r="C72" s="32" t="str">
        <f>IF('Plan+'!D72="","",'Plan+'!D72)</f>
        <v/>
      </c>
      <c r="D72" s="3" t="str">
        <f>IF(C72="","",'Plate organization+'!$B$40)</f>
        <v/>
      </c>
      <c r="E72" t="str">
        <f>'Plan+'!G72</f>
        <v>Destination_Plate_1</v>
      </c>
      <c r="F72" s="3" t="str">
        <f>'Plate organization+'!$A$13</f>
        <v>mtp_source</v>
      </c>
    </row>
    <row r="73" spans="1:6" x14ac:dyDescent="0.25">
      <c r="A73" s="3" t="str">
        <f>IF(C73="","",VLOOKUP(C73,Source_Plate!$A$2:$B$97,2,FALSE))</f>
        <v/>
      </c>
      <c r="B73" s="3" t="str">
        <f>IF(C73="","",'Plan+'!F73)</f>
        <v/>
      </c>
      <c r="C73" s="32" t="str">
        <f>IF('Plan+'!D73="","",'Plan+'!D73)</f>
        <v/>
      </c>
      <c r="D73" s="3" t="str">
        <f>IF(C73="","",'Plate organization+'!$B$40)</f>
        <v/>
      </c>
      <c r="E73" t="str">
        <f>'Plan+'!G73</f>
        <v>Destination_Plate_1</v>
      </c>
      <c r="F73" s="3" t="str">
        <f>'Plate organization+'!$A$13</f>
        <v>mtp_source</v>
      </c>
    </row>
    <row r="74" spans="1:6" x14ac:dyDescent="0.25">
      <c r="A74" s="3" t="str">
        <f>IF(C74="","",VLOOKUP(C74,Source_Plate!$A$2:$B$97,2,FALSE))</f>
        <v/>
      </c>
      <c r="B74" s="3" t="str">
        <f>IF(C74="","",'Plan+'!F74)</f>
        <v/>
      </c>
      <c r="C74" s="32" t="str">
        <f>IF('Plan+'!D74="","",'Plan+'!D74)</f>
        <v/>
      </c>
      <c r="D74" s="3" t="str">
        <f>IF(C74="","",'Plate organization+'!$B$40)</f>
        <v/>
      </c>
      <c r="E74" t="str">
        <f>'Plan+'!G74</f>
        <v>Destination_Plate_1</v>
      </c>
      <c r="F74" s="3" t="str">
        <f>'Plate organization+'!$A$13</f>
        <v>mtp_source</v>
      </c>
    </row>
    <row r="75" spans="1:6" x14ac:dyDescent="0.25">
      <c r="A75" s="3" t="str">
        <f>IF(C75="","",VLOOKUP(C75,Source_Plate!$A$2:$B$97,2,FALSE))</f>
        <v/>
      </c>
      <c r="B75" s="3" t="str">
        <f>IF(C75="","",'Plan+'!F75)</f>
        <v/>
      </c>
      <c r="C75" s="32" t="str">
        <f>IF('Plan+'!D75="","",'Plan+'!D75)</f>
        <v/>
      </c>
      <c r="D75" s="3" t="str">
        <f>IF(C75="","",'Plate organization+'!$B$40)</f>
        <v/>
      </c>
      <c r="E75" t="str">
        <f>'Plan+'!G75</f>
        <v>Destination_Plate_1</v>
      </c>
      <c r="F75" s="3" t="str">
        <f>'Plate organization+'!$A$13</f>
        <v>mtp_source</v>
      </c>
    </row>
    <row r="76" spans="1:6" x14ac:dyDescent="0.25">
      <c r="A76" s="3" t="str">
        <f>IF(C76="","",VLOOKUP(C76,Source_Plate!$A$2:$B$97,2,FALSE))</f>
        <v/>
      </c>
      <c r="B76" s="3" t="str">
        <f>IF(C76="","",'Plan+'!F76)</f>
        <v/>
      </c>
      <c r="C76" s="32" t="str">
        <f>IF('Plan+'!D76="","",'Plan+'!D76)</f>
        <v/>
      </c>
      <c r="D76" s="3" t="str">
        <f>IF(C76="","",'Plate organization+'!$B$40)</f>
        <v/>
      </c>
      <c r="E76" t="str">
        <f>'Plan+'!G76</f>
        <v>Destination_Plate_1</v>
      </c>
      <c r="F76" s="3" t="str">
        <f>'Plate organization+'!$A$13</f>
        <v>mtp_source</v>
      </c>
    </row>
    <row r="77" spans="1:6" x14ac:dyDescent="0.25">
      <c r="A77" s="3" t="str">
        <f>IF(C77="","",VLOOKUP(C77,Source_Plate!$A$2:$B$97,2,FALSE))</f>
        <v/>
      </c>
      <c r="B77" s="3" t="str">
        <f>IF(C77="","",'Plan+'!F77)</f>
        <v/>
      </c>
      <c r="C77" s="32" t="str">
        <f>IF('Plan+'!D77="","",'Plan+'!D77)</f>
        <v/>
      </c>
      <c r="D77" s="3" t="str">
        <f>IF(C77="","",'Plate organization+'!$B$40)</f>
        <v/>
      </c>
      <c r="E77" t="str">
        <f>'Plan+'!G77</f>
        <v>Destination_Plate_1</v>
      </c>
      <c r="F77" s="3" t="str">
        <f>'Plate organization+'!$A$13</f>
        <v>mtp_source</v>
      </c>
    </row>
    <row r="78" spans="1:6" x14ac:dyDescent="0.25">
      <c r="A78" s="3" t="str">
        <f>IF(C78="","",VLOOKUP(C78,Source_Plate!$A$2:$B$97,2,FALSE))</f>
        <v/>
      </c>
      <c r="B78" s="3" t="str">
        <f>IF(C78="","",'Plan+'!F78)</f>
        <v/>
      </c>
      <c r="C78" s="32" t="str">
        <f>IF('Plan+'!D78="","",'Plan+'!D78)</f>
        <v/>
      </c>
      <c r="D78" s="3" t="str">
        <f>IF(C78="","",'Plate organization+'!$B$40)</f>
        <v/>
      </c>
      <c r="E78" t="str">
        <f>'Plan+'!G78</f>
        <v>Destination_Plate_1</v>
      </c>
      <c r="F78" s="3" t="str">
        <f>'Plate organization+'!$A$13</f>
        <v>mtp_source</v>
      </c>
    </row>
    <row r="79" spans="1:6" x14ac:dyDescent="0.25">
      <c r="A79" s="3" t="str">
        <f>IF(C79="","",VLOOKUP(C79,Source_Plate!$A$2:$B$97,2,FALSE))</f>
        <v/>
      </c>
      <c r="B79" s="3" t="str">
        <f>IF(C79="","",'Plan+'!F79)</f>
        <v/>
      </c>
      <c r="C79" s="32" t="str">
        <f>IF('Plan+'!D79="","",'Plan+'!D79)</f>
        <v/>
      </c>
      <c r="D79" s="3" t="str">
        <f>IF(C79="","",'Plate organization+'!$B$40)</f>
        <v/>
      </c>
      <c r="E79" t="str">
        <f>'Plan+'!G79</f>
        <v>Destination_Plate_1</v>
      </c>
      <c r="F79" s="3" t="str">
        <f>'Plate organization+'!$A$13</f>
        <v>mtp_source</v>
      </c>
    </row>
    <row r="80" spans="1:6" x14ac:dyDescent="0.25">
      <c r="A80" s="3" t="str">
        <f>IF(C80="","",VLOOKUP(C80,Source_Plate!$A$2:$B$97,2,FALSE))</f>
        <v/>
      </c>
      <c r="B80" s="3" t="str">
        <f>IF(C80="","",'Plan+'!F80)</f>
        <v/>
      </c>
      <c r="C80" s="32" t="str">
        <f>IF('Plan+'!D80="","",'Plan+'!D80)</f>
        <v/>
      </c>
      <c r="D80" s="3" t="str">
        <f>IF(C80="","",'Plate organization+'!$B$40)</f>
        <v/>
      </c>
      <c r="E80" t="str">
        <f>'Plan+'!G80</f>
        <v>Destination_Plate_1</v>
      </c>
      <c r="F80" s="3" t="str">
        <f>'Plate organization+'!$A$13</f>
        <v>mtp_source</v>
      </c>
    </row>
    <row r="81" spans="1:6" x14ac:dyDescent="0.25">
      <c r="A81" s="3" t="str">
        <f>IF(C81="","",VLOOKUP(C81,Source_Plate!$A$2:$B$97,2,FALSE))</f>
        <v/>
      </c>
      <c r="B81" s="3" t="str">
        <f>IF(C81="","",'Plan+'!F81)</f>
        <v/>
      </c>
      <c r="C81" s="32" t="str">
        <f>IF('Plan+'!D81="","",'Plan+'!D81)</f>
        <v/>
      </c>
      <c r="D81" s="3" t="str">
        <f>IF(C81="","",'Plate organization+'!$B$40)</f>
        <v/>
      </c>
      <c r="E81" t="str">
        <f>'Plan+'!G81</f>
        <v>Destination_Plate_1</v>
      </c>
      <c r="F81" s="3" t="str">
        <f>'Plate organization+'!$A$13</f>
        <v>mtp_source</v>
      </c>
    </row>
    <row r="82" spans="1:6" x14ac:dyDescent="0.25">
      <c r="A82" s="3" t="str">
        <f>IF(C82="","",VLOOKUP(C82,Source_Plate!$A$2:$B$97,2,FALSE))</f>
        <v/>
      </c>
      <c r="B82" s="3" t="str">
        <f>IF(C82="","",'Plan+'!F82)</f>
        <v/>
      </c>
      <c r="C82" s="32" t="str">
        <f>IF('Plan+'!D82="","",'Plan+'!D82)</f>
        <v/>
      </c>
      <c r="D82" s="3" t="str">
        <f>IF(C82="","",'Plate organization+'!$B$40)</f>
        <v/>
      </c>
      <c r="E82" t="str">
        <f>'Plan+'!G82</f>
        <v>Destination_Plate_1</v>
      </c>
      <c r="F82" s="3" t="str">
        <f>'Plate organization+'!$A$13</f>
        <v>mtp_source</v>
      </c>
    </row>
    <row r="83" spans="1:6" x14ac:dyDescent="0.25">
      <c r="A83" s="3" t="str">
        <f>IF(C83="","",VLOOKUP(C83,Source_Plate!$A$2:$B$97,2,FALSE))</f>
        <v/>
      </c>
      <c r="B83" s="3" t="str">
        <f>IF(C83="","",'Plan+'!F83)</f>
        <v/>
      </c>
      <c r="C83" s="32" t="str">
        <f>IF('Plan+'!D83="","",'Plan+'!D83)</f>
        <v/>
      </c>
      <c r="D83" s="3" t="str">
        <f>IF(C83="","",'Plate organization+'!$B$40)</f>
        <v/>
      </c>
      <c r="E83" t="str">
        <f>'Plan+'!G83</f>
        <v>Destination_Plate_1</v>
      </c>
      <c r="F83" s="3" t="str">
        <f>'Plate organization+'!$A$13</f>
        <v>mtp_source</v>
      </c>
    </row>
    <row r="84" spans="1:6" x14ac:dyDescent="0.25">
      <c r="A84" s="3" t="str">
        <f>IF(C84="","",VLOOKUP(C84,Source_Plate!$A$2:$B$97,2,FALSE))</f>
        <v/>
      </c>
      <c r="B84" s="3" t="str">
        <f>IF(C84="","",'Plan+'!F84)</f>
        <v/>
      </c>
      <c r="C84" s="32" t="str">
        <f>IF('Plan+'!D84="","",'Plan+'!D84)</f>
        <v/>
      </c>
      <c r="D84" s="3" t="str">
        <f>IF(C84="","",'Plate organization+'!$B$40)</f>
        <v/>
      </c>
      <c r="E84" t="str">
        <f>'Plan+'!G84</f>
        <v>Destination_Plate_1</v>
      </c>
      <c r="F84" s="3" t="str">
        <f>'Plate organization+'!$A$13</f>
        <v>mtp_source</v>
      </c>
    </row>
    <row r="85" spans="1:6" x14ac:dyDescent="0.25">
      <c r="A85" s="3" t="str">
        <f>IF(C85="","",VLOOKUP(C85,Source_Plate!$A$2:$B$97,2,FALSE))</f>
        <v/>
      </c>
      <c r="B85" s="3" t="str">
        <f>IF(C85="","",'Plan+'!F85)</f>
        <v/>
      </c>
      <c r="C85" s="32" t="str">
        <f>IF('Plan+'!D85="","",'Plan+'!D85)</f>
        <v/>
      </c>
      <c r="D85" s="3" t="str">
        <f>IF(C85="","",'Plate organization+'!$B$40)</f>
        <v/>
      </c>
      <c r="E85" t="str">
        <f>'Plan+'!G85</f>
        <v>Destination_Plate_1</v>
      </c>
      <c r="F85" s="3" t="str">
        <f>'Plate organization+'!$A$13</f>
        <v>mtp_source</v>
      </c>
    </row>
    <row r="86" spans="1:6" x14ac:dyDescent="0.25">
      <c r="A86" s="3" t="str">
        <f>IF(C86="","",VLOOKUP(C86,Source_Plate!$A$2:$B$97,2,FALSE))</f>
        <v/>
      </c>
      <c r="B86" s="3" t="str">
        <f>IF(C86="","",'Plan+'!F86)</f>
        <v/>
      </c>
      <c r="C86" s="32" t="str">
        <f>IF('Plan+'!D86="","",'Plan+'!D86)</f>
        <v/>
      </c>
      <c r="D86" s="3" t="str">
        <f>IF(C86="","",'Plate organization+'!$B$40)</f>
        <v/>
      </c>
      <c r="E86" t="str">
        <f>'Plan+'!G86</f>
        <v>Destination_Plate_1</v>
      </c>
      <c r="F86" s="3" t="str">
        <f>'Plate organization+'!$A$13</f>
        <v>mtp_source</v>
      </c>
    </row>
    <row r="87" spans="1:6" x14ac:dyDescent="0.25">
      <c r="A87" s="3" t="str">
        <f>IF(C87="","",VLOOKUP(C87,Source_Plate!$A$2:$B$97,2,FALSE))</f>
        <v/>
      </c>
      <c r="B87" s="3" t="str">
        <f>IF(C87="","",'Plan+'!F87)</f>
        <v/>
      </c>
      <c r="C87" s="32" t="str">
        <f>IF('Plan+'!D87="","",'Plan+'!D87)</f>
        <v/>
      </c>
      <c r="D87" s="3" t="str">
        <f>IF(C87="","",'Plate organization+'!$B$40)</f>
        <v/>
      </c>
      <c r="E87" t="str">
        <f>'Plan+'!G87</f>
        <v>Destination_Plate_1</v>
      </c>
      <c r="F87" s="3" t="str">
        <f>'Plate organization+'!$A$13</f>
        <v>mtp_source</v>
      </c>
    </row>
    <row r="88" spans="1:6" x14ac:dyDescent="0.25">
      <c r="A88" s="3" t="str">
        <f>IF(C88="","",VLOOKUP(C88,Source_Plate!$A$2:$B$97,2,FALSE))</f>
        <v/>
      </c>
      <c r="B88" s="3" t="str">
        <f>IF(C88="","",'Plan+'!F88)</f>
        <v/>
      </c>
      <c r="C88" s="32" t="str">
        <f>IF('Plan+'!D88="","",'Plan+'!D88)</f>
        <v/>
      </c>
      <c r="D88" s="3" t="str">
        <f>IF(C88="","",'Plate organization+'!$B$40)</f>
        <v/>
      </c>
      <c r="E88" t="str">
        <f>'Plan+'!G88</f>
        <v>Destination_Plate_1</v>
      </c>
      <c r="F88" s="3" t="str">
        <f>'Plate organization+'!$A$13</f>
        <v>mtp_source</v>
      </c>
    </row>
    <row r="89" spans="1:6" x14ac:dyDescent="0.25">
      <c r="A89" s="3" t="str">
        <f>IF(C89="","",VLOOKUP(C89,Source_Plate!$A$2:$B$97,2,FALSE))</f>
        <v/>
      </c>
      <c r="B89" s="3" t="str">
        <f>IF(C89="","",'Plan+'!F89)</f>
        <v/>
      </c>
      <c r="C89" s="32" t="str">
        <f>IF('Plan+'!D89="","",'Plan+'!D89)</f>
        <v/>
      </c>
      <c r="D89" s="3" t="str">
        <f>IF(C89="","",'Plate organization+'!$B$40)</f>
        <v/>
      </c>
      <c r="E89" t="str">
        <f>'Plan+'!G89</f>
        <v>Destination_Plate_1</v>
      </c>
      <c r="F89" s="3" t="str">
        <f>'Plate organization+'!$A$13</f>
        <v>mtp_source</v>
      </c>
    </row>
    <row r="90" spans="1:6" x14ac:dyDescent="0.25">
      <c r="A90" s="3" t="str">
        <f>IF(C90="","",VLOOKUP(C90,Source_Plate!$A$2:$B$97,2,FALSE))</f>
        <v/>
      </c>
      <c r="B90" s="3" t="str">
        <f>IF(C90="","",'Plan+'!F90)</f>
        <v/>
      </c>
      <c r="C90" s="32" t="str">
        <f>IF('Plan+'!D90="","",'Plan+'!D90)</f>
        <v/>
      </c>
      <c r="D90" s="3" t="str">
        <f>IF(C90="","",'Plate organization+'!$B$40)</f>
        <v/>
      </c>
      <c r="E90" t="str">
        <f>'Plan+'!G90</f>
        <v>Destination_Plate_1</v>
      </c>
      <c r="F90" s="3" t="str">
        <f>'Plate organization+'!$A$13</f>
        <v>mtp_source</v>
      </c>
    </row>
    <row r="91" spans="1:6" x14ac:dyDescent="0.25">
      <c r="A91" s="3" t="str">
        <f>IF(C91="","",VLOOKUP(C91,Source_Plate!$A$2:$B$97,2,FALSE))</f>
        <v/>
      </c>
      <c r="B91" s="3" t="str">
        <f>IF(C91="","",'Plan+'!F91)</f>
        <v/>
      </c>
      <c r="C91" s="32" t="str">
        <f>IF('Plan+'!D91="","",'Plan+'!D91)</f>
        <v/>
      </c>
      <c r="D91" s="3" t="str">
        <f>IF(C91="","",'Plate organization+'!$B$40)</f>
        <v/>
      </c>
      <c r="E91" t="str">
        <f>'Plan+'!G91</f>
        <v>Destination_Plate_1</v>
      </c>
      <c r="F91" s="3" t="str">
        <f>'Plate organization+'!$A$13</f>
        <v>mtp_source</v>
      </c>
    </row>
    <row r="92" spans="1:6" x14ac:dyDescent="0.25">
      <c r="A92" s="3" t="str">
        <f>IF(C92="","",VLOOKUP(C92,Source_Plate!$A$2:$B$97,2,FALSE))</f>
        <v/>
      </c>
      <c r="B92" s="3" t="str">
        <f>IF(C92="","",'Plan+'!F92)</f>
        <v/>
      </c>
      <c r="C92" s="32" t="str">
        <f>IF('Plan+'!D92="","",'Plan+'!D92)</f>
        <v/>
      </c>
      <c r="D92" s="3" t="str">
        <f>IF(C92="","",'Plate organization+'!$B$40)</f>
        <v/>
      </c>
      <c r="E92" t="str">
        <f>'Plan+'!G92</f>
        <v>Destination_Plate_1</v>
      </c>
      <c r="F92" s="3" t="str">
        <f>'Plate organization+'!$A$13</f>
        <v>mtp_source</v>
      </c>
    </row>
    <row r="93" spans="1:6" x14ac:dyDescent="0.25">
      <c r="A93" s="3" t="str">
        <f>IF(C93="","",VLOOKUP(C93,Source_Plate!$A$2:$B$97,2,FALSE))</f>
        <v/>
      </c>
      <c r="B93" s="3" t="str">
        <f>IF(C93="","",'Plan+'!F93)</f>
        <v/>
      </c>
      <c r="C93" s="32" t="str">
        <f>IF('Plan+'!D93="","",'Plan+'!D93)</f>
        <v/>
      </c>
      <c r="D93" s="3" t="str">
        <f>IF(C93="","",'Plate organization+'!$B$40)</f>
        <v/>
      </c>
      <c r="E93" t="str">
        <f>'Plan+'!G93</f>
        <v>Destination_Plate_1</v>
      </c>
      <c r="F93" s="3" t="str">
        <f>'Plate organization+'!$A$13</f>
        <v>mtp_source</v>
      </c>
    </row>
    <row r="94" spans="1:6" x14ac:dyDescent="0.25">
      <c r="A94" s="3" t="str">
        <f>IF(C94="","",VLOOKUP(C94,Source_Plate!$A$2:$B$97,2,FALSE))</f>
        <v/>
      </c>
      <c r="B94" s="3" t="str">
        <f>IF(C94="","",'Plan+'!F94)</f>
        <v/>
      </c>
      <c r="C94" s="32" t="str">
        <f>IF('Plan+'!D94="","",'Plan+'!D94)</f>
        <v/>
      </c>
      <c r="D94" s="3" t="str">
        <f>IF(C94="","",'Plate organization+'!$B$40)</f>
        <v/>
      </c>
      <c r="E94" t="str">
        <f>'Plan+'!G94</f>
        <v>Destination_Plate_1</v>
      </c>
      <c r="F94" s="3" t="str">
        <f>'Plate organization+'!$A$13</f>
        <v>mtp_source</v>
      </c>
    </row>
    <row r="95" spans="1:6" x14ac:dyDescent="0.25">
      <c r="A95" s="3" t="str">
        <f>IF(C95="","",VLOOKUP(C95,Source_Plate!$A$2:$B$97,2,FALSE))</f>
        <v/>
      </c>
      <c r="B95" s="3" t="str">
        <f>IF(C95="","",'Plan+'!F95)</f>
        <v/>
      </c>
      <c r="C95" s="32" t="str">
        <f>IF('Plan+'!D95="","",'Plan+'!D95)</f>
        <v/>
      </c>
      <c r="D95" s="3" t="str">
        <f>IF(C95="","",'Plate organization+'!$B$40)</f>
        <v/>
      </c>
      <c r="E95" t="str">
        <f>'Plan+'!G95</f>
        <v>Destination_Plate_1</v>
      </c>
      <c r="F95" s="3" t="str">
        <f>'Plate organization+'!$A$13</f>
        <v>mtp_source</v>
      </c>
    </row>
    <row r="96" spans="1:6" x14ac:dyDescent="0.25">
      <c r="A96" s="3" t="str">
        <f>IF(C96="","",VLOOKUP(C96,Source_Plate!$A$2:$B$97,2,FALSE))</f>
        <v/>
      </c>
      <c r="B96" s="3" t="str">
        <f>IF(C96="","",'Plan+'!F96)</f>
        <v/>
      </c>
      <c r="C96" s="32" t="str">
        <f>IF('Plan+'!D96="","",'Plan+'!D96)</f>
        <v/>
      </c>
      <c r="D96" s="3" t="str">
        <f>IF(C96="","",'Plate organization+'!$B$40)</f>
        <v/>
      </c>
      <c r="E96" t="str">
        <f>'Plan+'!G96</f>
        <v>Destination_Plate_1</v>
      </c>
      <c r="F96" s="3" t="str">
        <f>'Plate organization+'!$A$13</f>
        <v>mtp_source</v>
      </c>
    </row>
    <row r="97" spans="1:6" x14ac:dyDescent="0.25">
      <c r="A97" s="3" t="str">
        <f>IF(C97="","",VLOOKUP(C97,Source_Plate!$A$2:$B$97,2,FALSE))</f>
        <v/>
      </c>
      <c r="B97" s="3" t="str">
        <f>IF(C97="","",'Plan+'!F97)</f>
        <v/>
      </c>
      <c r="C97" s="32" t="str">
        <f>IF('Plan+'!D97="","",'Plan+'!D97)</f>
        <v/>
      </c>
      <c r="D97" s="3" t="str">
        <f>IF(C97="","",'Plate organization+'!$B$40)</f>
        <v/>
      </c>
      <c r="E97" t="str">
        <f>'Plan+'!G97</f>
        <v>Destination_Plate_1</v>
      </c>
      <c r="F97" s="3" t="str">
        <f>'Plate organization+'!$A$13</f>
        <v>mtp_source</v>
      </c>
    </row>
    <row r="98" spans="1:6" x14ac:dyDescent="0.25">
      <c r="A98" s="3" t="e">
        <f>IF('Plan+'!#REF!="","",VLOOKUP(C98,Source_Plate!$A$2:$B$97,2,FALSE))</f>
        <v>#REF!</v>
      </c>
      <c r="B98" s="7">
        <f>COUNTA(B2:B97)</f>
        <v>96</v>
      </c>
      <c r="C98" s="3"/>
      <c r="D98"/>
    </row>
    <row r="99" spans="1:6" x14ac:dyDescent="0.25">
      <c r="B99"/>
      <c r="C99" s="3"/>
      <c r="D99"/>
    </row>
    <row r="100" spans="1:6" x14ac:dyDescent="0.25">
      <c r="B100"/>
      <c r="C100" s="3"/>
      <c r="D100"/>
    </row>
    <row r="101" spans="1:6" x14ac:dyDescent="0.25">
      <c r="B101"/>
      <c r="C101" s="3"/>
      <c r="D10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>
      <selection activeCell="G2" sqref="G2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5" bestFit="1" customWidth="1"/>
    <col min="4" max="4" width="11.42578125" style="3"/>
    <col min="5" max="5" width="19" bestFit="1" customWidth="1"/>
    <col min="6" max="6" width="16.140625" style="3" customWidth="1"/>
  </cols>
  <sheetData>
    <row r="1" spans="1:6" x14ac:dyDescent="0.25">
      <c r="A1" s="4" t="s">
        <v>66</v>
      </c>
      <c r="B1" s="4" t="s">
        <v>68</v>
      </c>
      <c r="C1" s="4" t="s">
        <v>135</v>
      </c>
      <c r="D1" s="4" t="s">
        <v>67</v>
      </c>
      <c r="E1" s="4" t="s">
        <v>109</v>
      </c>
      <c r="F1" s="4" t="s">
        <v>132</v>
      </c>
    </row>
    <row r="2" spans="1:6" x14ac:dyDescent="0.25">
      <c r="A2" s="3" t="str">
        <f>IF(C2="","",VLOOKUP(C2,Source_Plate!$A$2:$B$97,2,FALSE))</f>
        <v>A01</v>
      </c>
      <c r="B2" s="3" t="str">
        <f>IF(C2="","",'Plan+'!F2)</f>
        <v>A01</v>
      </c>
      <c r="C2" s="8" t="str">
        <f>IF('Plan+'!B2="","",'Plan+'!B2)</f>
        <v>UNS1_fwd und UNS4_rev</v>
      </c>
      <c r="D2" s="3">
        <f>IF(C2="","",'Plate organization+'!$B$41)</f>
        <v>5</v>
      </c>
      <c r="E2" t="str">
        <f>'Plan+'!G2</f>
        <v>Destination_Plate_1</v>
      </c>
      <c r="F2" s="3" t="str">
        <f>'Plate organization+'!$A$13</f>
        <v>mtp_source</v>
      </c>
    </row>
    <row r="3" spans="1:6" x14ac:dyDescent="0.25">
      <c r="A3" s="3" t="str">
        <f>IF(C3="","",VLOOKUP(C3,Source_Plate!$A$2:$B$97,2,FALSE))</f>
        <v>B01</v>
      </c>
      <c r="B3" s="3" t="str">
        <f>IF(C3="","",'Plan+'!F3)</f>
        <v>B01</v>
      </c>
      <c r="C3" s="8" t="str">
        <f>IF('Plan+'!B3="","",'Plan+'!B3)</f>
        <v>UNS4_fwd und UNS10_rev</v>
      </c>
      <c r="D3" s="3">
        <f>IF(C3="","",'Plate organization+'!$B$41)</f>
        <v>5</v>
      </c>
      <c r="E3" t="str">
        <f>'Plan+'!G3</f>
        <v>Destination_Plate_1</v>
      </c>
      <c r="F3" s="3" t="str">
        <f>'Plate organization+'!$A$13</f>
        <v>mtp_source</v>
      </c>
    </row>
    <row r="4" spans="1:6" x14ac:dyDescent="0.25">
      <c r="A4" s="3" t="str">
        <f>IF(C4="","",VLOOKUP(C4,Source_Plate!$A$2:$B$97,2,FALSE))</f>
        <v/>
      </c>
      <c r="B4" s="3" t="str">
        <f>IF(C4="","",'Plan+'!F4)</f>
        <v/>
      </c>
      <c r="C4" s="8" t="str">
        <f>IF('Plan+'!B4="","",'Plan+'!B4)</f>
        <v/>
      </c>
      <c r="D4" s="3" t="str">
        <f>IF(C4="","",'Plate organization+'!$B$41)</f>
        <v/>
      </c>
      <c r="E4" t="str">
        <f>'Plan+'!G4</f>
        <v>Destination_Plate_1</v>
      </c>
      <c r="F4" s="3" t="str">
        <f>'Plate organization+'!$A$13</f>
        <v>mtp_source</v>
      </c>
    </row>
    <row r="5" spans="1:6" x14ac:dyDescent="0.25">
      <c r="A5" s="3" t="str">
        <f>IF(C5="","",VLOOKUP(C5,Source_Plate!$A$2:$B$97,2,FALSE))</f>
        <v/>
      </c>
      <c r="B5" s="3" t="str">
        <f>IF(C5="","",'Plan+'!F5)</f>
        <v/>
      </c>
      <c r="C5" s="8" t="str">
        <f>IF('Plan+'!B5="","",'Plan+'!B5)</f>
        <v/>
      </c>
      <c r="D5" s="3" t="str">
        <f>IF(C5="","",'Plate organization+'!$B$41)</f>
        <v/>
      </c>
      <c r="E5" t="str">
        <f>'Plan+'!G5</f>
        <v>Destination_Plate_1</v>
      </c>
      <c r="F5" s="3" t="str">
        <f>'Plate organization+'!$A$13</f>
        <v>mtp_source</v>
      </c>
    </row>
    <row r="6" spans="1:6" x14ac:dyDescent="0.25">
      <c r="A6" s="3" t="str">
        <f>IF(C6="","",VLOOKUP(C6,Source_Plate!$A$2:$B$97,2,FALSE))</f>
        <v/>
      </c>
      <c r="B6" s="3" t="str">
        <f>IF(C6="","",'Plan+'!F6)</f>
        <v/>
      </c>
      <c r="C6" s="8" t="str">
        <f>IF('Plan+'!B6="","",'Plan+'!B6)</f>
        <v/>
      </c>
      <c r="D6" s="3" t="str">
        <f>IF(C6="","",'Plate organization+'!$B$41)</f>
        <v/>
      </c>
      <c r="E6" t="str">
        <f>'Plan+'!G6</f>
        <v>Destination_Plate_1</v>
      </c>
      <c r="F6" s="3" t="str">
        <f>'Plate organization+'!$A$13</f>
        <v>mtp_source</v>
      </c>
    </row>
    <row r="7" spans="1:6" x14ac:dyDescent="0.25">
      <c r="A7" s="3" t="str">
        <f>IF(C7="","",VLOOKUP(C7,Source_Plate!$A$2:$B$97,2,FALSE))</f>
        <v/>
      </c>
      <c r="B7" s="3" t="str">
        <f>IF(C7="","",'Plan+'!F7)</f>
        <v/>
      </c>
      <c r="C7" s="8" t="str">
        <f>IF('Plan+'!B7="","",'Plan+'!B7)</f>
        <v/>
      </c>
      <c r="D7" s="3" t="str">
        <f>IF(C7="","",'Plate organization+'!$B$41)</f>
        <v/>
      </c>
      <c r="E7" t="str">
        <f>'Plan+'!G7</f>
        <v>Destination_Plate_1</v>
      </c>
      <c r="F7" s="3" t="str">
        <f>'Plate organization+'!$A$13</f>
        <v>mtp_source</v>
      </c>
    </row>
    <row r="8" spans="1:6" x14ac:dyDescent="0.25">
      <c r="A8" s="3" t="str">
        <f>IF(C8="","",VLOOKUP(C8,Source_Plate!$A$2:$B$97,2,FALSE))</f>
        <v/>
      </c>
      <c r="B8" s="3" t="str">
        <f>IF(C8="","",'Plan+'!F8)</f>
        <v/>
      </c>
      <c r="C8" s="8" t="str">
        <f>IF('Plan+'!B8="","",'Plan+'!B8)</f>
        <v/>
      </c>
      <c r="D8" s="3" t="str">
        <f>IF(C8="","",'Plate organization+'!$B$41)</f>
        <v/>
      </c>
      <c r="E8" t="str">
        <f>'Plan+'!G8</f>
        <v>Destination_Plate_1</v>
      </c>
      <c r="F8" s="3" t="str">
        <f>'Plate organization+'!$A$13</f>
        <v>mtp_source</v>
      </c>
    </row>
    <row r="9" spans="1:6" x14ac:dyDescent="0.25">
      <c r="A9" s="3" t="str">
        <f>IF(C9="","",VLOOKUP(C9,Source_Plate!$A$2:$B$97,2,FALSE))</f>
        <v/>
      </c>
      <c r="B9" s="3" t="str">
        <f>IF(C9="","",'Plan+'!F9)</f>
        <v/>
      </c>
      <c r="C9" s="8" t="str">
        <f>IF('Plan+'!B9="","",'Plan+'!B9)</f>
        <v/>
      </c>
      <c r="D9" s="3" t="str">
        <f>IF(C9="","",'Plate organization+'!$B$41)</f>
        <v/>
      </c>
      <c r="E9" t="str">
        <f>'Plan+'!G9</f>
        <v>Destination_Plate_1</v>
      </c>
      <c r="F9" s="3" t="str">
        <f>'Plate organization+'!$A$13</f>
        <v>mtp_source</v>
      </c>
    </row>
    <row r="10" spans="1:6" x14ac:dyDescent="0.25">
      <c r="A10" s="3" t="str">
        <f>IF(C10="","",VLOOKUP(C10,Source_Plate!$A$2:$B$97,2,FALSE))</f>
        <v/>
      </c>
      <c r="B10" s="3" t="str">
        <f>IF(C10="","",'Plan+'!F10)</f>
        <v/>
      </c>
      <c r="C10" s="8" t="str">
        <f>IF('Plan+'!B10="","",'Plan+'!B10)</f>
        <v/>
      </c>
      <c r="D10" s="3" t="str">
        <f>IF(C10="","",'Plate organization+'!$B$41)</f>
        <v/>
      </c>
      <c r="E10" t="str">
        <f>'Plan+'!G10</f>
        <v>Destination_Plate_1</v>
      </c>
      <c r="F10" s="3" t="str">
        <f>'Plate organization+'!$A$13</f>
        <v>mtp_source</v>
      </c>
    </row>
    <row r="11" spans="1:6" x14ac:dyDescent="0.25">
      <c r="A11" s="3" t="str">
        <f>IF(C11="","",VLOOKUP(C11,Source_Plate!$A$2:$B$97,2,FALSE))</f>
        <v/>
      </c>
      <c r="B11" s="3" t="str">
        <f>IF(C11="","",'Plan+'!F11)</f>
        <v/>
      </c>
      <c r="C11" s="8" t="str">
        <f>IF('Plan+'!B11="","",'Plan+'!B11)</f>
        <v/>
      </c>
      <c r="D11" s="3" t="str">
        <f>IF(C11="","",'Plate organization+'!$B$41)</f>
        <v/>
      </c>
      <c r="E11" t="str">
        <f>'Plan+'!G11</f>
        <v>Destination_Plate_1</v>
      </c>
      <c r="F11" s="3" t="str">
        <f>'Plate organization+'!$A$13</f>
        <v>mtp_source</v>
      </c>
    </row>
    <row r="12" spans="1:6" x14ac:dyDescent="0.25">
      <c r="A12" s="3" t="str">
        <f>IF(C12="","",VLOOKUP(C12,Source_Plate!$A$2:$B$97,2,FALSE))</f>
        <v/>
      </c>
      <c r="B12" s="3" t="str">
        <f>IF(C12="","",'Plan+'!F12)</f>
        <v/>
      </c>
      <c r="C12" s="8" t="str">
        <f>IF('Plan+'!B12="","",'Plan+'!B12)</f>
        <v/>
      </c>
      <c r="D12" s="3" t="str">
        <f>IF(C12="","",'Plate organization+'!$B$41)</f>
        <v/>
      </c>
      <c r="E12" t="str">
        <f>'Plan+'!G12</f>
        <v>Destination_Plate_1</v>
      </c>
      <c r="F12" s="3" t="str">
        <f>'Plate organization+'!$A$13</f>
        <v>mtp_source</v>
      </c>
    </row>
    <row r="13" spans="1:6" x14ac:dyDescent="0.25">
      <c r="A13" s="3" t="str">
        <f>IF(C13="","",VLOOKUP(C13,Source_Plate!$A$2:$B$97,2,FALSE))</f>
        <v/>
      </c>
      <c r="B13" s="3" t="str">
        <f>IF(C13="","",'Plan+'!F13)</f>
        <v/>
      </c>
      <c r="C13" s="8" t="str">
        <f>IF('Plan+'!B13="","",'Plan+'!B13)</f>
        <v/>
      </c>
      <c r="D13" s="3" t="str">
        <f>IF(C13="","",'Plate organization+'!$B$41)</f>
        <v/>
      </c>
      <c r="E13" t="str">
        <f>'Plan+'!G13</f>
        <v>Destination_Plate_1</v>
      </c>
      <c r="F13" s="3" t="str">
        <f>'Plate organization+'!$A$13</f>
        <v>mtp_source</v>
      </c>
    </row>
    <row r="14" spans="1:6" x14ac:dyDescent="0.25">
      <c r="A14" s="3" t="str">
        <f>IF(C14="","",VLOOKUP(C14,Source_Plate!$A$2:$B$97,2,FALSE))</f>
        <v/>
      </c>
      <c r="B14" s="3" t="str">
        <f>IF(C14="","",'Plan+'!F14)</f>
        <v/>
      </c>
      <c r="C14" s="8" t="str">
        <f>IF('Plan+'!B14="","",'Plan+'!B14)</f>
        <v/>
      </c>
      <c r="D14" s="3" t="str">
        <f>IF(C14="","",'Plate organization+'!$B$41)</f>
        <v/>
      </c>
      <c r="E14" t="str">
        <f>'Plan+'!G14</f>
        <v>Destination_Plate_1</v>
      </c>
      <c r="F14" s="3" t="str">
        <f>'Plate organization+'!$A$13</f>
        <v>mtp_source</v>
      </c>
    </row>
    <row r="15" spans="1:6" x14ac:dyDescent="0.25">
      <c r="A15" s="3" t="str">
        <f>IF(C15="","",VLOOKUP(C15,Source_Plate!$A$2:$B$97,2,FALSE))</f>
        <v/>
      </c>
      <c r="B15" s="3" t="str">
        <f>IF(C15="","",'Plan+'!F15)</f>
        <v/>
      </c>
      <c r="C15" s="8" t="str">
        <f>IF('Plan+'!B15="","",'Plan+'!B15)</f>
        <v/>
      </c>
      <c r="D15" s="3" t="str">
        <f>IF(C15="","",'Plate organization+'!$B$41)</f>
        <v/>
      </c>
      <c r="E15" t="str">
        <f>'Plan+'!G15</f>
        <v>Destination_Plate_1</v>
      </c>
      <c r="F15" s="3" t="str">
        <f>'Plate organization+'!$A$13</f>
        <v>mtp_source</v>
      </c>
    </row>
    <row r="16" spans="1:6" x14ac:dyDescent="0.25">
      <c r="A16" s="3" t="str">
        <f>IF(C16="","",VLOOKUP(C16,Source_Plate!$A$2:$B$97,2,FALSE))</f>
        <v/>
      </c>
      <c r="B16" s="3" t="str">
        <f>IF(C16="","",'Plan+'!F16)</f>
        <v/>
      </c>
      <c r="C16" s="8" t="str">
        <f>IF('Plan+'!B16="","",'Plan+'!B16)</f>
        <v/>
      </c>
      <c r="D16" s="3" t="str">
        <f>IF(C16="","",'Plate organization+'!$B$41)</f>
        <v/>
      </c>
      <c r="E16" t="str">
        <f>'Plan+'!G16</f>
        <v>Destination_Plate_1</v>
      </c>
      <c r="F16" s="3" t="str">
        <f>'Plate organization+'!$A$13</f>
        <v>mtp_source</v>
      </c>
    </row>
    <row r="17" spans="1:6" x14ac:dyDescent="0.25">
      <c r="A17" s="3" t="str">
        <f>IF(C17="","",VLOOKUP(C17,Source_Plate!$A$2:$B$97,2,FALSE))</f>
        <v/>
      </c>
      <c r="B17" s="3" t="str">
        <f>IF(C17="","",'Plan+'!F17)</f>
        <v/>
      </c>
      <c r="C17" s="8" t="str">
        <f>IF('Plan+'!B17="","",'Plan+'!B17)</f>
        <v/>
      </c>
      <c r="D17" s="3" t="str">
        <f>IF(C17="","",'Plate organization+'!$B$41)</f>
        <v/>
      </c>
      <c r="E17" t="str">
        <f>'Plan+'!G17</f>
        <v>Destination_Plate_1</v>
      </c>
      <c r="F17" s="3" t="str">
        <f>'Plate organization+'!$A$13</f>
        <v>mtp_source</v>
      </c>
    </row>
    <row r="18" spans="1:6" x14ac:dyDescent="0.25">
      <c r="A18" s="3" t="str">
        <f>IF(C18="","",VLOOKUP(C18,Source_Plate!$A$2:$B$97,2,FALSE))</f>
        <v/>
      </c>
      <c r="B18" s="3" t="str">
        <f>IF(C18="","",'Plan+'!F18)</f>
        <v/>
      </c>
      <c r="C18" s="8" t="str">
        <f>IF('Plan+'!B18="","",'Plan+'!B18)</f>
        <v/>
      </c>
      <c r="D18" s="3" t="str">
        <f>IF(C18="","",'Plate organization+'!$B$41)</f>
        <v/>
      </c>
      <c r="E18" t="str">
        <f>'Plan+'!G18</f>
        <v>Destination_Plate_1</v>
      </c>
      <c r="F18" s="3" t="str">
        <f>'Plate organization+'!$A$13</f>
        <v>mtp_source</v>
      </c>
    </row>
    <row r="19" spans="1:6" x14ac:dyDescent="0.25">
      <c r="A19" s="3" t="str">
        <f>IF(C19="","",VLOOKUP(C19,Source_Plate!$A$2:$B$97,2,FALSE))</f>
        <v/>
      </c>
      <c r="B19" s="3" t="str">
        <f>IF(C19="","",'Plan+'!F19)</f>
        <v/>
      </c>
      <c r="C19" s="8" t="str">
        <f>IF('Plan+'!B19="","",'Plan+'!B19)</f>
        <v/>
      </c>
      <c r="D19" s="3" t="str">
        <f>IF(C19="","",'Plate organization+'!$B$41)</f>
        <v/>
      </c>
      <c r="E19" t="str">
        <f>'Plan+'!G19</f>
        <v>Destination_Plate_1</v>
      </c>
      <c r="F19" s="3" t="str">
        <f>'Plate organization+'!$A$13</f>
        <v>mtp_source</v>
      </c>
    </row>
    <row r="20" spans="1:6" x14ac:dyDescent="0.25">
      <c r="A20" s="3" t="str">
        <f>IF(C20="","",VLOOKUP(C20,Source_Plate!$A$2:$B$97,2,FALSE))</f>
        <v/>
      </c>
      <c r="B20" s="3" t="str">
        <f>IF(C20="","",'Plan+'!F20)</f>
        <v/>
      </c>
      <c r="C20" s="8" t="str">
        <f>IF('Plan+'!B20="","",'Plan+'!B20)</f>
        <v/>
      </c>
      <c r="D20" s="3" t="str">
        <f>IF(C20="","",'Plate organization+'!$B$41)</f>
        <v/>
      </c>
      <c r="E20" t="str">
        <f>'Plan+'!G20</f>
        <v>Destination_Plate_1</v>
      </c>
      <c r="F20" s="3" t="str">
        <f>'Plate organization+'!$A$13</f>
        <v>mtp_source</v>
      </c>
    </row>
    <row r="21" spans="1:6" x14ac:dyDescent="0.25">
      <c r="A21" s="3" t="str">
        <f>IF(C21="","",VLOOKUP(C21,Source_Plate!$A$2:$B$97,2,FALSE))</f>
        <v/>
      </c>
      <c r="B21" s="3" t="str">
        <f>IF(C21="","",'Plan+'!F21)</f>
        <v/>
      </c>
      <c r="C21" s="8" t="str">
        <f>IF('Plan+'!B21="","",'Plan+'!B21)</f>
        <v/>
      </c>
      <c r="D21" s="3" t="str">
        <f>IF(C21="","",'Plate organization+'!$B$41)</f>
        <v/>
      </c>
      <c r="E21" t="str">
        <f>'Plan+'!G21</f>
        <v>Destination_Plate_1</v>
      </c>
      <c r="F21" s="3" t="str">
        <f>'Plate organization+'!$A$13</f>
        <v>mtp_source</v>
      </c>
    </row>
    <row r="22" spans="1:6" x14ac:dyDescent="0.25">
      <c r="A22" s="3" t="str">
        <f>IF(C22="","",VLOOKUP(C22,Source_Plate!$A$2:$B$97,2,FALSE))</f>
        <v/>
      </c>
      <c r="B22" s="3" t="str">
        <f>IF(C22="","",'Plan+'!F22)</f>
        <v/>
      </c>
      <c r="C22" s="8" t="str">
        <f>IF('Plan+'!B22="","",'Plan+'!B22)</f>
        <v/>
      </c>
      <c r="D22" s="3" t="str">
        <f>IF(C22="","",'Plate organization+'!$B$41)</f>
        <v/>
      </c>
      <c r="E22" t="str">
        <f>'Plan+'!G22</f>
        <v>Destination_Plate_1</v>
      </c>
      <c r="F22" s="3" t="str">
        <f>'Plate organization+'!$A$13</f>
        <v>mtp_source</v>
      </c>
    </row>
    <row r="23" spans="1:6" x14ac:dyDescent="0.25">
      <c r="A23" s="3" t="str">
        <f>IF(C23="","",VLOOKUP(C23,Source_Plate!$A$2:$B$97,2,FALSE))</f>
        <v/>
      </c>
      <c r="B23" s="3" t="str">
        <f>IF(C23="","",'Plan+'!F23)</f>
        <v/>
      </c>
      <c r="C23" s="8" t="str">
        <f>IF('Plan+'!B23="","",'Plan+'!B23)</f>
        <v/>
      </c>
      <c r="D23" s="3" t="str">
        <f>IF(C23="","",'Plate organization+'!$B$41)</f>
        <v/>
      </c>
      <c r="E23" t="str">
        <f>'Plan+'!G23</f>
        <v>Destination_Plate_1</v>
      </c>
      <c r="F23" s="3" t="str">
        <f>'Plate organization+'!$A$13</f>
        <v>mtp_source</v>
      </c>
    </row>
    <row r="24" spans="1:6" x14ac:dyDescent="0.25">
      <c r="A24" s="3" t="str">
        <f>IF(C24="","",VLOOKUP(C24,Source_Plate!$A$2:$B$97,2,FALSE))</f>
        <v/>
      </c>
      <c r="B24" s="3" t="str">
        <f>IF(C24="","",'Plan+'!F24)</f>
        <v/>
      </c>
      <c r="C24" s="8" t="str">
        <f>IF('Plan+'!B24="","",'Plan+'!B24)</f>
        <v/>
      </c>
      <c r="D24" s="3" t="str">
        <f>IF(C24="","",'Plate organization+'!$B$41)</f>
        <v/>
      </c>
      <c r="E24" t="str">
        <f>'Plan+'!G24</f>
        <v>Destination_Plate_1</v>
      </c>
      <c r="F24" s="3" t="str">
        <f>'Plate organization+'!$A$13</f>
        <v>mtp_source</v>
      </c>
    </row>
    <row r="25" spans="1:6" x14ac:dyDescent="0.25">
      <c r="A25" s="3" t="str">
        <f>IF(C25="","",VLOOKUP(C25,Source_Plate!$A$2:$B$97,2,FALSE))</f>
        <v/>
      </c>
      <c r="B25" s="3" t="str">
        <f>IF(C25="","",'Plan+'!F25)</f>
        <v/>
      </c>
      <c r="C25" s="8" t="str">
        <f>IF('Plan+'!B25="","",'Plan+'!B25)</f>
        <v/>
      </c>
      <c r="D25" s="3" t="str">
        <f>IF(C25="","",'Plate organization+'!$B$41)</f>
        <v/>
      </c>
      <c r="E25" t="str">
        <f>'Plan+'!G25</f>
        <v>Destination_Plate_1</v>
      </c>
      <c r="F25" s="3" t="str">
        <f>'Plate organization+'!$A$13</f>
        <v>mtp_source</v>
      </c>
    </row>
    <row r="26" spans="1:6" x14ac:dyDescent="0.25">
      <c r="A26" s="3" t="str">
        <f>IF(C26="","",VLOOKUP(C26,Source_Plate!$A$2:$B$97,2,FALSE))</f>
        <v/>
      </c>
      <c r="B26" s="3" t="str">
        <f>IF(C26="","",'Plan+'!F26)</f>
        <v/>
      </c>
      <c r="C26" s="8" t="str">
        <f>IF('Plan+'!B26="","",'Plan+'!B26)</f>
        <v/>
      </c>
      <c r="D26" s="3" t="str">
        <f>IF(C26="","",'Plate organization+'!$B$41)</f>
        <v/>
      </c>
      <c r="E26" t="str">
        <f>'Plan+'!G26</f>
        <v>Destination_Plate_1</v>
      </c>
      <c r="F26" s="3" t="str">
        <f>'Plate organization+'!$A$13</f>
        <v>mtp_source</v>
      </c>
    </row>
    <row r="27" spans="1:6" x14ac:dyDescent="0.25">
      <c r="A27" s="3" t="str">
        <f>IF(C27="","",VLOOKUP(C27,Source_Plate!$A$2:$B$97,2,FALSE))</f>
        <v/>
      </c>
      <c r="B27" s="3" t="str">
        <f>IF(C27="","",'Plan+'!F27)</f>
        <v/>
      </c>
      <c r="C27" s="8" t="str">
        <f>IF('Plan+'!B27="","",'Plan+'!B27)</f>
        <v/>
      </c>
      <c r="D27" s="3" t="str">
        <f>IF(C27="","",'Plate organization+'!$B$41)</f>
        <v/>
      </c>
      <c r="E27" t="str">
        <f>'Plan+'!G27</f>
        <v>Destination_Plate_1</v>
      </c>
      <c r="F27" s="3" t="str">
        <f>'Plate organization+'!$A$13</f>
        <v>mtp_source</v>
      </c>
    </row>
    <row r="28" spans="1:6" x14ac:dyDescent="0.25">
      <c r="A28" s="3" t="str">
        <f>IF(C28="","",VLOOKUP(C28,Source_Plate!$A$2:$B$97,2,FALSE))</f>
        <v/>
      </c>
      <c r="B28" s="3" t="str">
        <f>IF(C28="","",'Plan+'!F28)</f>
        <v/>
      </c>
      <c r="C28" s="8" t="str">
        <f>IF('Plan+'!B28="","",'Plan+'!B28)</f>
        <v/>
      </c>
      <c r="D28" s="3" t="str">
        <f>IF(C28="","",'Plate organization+'!$B$41)</f>
        <v/>
      </c>
      <c r="E28" t="str">
        <f>'Plan+'!G28</f>
        <v>Destination_Plate_1</v>
      </c>
      <c r="F28" s="3" t="str">
        <f>'Plate organization+'!$A$13</f>
        <v>mtp_source</v>
      </c>
    </row>
    <row r="29" spans="1:6" x14ac:dyDescent="0.25">
      <c r="A29" s="3" t="str">
        <f>IF(C29="","",VLOOKUP(C29,Source_Plate!$A$2:$B$97,2,FALSE))</f>
        <v/>
      </c>
      <c r="B29" s="3" t="str">
        <f>IF(C29="","",'Plan+'!F29)</f>
        <v/>
      </c>
      <c r="C29" s="8" t="str">
        <f>IF('Plan+'!B29="","",'Plan+'!B29)</f>
        <v/>
      </c>
      <c r="D29" s="3" t="str">
        <f>IF(C29="","",'Plate organization+'!$B$41)</f>
        <v/>
      </c>
      <c r="E29" t="str">
        <f>'Plan+'!G29</f>
        <v>Destination_Plate_1</v>
      </c>
      <c r="F29" s="3" t="str">
        <f>'Plate organization+'!$A$13</f>
        <v>mtp_source</v>
      </c>
    </row>
    <row r="30" spans="1:6" x14ac:dyDescent="0.25">
      <c r="A30" s="3" t="str">
        <f>IF(C30="","",VLOOKUP(C30,Source_Plate!$A$2:$B$97,2,FALSE))</f>
        <v/>
      </c>
      <c r="B30" s="3" t="str">
        <f>IF(C30="","",'Plan+'!F30)</f>
        <v/>
      </c>
      <c r="C30" s="8" t="str">
        <f>IF('Plan+'!B30="","",'Plan+'!B30)</f>
        <v/>
      </c>
      <c r="D30" s="3" t="str">
        <f>IF(C30="","",'Plate organization+'!$B$41)</f>
        <v/>
      </c>
      <c r="E30" t="str">
        <f>'Plan+'!G30</f>
        <v>Destination_Plate_1</v>
      </c>
      <c r="F30" s="3" t="str">
        <f>'Plate organization+'!$A$13</f>
        <v>mtp_source</v>
      </c>
    </row>
    <row r="31" spans="1:6" x14ac:dyDescent="0.25">
      <c r="A31" s="3" t="str">
        <f>IF(C31="","",VLOOKUP(C31,Source_Plate!$A$2:$B$97,2,FALSE))</f>
        <v/>
      </c>
      <c r="B31" s="3" t="str">
        <f>IF(C31="","",'Plan+'!F31)</f>
        <v/>
      </c>
      <c r="C31" s="8" t="str">
        <f>IF('Plan+'!B31="","",'Plan+'!B31)</f>
        <v/>
      </c>
      <c r="D31" s="3" t="str">
        <f>IF(C31="","",'Plate organization+'!$B$41)</f>
        <v/>
      </c>
      <c r="E31" t="str">
        <f>'Plan+'!G31</f>
        <v>Destination_Plate_1</v>
      </c>
      <c r="F31" s="3" t="str">
        <f>'Plate organization+'!$A$13</f>
        <v>mtp_source</v>
      </c>
    </row>
    <row r="32" spans="1:6" x14ac:dyDescent="0.25">
      <c r="A32" s="3" t="str">
        <f>IF(C32="","",VLOOKUP(C32,Source_Plate!$A$2:$B$97,2,FALSE))</f>
        <v/>
      </c>
      <c r="B32" s="3" t="str">
        <f>IF(C32="","",'Plan+'!F32)</f>
        <v/>
      </c>
      <c r="C32" s="8" t="str">
        <f>IF('Plan+'!B32="","",'Plan+'!B32)</f>
        <v/>
      </c>
      <c r="D32" s="3" t="str">
        <f>IF(C32="","",'Plate organization+'!$B$41)</f>
        <v/>
      </c>
      <c r="E32" t="str">
        <f>'Plan+'!G32</f>
        <v>Destination_Plate_1</v>
      </c>
      <c r="F32" s="3" t="str">
        <f>'Plate organization+'!$A$13</f>
        <v>mtp_source</v>
      </c>
    </row>
    <row r="33" spans="1:6" x14ac:dyDescent="0.25">
      <c r="A33" s="3" t="str">
        <f>IF(C33="","",VLOOKUP(C33,Source_Plate!$A$2:$B$97,2,FALSE))</f>
        <v/>
      </c>
      <c r="B33" s="3" t="str">
        <f>IF(C33="","",'Plan+'!F33)</f>
        <v/>
      </c>
      <c r="C33" s="8" t="str">
        <f>IF('Plan+'!B33="","",'Plan+'!B33)</f>
        <v/>
      </c>
      <c r="D33" s="3" t="str">
        <f>IF(C33="","",'Plate organization+'!$B$41)</f>
        <v/>
      </c>
      <c r="E33" t="str">
        <f>'Plan+'!G33</f>
        <v>Destination_Plate_1</v>
      </c>
      <c r="F33" s="3" t="str">
        <f>'Plate organization+'!$A$13</f>
        <v>mtp_source</v>
      </c>
    </row>
    <row r="34" spans="1:6" x14ac:dyDescent="0.25">
      <c r="A34" s="3" t="str">
        <f>IF(C34="","",VLOOKUP(C34,Source_Plate!$A$2:$B$97,2,FALSE))</f>
        <v/>
      </c>
      <c r="B34" s="3" t="str">
        <f>IF(C34="","",'Plan+'!F34)</f>
        <v/>
      </c>
      <c r="C34" s="8" t="str">
        <f>IF('Plan+'!B34="","",'Plan+'!B34)</f>
        <v/>
      </c>
      <c r="D34" s="3" t="str">
        <f>IF(C34="","",'Plate organization+'!$B$41)</f>
        <v/>
      </c>
      <c r="E34" t="str">
        <f>'Plan+'!G34</f>
        <v>Destination_Plate_1</v>
      </c>
      <c r="F34" s="3" t="str">
        <f>'Plate organization+'!$A$13</f>
        <v>mtp_source</v>
      </c>
    </row>
    <row r="35" spans="1:6" x14ac:dyDescent="0.25">
      <c r="A35" s="3" t="str">
        <f>IF(C35="","",VLOOKUP(C35,Source_Plate!$A$2:$B$97,2,FALSE))</f>
        <v/>
      </c>
      <c r="B35" s="3" t="str">
        <f>IF(C35="","",'Plan+'!F35)</f>
        <v/>
      </c>
      <c r="C35" s="8" t="str">
        <f>IF('Plan+'!B35="","",'Plan+'!B35)</f>
        <v/>
      </c>
      <c r="D35" s="3" t="str">
        <f>IF(C35="","",'Plate organization+'!$B$41)</f>
        <v/>
      </c>
      <c r="E35" t="str">
        <f>'Plan+'!G35</f>
        <v>Destination_Plate_1</v>
      </c>
      <c r="F35" s="3" t="str">
        <f>'Plate organization+'!$A$13</f>
        <v>mtp_source</v>
      </c>
    </row>
    <row r="36" spans="1:6" x14ac:dyDescent="0.25">
      <c r="A36" s="3" t="str">
        <f>IF(C36="","",VLOOKUP(C36,Source_Plate!$A$2:$B$97,2,FALSE))</f>
        <v/>
      </c>
      <c r="B36" s="3" t="str">
        <f>IF(C36="","",'Plan+'!F36)</f>
        <v/>
      </c>
      <c r="C36" s="8" t="str">
        <f>IF('Plan+'!B36="","",'Plan+'!B36)</f>
        <v/>
      </c>
      <c r="D36" s="3" t="str">
        <f>IF(C36="","",'Plate organization+'!$B$41)</f>
        <v/>
      </c>
      <c r="E36" t="str">
        <f>'Plan+'!G36</f>
        <v>Destination_Plate_1</v>
      </c>
      <c r="F36" s="3" t="str">
        <f>'Plate organization+'!$A$13</f>
        <v>mtp_source</v>
      </c>
    </row>
    <row r="37" spans="1:6" x14ac:dyDescent="0.25">
      <c r="A37" s="3" t="str">
        <f>IF(C37="","",VLOOKUP(C37,Source_Plate!$A$2:$B$97,2,FALSE))</f>
        <v/>
      </c>
      <c r="B37" s="3" t="str">
        <f>IF(C37="","",'Plan+'!F37)</f>
        <v/>
      </c>
      <c r="C37" s="8" t="str">
        <f>IF('Plan+'!B37="","",'Plan+'!B37)</f>
        <v/>
      </c>
      <c r="D37" s="3" t="str">
        <f>IF(C37="","",'Plate organization+'!$B$41)</f>
        <v/>
      </c>
      <c r="E37" t="str">
        <f>'Plan+'!G37</f>
        <v>Destination_Plate_1</v>
      </c>
      <c r="F37" s="3" t="str">
        <f>'Plate organization+'!$A$13</f>
        <v>mtp_source</v>
      </c>
    </row>
    <row r="38" spans="1:6" x14ac:dyDescent="0.25">
      <c r="A38" s="3" t="str">
        <f>IF(C38="","",VLOOKUP(C38,Source_Plate!$A$2:$B$97,2,FALSE))</f>
        <v/>
      </c>
      <c r="B38" s="3" t="str">
        <f>IF(C38="","",'Plan+'!F38)</f>
        <v/>
      </c>
      <c r="C38" s="8" t="str">
        <f>IF('Plan+'!B38="","",'Plan+'!B38)</f>
        <v/>
      </c>
      <c r="D38" s="3" t="str">
        <f>IF(C38="","",'Plate organization+'!$B$41)</f>
        <v/>
      </c>
      <c r="E38" t="str">
        <f>'Plan+'!G38</f>
        <v>Destination_Plate_1</v>
      </c>
      <c r="F38" s="3" t="str">
        <f>'Plate organization+'!$A$13</f>
        <v>mtp_source</v>
      </c>
    </row>
    <row r="39" spans="1:6" x14ac:dyDescent="0.25">
      <c r="A39" s="3" t="str">
        <f>IF(C39="","",VLOOKUP(C39,Source_Plate!$A$2:$B$97,2,FALSE))</f>
        <v/>
      </c>
      <c r="B39" s="3" t="str">
        <f>IF(C39="","",'Plan+'!F39)</f>
        <v/>
      </c>
      <c r="C39" s="8" t="str">
        <f>IF('Plan+'!B39="","",'Plan+'!B39)</f>
        <v/>
      </c>
      <c r="D39" s="3" t="str">
        <f>IF(C39="","",'Plate organization+'!$B$41)</f>
        <v/>
      </c>
      <c r="E39" t="str">
        <f>'Plan+'!G39</f>
        <v>Destination_Plate_1</v>
      </c>
      <c r="F39" s="3" t="str">
        <f>'Plate organization+'!$A$13</f>
        <v>mtp_source</v>
      </c>
    </row>
    <row r="40" spans="1:6" x14ac:dyDescent="0.25">
      <c r="A40" s="3" t="str">
        <f>IF(C40="","",VLOOKUP(C40,Source_Plate!$A$2:$B$97,2,FALSE))</f>
        <v/>
      </c>
      <c r="B40" s="3" t="str">
        <f>IF(C40="","",'Plan+'!F40)</f>
        <v/>
      </c>
      <c r="C40" s="8" t="str">
        <f>IF('Plan+'!B40="","",'Plan+'!B40)</f>
        <v/>
      </c>
      <c r="D40" s="3" t="str">
        <f>IF(C40="","",'Plate organization+'!$B$41)</f>
        <v/>
      </c>
      <c r="E40" t="str">
        <f>'Plan+'!G40</f>
        <v>Destination_Plate_1</v>
      </c>
      <c r="F40" s="3" t="str">
        <f>'Plate organization+'!$A$13</f>
        <v>mtp_source</v>
      </c>
    </row>
    <row r="41" spans="1:6" x14ac:dyDescent="0.25">
      <c r="A41" s="3" t="str">
        <f>IF(C41="","",VLOOKUP(C41,Source_Plate!$A$2:$B$97,2,FALSE))</f>
        <v/>
      </c>
      <c r="B41" s="3" t="str">
        <f>IF(C41="","",'Plan+'!F41)</f>
        <v/>
      </c>
      <c r="C41" s="8" t="str">
        <f>IF('Plan+'!B41="","",'Plan+'!B41)</f>
        <v/>
      </c>
      <c r="D41" s="3" t="str">
        <f>IF(C41="","",'Plate organization+'!$B$41)</f>
        <v/>
      </c>
      <c r="E41" t="str">
        <f>'Plan+'!G41</f>
        <v>Destination_Plate_1</v>
      </c>
      <c r="F41" s="3" t="str">
        <f>'Plate organization+'!$A$13</f>
        <v>mtp_source</v>
      </c>
    </row>
    <row r="42" spans="1:6" x14ac:dyDescent="0.25">
      <c r="A42" s="3" t="str">
        <f>IF(C42="","",VLOOKUP(C42,Source_Plate!$A$2:$B$97,2,FALSE))</f>
        <v/>
      </c>
      <c r="B42" s="3" t="str">
        <f>IF(C42="","",'Plan+'!F42)</f>
        <v/>
      </c>
      <c r="C42" s="8" t="str">
        <f>IF('Plan+'!B42="","",'Plan+'!B42)</f>
        <v/>
      </c>
      <c r="D42" s="3" t="str">
        <f>IF(C42="","",'Plate organization+'!$B$41)</f>
        <v/>
      </c>
      <c r="E42" t="str">
        <f>'Plan+'!G42</f>
        <v>Destination_Plate_1</v>
      </c>
      <c r="F42" s="3" t="str">
        <f>'Plate organization+'!$A$13</f>
        <v>mtp_source</v>
      </c>
    </row>
    <row r="43" spans="1:6" x14ac:dyDescent="0.25">
      <c r="A43" s="3" t="str">
        <f>IF(C43="","",VLOOKUP(C43,Source_Plate!$A$2:$B$97,2,FALSE))</f>
        <v/>
      </c>
      <c r="B43" s="3" t="str">
        <f>IF(C43="","",'Plan+'!F43)</f>
        <v/>
      </c>
      <c r="C43" s="8" t="str">
        <f>IF('Plan+'!B43="","",'Plan+'!B43)</f>
        <v/>
      </c>
      <c r="D43" s="3" t="str">
        <f>IF(C43="","",'Plate organization+'!$B$41)</f>
        <v/>
      </c>
      <c r="E43" t="str">
        <f>'Plan+'!G43</f>
        <v>Destination_Plate_1</v>
      </c>
      <c r="F43" s="3" t="str">
        <f>'Plate organization+'!$A$13</f>
        <v>mtp_source</v>
      </c>
    </row>
    <row r="44" spans="1:6" x14ac:dyDescent="0.25">
      <c r="A44" s="3" t="str">
        <f>IF(C44="","",VLOOKUP(C44,Source_Plate!$A$2:$B$97,2,FALSE))</f>
        <v/>
      </c>
      <c r="B44" s="3" t="str">
        <f>IF(C44="","",'Plan+'!F44)</f>
        <v/>
      </c>
      <c r="C44" s="8" t="str">
        <f>IF('Plan+'!B44="","",'Plan+'!B44)</f>
        <v/>
      </c>
      <c r="D44" s="3" t="str">
        <f>IF(C44="","",'Plate organization+'!$B$41)</f>
        <v/>
      </c>
      <c r="E44" t="str">
        <f>'Plan+'!G44</f>
        <v>Destination_Plate_1</v>
      </c>
      <c r="F44" s="3" t="str">
        <f>'Plate organization+'!$A$13</f>
        <v>mtp_source</v>
      </c>
    </row>
    <row r="45" spans="1:6" x14ac:dyDescent="0.25">
      <c r="A45" s="3" t="str">
        <f>IF(C45="","",VLOOKUP(C45,Source_Plate!$A$2:$B$97,2,FALSE))</f>
        <v/>
      </c>
      <c r="B45" s="3" t="str">
        <f>IF(C45="","",'Plan+'!F45)</f>
        <v/>
      </c>
      <c r="C45" s="8" t="str">
        <f>IF('Plan+'!B45="","",'Plan+'!B45)</f>
        <v/>
      </c>
      <c r="D45" s="3" t="str">
        <f>IF(C45="","",'Plate organization+'!$B$41)</f>
        <v/>
      </c>
      <c r="E45" t="str">
        <f>'Plan+'!G45</f>
        <v>Destination_Plate_1</v>
      </c>
      <c r="F45" s="3" t="str">
        <f>'Plate organization+'!$A$13</f>
        <v>mtp_source</v>
      </c>
    </row>
    <row r="46" spans="1:6" x14ac:dyDescent="0.25">
      <c r="A46" s="3" t="str">
        <f>IF(C46="","",VLOOKUP(C46,Source_Plate!$A$2:$B$97,2,FALSE))</f>
        <v/>
      </c>
      <c r="B46" s="3" t="str">
        <f>IF(C46="","",'Plan+'!F46)</f>
        <v/>
      </c>
      <c r="C46" s="8" t="str">
        <f>IF('Plan+'!B46="","",'Plan+'!B46)</f>
        <v/>
      </c>
      <c r="D46" s="3" t="str">
        <f>IF(C46="","",'Plate organization+'!$B$41)</f>
        <v/>
      </c>
      <c r="E46" t="str">
        <f>'Plan+'!G46</f>
        <v>Destination_Plate_1</v>
      </c>
      <c r="F46" s="3" t="str">
        <f>'Plate organization+'!$A$13</f>
        <v>mtp_source</v>
      </c>
    </row>
    <row r="47" spans="1:6" x14ac:dyDescent="0.25">
      <c r="A47" s="3" t="str">
        <f>IF(C47="","",VLOOKUP(C47,Source_Plate!$A$2:$B$97,2,FALSE))</f>
        <v/>
      </c>
      <c r="B47" s="3" t="str">
        <f>IF(C47="","",'Plan+'!F47)</f>
        <v/>
      </c>
      <c r="C47" s="8" t="str">
        <f>IF('Plan+'!B47="","",'Plan+'!B47)</f>
        <v/>
      </c>
      <c r="D47" s="3" t="str">
        <f>IF(C47="","",'Plate organization+'!$B$41)</f>
        <v/>
      </c>
      <c r="E47" t="str">
        <f>'Plan+'!G47</f>
        <v>Destination_Plate_1</v>
      </c>
      <c r="F47" s="3" t="str">
        <f>'Plate organization+'!$A$13</f>
        <v>mtp_source</v>
      </c>
    </row>
    <row r="48" spans="1:6" x14ac:dyDescent="0.25">
      <c r="A48" s="3" t="str">
        <f>IF(C48="","",VLOOKUP(C48,Source_Plate!$A$2:$B$97,2,FALSE))</f>
        <v/>
      </c>
      <c r="B48" s="3" t="str">
        <f>IF(C48="","",'Plan+'!F48)</f>
        <v/>
      </c>
      <c r="C48" s="8" t="str">
        <f>IF('Plan+'!B48="","",'Plan+'!B48)</f>
        <v/>
      </c>
      <c r="D48" s="3" t="str">
        <f>IF(C48="","",'Plate organization+'!$B$41)</f>
        <v/>
      </c>
      <c r="E48" t="str">
        <f>'Plan+'!G48</f>
        <v>Destination_Plate_1</v>
      </c>
      <c r="F48" s="3" t="str">
        <f>'Plate organization+'!$A$13</f>
        <v>mtp_source</v>
      </c>
    </row>
    <row r="49" spans="1:6" x14ac:dyDescent="0.25">
      <c r="A49" s="3" t="str">
        <f>IF(C49="","",VLOOKUP(C49,Source_Plate!$A$2:$B$97,2,FALSE))</f>
        <v/>
      </c>
      <c r="B49" s="3" t="str">
        <f>IF(C49="","",'Plan+'!F49)</f>
        <v/>
      </c>
      <c r="C49" s="8" t="str">
        <f>IF('Plan+'!B49="","",'Plan+'!B49)</f>
        <v/>
      </c>
      <c r="D49" s="3" t="str">
        <f>IF(C49="","",'Plate organization+'!$B$41)</f>
        <v/>
      </c>
      <c r="E49" t="str">
        <f>'Plan+'!G49</f>
        <v>Destination_Plate_1</v>
      </c>
      <c r="F49" s="3" t="str">
        <f>'Plate organization+'!$A$13</f>
        <v>mtp_source</v>
      </c>
    </row>
    <row r="50" spans="1:6" x14ac:dyDescent="0.25">
      <c r="A50" s="3" t="str">
        <f>IF(C50="","",VLOOKUP(C50,Source_Plate!$A$2:$B$97,2,FALSE))</f>
        <v/>
      </c>
      <c r="B50" s="3" t="str">
        <f>IF(C50="","",'Plan+'!F50)</f>
        <v/>
      </c>
      <c r="C50" s="8" t="str">
        <f>IF('Plan+'!B50="","",'Plan+'!B50)</f>
        <v/>
      </c>
      <c r="D50" s="3" t="str">
        <f>IF(C50="","",'Plate organization+'!$B$41)</f>
        <v/>
      </c>
      <c r="E50" t="str">
        <f>'Plan+'!G50</f>
        <v>Destination_Plate_1</v>
      </c>
      <c r="F50" s="3" t="str">
        <f>'Plate organization+'!$A$13</f>
        <v>mtp_source</v>
      </c>
    </row>
    <row r="51" spans="1:6" x14ac:dyDescent="0.25">
      <c r="A51" s="3" t="str">
        <f>IF(C51="","",VLOOKUP(C51,Source_Plate!$A$2:$B$97,2,FALSE))</f>
        <v/>
      </c>
      <c r="B51" s="3" t="str">
        <f>IF(C51="","",'Plan+'!F51)</f>
        <v/>
      </c>
      <c r="C51" s="8" t="str">
        <f>IF('Plan+'!B51="","",'Plan+'!B51)</f>
        <v/>
      </c>
      <c r="D51" s="3" t="str">
        <f>IF(C51="","",'Plate organization+'!$B$41)</f>
        <v/>
      </c>
      <c r="E51" t="str">
        <f>'Plan+'!G51</f>
        <v>Destination_Plate_1</v>
      </c>
      <c r="F51" s="3" t="str">
        <f>'Plate organization+'!$A$13</f>
        <v>mtp_source</v>
      </c>
    </row>
    <row r="52" spans="1:6" x14ac:dyDescent="0.25">
      <c r="A52" s="3" t="str">
        <f>IF(C52="","",VLOOKUP(C52,Source_Plate!$A$2:$B$97,2,FALSE))</f>
        <v/>
      </c>
      <c r="B52" s="3" t="str">
        <f>IF(C52="","",'Plan+'!F52)</f>
        <v/>
      </c>
      <c r="C52" s="8" t="str">
        <f>IF('Plan+'!B52="","",'Plan+'!B52)</f>
        <v/>
      </c>
      <c r="D52" s="3" t="str">
        <f>IF(C52="","",'Plate organization+'!$B$41)</f>
        <v/>
      </c>
      <c r="E52" t="str">
        <f>'Plan+'!G52</f>
        <v>Destination_Plate_1</v>
      </c>
      <c r="F52" s="3" t="str">
        <f>'Plate organization+'!$A$13</f>
        <v>mtp_source</v>
      </c>
    </row>
    <row r="53" spans="1:6" x14ac:dyDescent="0.25">
      <c r="A53" s="3" t="str">
        <f>IF(C53="","",VLOOKUP(C53,Source_Plate!$A$2:$B$97,2,FALSE))</f>
        <v/>
      </c>
      <c r="B53" s="3" t="str">
        <f>IF(C53="","",'Plan+'!F53)</f>
        <v/>
      </c>
      <c r="C53" s="8" t="str">
        <f>IF('Plan+'!B53="","",'Plan+'!B53)</f>
        <v/>
      </c>
      <c r="D53" s="3" t="str">
        <f>IF(C53="","",'Plate organization+'!$B$41)</f>
        <v/>
      </c>
      <c r="E53" t="str">
        <f>'Plan+'!G53</f>
        <v>Destination_Plate_1</v>
      </c>
      <c r="F53" s="3" t="str">
        <f>'Plate organization+'!$A$13</f>
        <v>mtp_source</v>
      </c>
    </row>
    <row r="54" spans="1:6" x14ac:dyDescent="0.25">
      <c r="A54" s="3" t="str">
        <f>IF(C54="","",VLOOKUP(C54,Source_Plate!$A$2:$B$97,2,FALSE))</f>
        <v/>
      </c>
      <c r="B54" s="3" t="str">
        <f>IF(C54="","",'Plan+'!F54)</f>
        <v/>
      </c>
      <c r="C54" s="8" t="str">
        <f>IF('Plan+'!B54="","",'Plan+'!B54)</f>
        <v/>
      </c>
      <c r="D54" s="3" t="str">
        <f>IF(C54="","",'Plate organization+'!$B$41)</f>
        <v/>
      </c>
      <c r="E54" t="str">
        <f>'Plan+'!G54</f>
        <v>Destination_Plate_1</v>
      </c>
      <c r="F54" s="3" t="str">
        <f>'Plate organization+'!$A$13</f>
        <v>mtp_source</v>
      </c>
    </row>
    <row r="55" spans="1:6" x14ac:dyDescent="0.25">
      <c r="A55" s="3" t="str">
        <f>IF(C55="","",VLOOKUP(C55,Source_Plate!$A$2:$B$97,2,FALSE))</f>
        <v/>
      </c>
      <c r="B55" s="3" t="str">
        <f>IF(C55="","",'Plan+'!F55)</f>
        <v/>
      </c>
      <c r="C55" s="8" t="str">
        <f>IF('Plan+'!B55="","",'Plan+'!B55)</f>
        <v/>
      </c>
      <c r="D55" s="3" t="str">
        <f>IF(C55="","",'Plate organization+'!$B$41)</f>
        <v/>
      </c>
      <c r="E55" t="str">
        <f>'Plan+'!G55</f>
        <v>Destination_Plate_1</v>
      </c>
      <c r="F55" s="3" t="str">
        <f>'Plate organization+'!$A$13</f>
        <v>mtp_source</v>
      </c>
    </row>
    <row r="56" spans="1:6" x14ac:dyDescent="0.25">
      <c r="A56" s="3" t="str">
        <f>IF(C56="","",VLOOKUP(C56,Source_Plate!$A$2:$B$97,2,FALSE))</f>
        <v/>
      </c>
      <c r="B56" s="3" t="str">
        <f>IF(C56="","",'Plan+'!F56)</f>
        <v/>
      </c>
      <c r="C56" s="8" t="str">
        <f>IF('Plan+'!B56="","",'Plan+'!B56)</f>
        <v/>
      </c>
      <c r="D56" s="3" t="str">
        <f>IF(C56="","",'Plate organization+'!$B$41)</f>
        <v/>
      </c>
      <c r="E56" t="str">
        <f>'Plan+'!G56</f>
        <v>Destination_Plate_1</v>
      </c>
      <c r="F56" s="3" t="str">
        <f>'Plate organization+'!$A$13</f>
        <v>mtp_source</v>
      </c>
    </row>
    <row r="57" spans="1:6" x14ac:dyDescent="0.25">
      <c r="A57" s="3" t="str">
        <f>IF(C57="","",VLOOKUP(C57,Source_Plate!$A$2:$B$97,2,FALSE))</f>
        <v/>
      </c>
      <c r="B57" s="3" t="str">
        <f>IF(C57="","",'Plan+'!F57)</f>
        <v/>
      </c>
      <c r="C57" s="8" t="str">
        <f>IF('Plan+'!B57="","",'Plan+'!B57)</f>
        <v/>
      </c>
      <c r="D57" s="3" t="str">
        <f>IF(C57="","",'Plate organization+'!$B$41)</f>
        <v/>
      </c>
      <c r="E57" t="str">
        <f>'Plan+'!G57</f>
        <v>Destination_Plate_1</v>
      </c>
      <c r="F57" s="3" t="str">
        <f>'Plate organization+'!$A$13</f>
        <v>mtp_source</v>
      </c>
    </row>
    <row r="58" spans="1:6" x14ac:dyDescent="0.25">
      <c r="A58" s="3" t="str">
        <f>IF(C58="","",VLOOKUP(C58,Source_Plate!$A$2:$B$97,2,FALSE))</f>
        <v/>
      </c>
      <c r="B58" s="3" t="str">
        <f>IF(C58="","",'Plan+'!F58)</f>
        <v/>
      </c>
      <c r="C58" s="8" t="str">
        <f>IF('Plan+'!B58="","",'Plan+'!B58)</f>
        <v/>
      </c>
      <c r="D58" s="3" t="str">
        <f>IF(C58="","",'Plate organization+'!$B$41)</f>
        <v/>
      </c>
      <c r="E58" t="str">
        <f>'Plan+'!G58</f>
        <v>Destination_Plate_1</v>
      </c>
      <c r="F58" s="3" t="str">
        <f>'Plate organization+'!$A$13</f>
        <v>mtp_source</v>
      </c>
    </row>
    <row r="59" spans="1:6" x14ac:dyDescent="0.25">
      <c r="A59" s="3" t="str">
        <f>IF(C59="","",VLOOKUP(C59,Source_Plate!$A$2:$B$97,2,FALSE))</f>
        <v/>
      </c>
      <c r="B59" s="3" t="str">
        <f>IF(C59="","",'Plan+'!F59)</f>
        <v/>
      </c>
      <c r="C59" s="8" t="str">
        <f>IF('Plan+'!B59="","",'Plan+'!B59)</f>
        <v/>
      </c>
      <c r="D59" s="3" t="str">
        <f>IF(C59="","",'Plate organization+'!$B$41)</f>
        <v/>
      </c>
      <c r="E59" t="str">
        <f>'Plan+'!G59</f>
        <v>Destination_Plate_1</v>
      </c>
      <c r="F59" s="3" t="str">
        <f>'Plate organization+'!$A$13</f>
        <v>mtp_source</v>
      </c>
    </row>
    <row r="60" spans="1:6" x14ac:dyDescent="0.25">
      <c r="A60" s="3" t="str">
        <f>IF(C60="","",VLOOKUP(C60,Source_Plate!$A$2:$B$97,2,FALSE))</f>
        <v/>
      </c>
      <c r="B60" s="3" t="str">
        <f>IF(C60="","",'Plan+'!F60)</f>
        <v/>
      </c>
      <c r="C60" s="8" t="str">
        <f>IF('Plan+'!B60="","",'Plan+'!B60)</f>
        <v/>
      </c>
      <c r="D60" s="3" t="str">
        <f>IF(C60="","",'Plate organization+'!$B$41)</f>
        <v/>
      </c>
      <c r="E60" t="str">
        <f>'Plan+'!G60</f>
        <v>Destination_Plate_1</v>
      </c>
      <c r="F60" s="3" t="str">
        <f>'Plate organization+'!$A$13</f>
        <v>mtp_source</v>
      </c>
    </row>
    <row r="61" spans="1:6" x14ac:dyDescent="0.25">
      <c r="A61" s="3" t="str">
        <f>IF(C61="","",VLOOKUP(C61,Source_Plate!$A$2:$B$97,2,FALSE))</f>
        <v/>
      </c>
      <c r="B61" s="3" t="str">
        <f>IF(C61="","",'Plan+'!F61)</f>
        <v/>
      </c>
      <c r="C61" s="8" t="str">
        <f>IF('Plan+'!B61="","",'Plan+'!B61)</f>
        <v/>
      </c>
      <c r="D61" s="3" t="str">
        <f>IF(C61="","",'Plate organization+'!$B$41)</f>
        <v/>
      </c>
      <c r="E61" t="str">
        <f>'Plan+'!G61</f>
        <v>Destination_Plate_1</v>
      </c>
      <c r="F61" s="3" t="str">
        <f>'Plate organization+'!$A$13</f>
        <v>mtp_source</v>
      </c>
    </row>
    <row r="62" spans="1:6" x14ac:dyDescent="0.25">
      <c r="A62" s="3" t="str">
        <f>IF(C62="","",VLOOKUP(C62,Source_Plate!$A$2:$B$97,2,FALSE))</f>
        <v/>
      </c>
      <c r="B62" s="3" t="str">
        <f>IF(C62="","",'Plan+'!F62)</f>
        <v/>
      </c>
      <c r="C62" s="8" t="str">
        <f>IF('Plan+'!B62="","",'Plan+'!B62)</f>
        <v/>
      </c>
      <c r="D62" s="3" t="str">
        <f>IF(C62="","",'Plate organization+'!$B$41)</f>
        <v/>
      </c>
      <c r="E62" t="str">
        <f>'Plan+'!G62</f>
        <v>Destination_Plate_1</v>
      </c>
      <c r="F62" s="3" t="str">
        <f>'Plate organization+'!$A$13</f>
        <v>mtp_source</v>
      </c>
    </row>
    <row r="63" spans="1:6" x14ac:dyDescent="0.25">
      <c r="A63" s="3" t="str">
        <f>IF(C63="","",VLOOKUP(C63,Source_Plate!$A$2:$B$97,2,FALSE))</f>
        <v/>
      </c>
      <c r="B63" s="3" t="str">
        <f>IF(C63="","",'Plan+'!F63)</f>
        <v/>
      </c>
      <c r="C63" s="8" t="str">
        <f>IF('Plan+'!B63="","",'Plan+'!B63)</f>
        <v/>
      </c>
      <c r="D63" s="3" t="str">
        <f>IF(C63="","",'Plate organization+'!$B$41)</f>
        <v/>
      </c>
      <c r="E63" t="str">
        <f>'Plan+'!G63</f>
        <v>Destination_Plate_1</v>
      </c>
      <c r="F63" s="3" t="str">
        <f>'Plate organization+'!$A$13</f>
        <v>mtp_source</v>
      </c>
    </row>
    <row r="64" spans="1:6" x14ac:dyDescent="0.25">
      <c r="A64" s="3" t="str">
        <f>IF(C64="","",VLOOKUP(C64,Source_Plate!$A$2:$B$97,2,FALSE))</f>
        <v/>
      </c>
      <c r="B64" s="3" t="str">
        <f>IF(C64="","",'Plan+'!F64)</f>
        <v/>
      </c>
      <c r="C64" s="8" t="str">
        <f>IF('Plan+'!B64="","",'Plan+'!B64)</f>
        <v/>
      </c>
      <c r="D64" s="3" t="str">
        <f>IF(C64="","",'Plate organization+'!$B$41)</f>
        <v/>
      </c>
      <c r="E64" t="str">
        <f>'Plan+'!G64</f>
        <v>Destination_Plate_1</v>
      </c>
      <c r="F64" s="3" t="str">
        <f>'Plate organization+'!$A$13</f>
        <v>mtp_source</v>
      </c>
    </row>
    <row r="65" spans="1:6" x14ac:dyDescent="0.25">
      <c r="A65" s="3" t="str">
        <f>IF(C65="","",VLOOKUP(C65,Source_Plate!$A$2:$B$97,2,FALSE))</f>
        <v/>
      </c>
      <c r="B65" s="3" t="str">
        <f>IF(C65="","",'Plan+'!F65)</f>
        <v/>
      </c>
      <c r="C65" s="8" t="str">
        <f>IF('Plan+'!B65="","",'Plan+'!B65)</f>
        <v/>
      </c>
      <c r="D65" s="3" t="str">
        <f>IF(C65="","",'Plate organization+'!$B$41)</f>
        <v/>
      </c>
      <c r="E65" t="str">
        <f>'Plan+'!G65</f>
        <v>Destination_Plate_1</v>
      </c>
      <c r="F65" s="3" t="str">
        <f>'Plate organization+'!$A$13</f>
        <v>mtp_source</v>
      </c>
    </row>
    <row r="66" spans="1:6" x14ac:dyDescent="0.25">
      <c r="A66" s="3" t="str">
        <f>IF(C66="","",VLOOKUP(C66,Source_Plate!$A$2:$B$97,2,FALSE))</f>
        <v/>
      </c>
      <c r="B66" s="3" t="str">
        <f>IF(C66="","",'Plan+'!F66)</f>
        <v/>
      </c>
      <c r="C66" s="8" t="str">
        <f>IF('Plan+'!B66="","",'Plan+'!B66)</f>
        <v/>
      </c>
      <c r="D66" s="3" t="str">
        <f>IF(C66="","",'Plate organization+'!$B$41)</f>
        <v/>
      </c>
      <c r="E66" t="str">
        <f>'Plan+'!G66</f>
        <v>Destination_Plate_1</v>
      </c>
      <c r="F66" s="3" t="str">
        <f>'Plate organization+'!$A$13</f>
        <v>mtp_source</v>
      </c>
    </row>
    <row r="67" spans="1:6" x14ac:dyDescent="0.25">
      <c r="A67" s="3" t="str">
        <f>IF(C67="","",VLOOKUP(C67,Source_Plate!$A$2:$B$97,2,FALSE))</f>
        <v/>
      </c>
      <c r="B67" s="3" t="str">
        <f>IF(C67="","",'Plan+'!F67)</f>
        <v/>
      </c>
      <c r="C67" s="8" t="str">
        <f>IF('Plan+'!B67="","",'Plan+'!B67)</f>
        <v/>
      </c>
      <c r="D67" s="3" t="str">
        <f>IF(C67="","",'Plate organization+'!$B$41)</f>
        <v/>
      </c>
      <c r="E67" t="str">
        <f>'Plan+'!G67</f>
        <v>Destination_Plate_1</v>
      </c>
      <c r="F67" s="3" t="str">
        <f>'Plate organization+'!$A$13</f>
        <v>mtp_source</v>
      </c>
    </row>
    <row r="68" spans="1:6" x14ac:dyDescent="0.25">
      <c r="A68" s="3" t="str">
        <f>IF(C68="","",VLOOKUP(C68,Source_Plate!$A$2:$B$97,2,FALSE))</f>
        <v/>
      </c>
      <c r="B68" s="3" t="str">
        <f>IF(C68="","",'Plan+'!F68)</f>
        <v/>
      </c>
      <c r="C68" s="8" t="str">
        <f>IF('Plan+'!B68="","",'Plan+'!B68)</f>
        <v/>
      </c>
      <c r="D68" s="3" t="str">
        <f>IF(C68="","",'Plate organization+'!$B$41)</f>
        <v/>
      </c>
      <c r="E68" t="str">
        <f>'Plan+'!G68</f>
        <v>Destination_Plate_1</v>
      </c>
      <c r="F68" s="3" t="str">
        <f>'Plate organization+'!$A$13</f>
        <v>mtp_source</v>
      </c>
    </row>
    <row r="69" spans="1:6" x14ac:dyDescent="0.25">
      <c r="A69" s="3" t="str">
        <f>IF(C69="","",VLOOKUP(C69,Source_Plate!$A$2:$B$97,2,FALSE))</f>
        <v/>
      </c>
      <c r="B69" s="3" t="str">
        <f>IF(C69="","",'Plan+'!F69)</f>
        <v/>
      </c>
      <c r="C69" s="8" t="str">
        <f>IF('Plan+'!B69="","",'Plan+'!B69)</f>
        <v/>
      </c>
      <c r="D69" s="3" t="str">
        <f>IF(C69="","",'Plate organization+'!$B$41)</f>
        <v/>
      </c>
      <c r="E69" t="str">
        <f>'Plan+'!G69</f>
        <v>Destination_Plate_1</v>
      </c>
      <c r="F69" s="3" t="str">
        <f>'Plate organization+'!$A$13</f>
        <v>mtp_source</v>
      </c>
    </row>
    <row r="70" spans="1:6" x14ac:dyDescent="0.25">
      <c r="A70" s="3" t="str">
        <f>IF(C70="","",VLOOKUP(C70,Source_Plate!$A$2:$B$97,2,FALSE))</f>
        <v/>
      </c>
      <c r="B70" s="3" t="str">
        <f>IF(C70="","",'Plan+'!F70)</f>
        <v/>
      </c>
      <c r="C70" s="8" t="str">
        <f>IF('Plan+'!B70="","",'Plan+'!B70)</f>
        <v/>
      </c>
      <c r="D70" s="3" t="str">
        <f>IF(C70="","",'Plate organization+'!$B$41)</f>
        <v/>
      </c>
      <c r="E70" t="str">
        <f>'Plan+'!G70</f>
        <v>Destination_Plate_1</v>
      </c>
      <c r="F70" s="3" t="str">
        <f>'Plate organization+'!$A$13</f>
        <v>mtp_source</v>
      </c>
    </row>
    <row r="71" spans="1:6" x14ac:dyDescent="0.25">
      <c r="A71" s="3" t="str">
        <f>IF(C71="","",VLOOKUP(C71,Source_Plate!$A$2:$B$97,2,FALSE))</f>
        <v/>
      </c>
      <c r="B71" s="3" t="str">
        <f>IF(C71="","",'Plan+'!F71)</f>
        <v/>
      </c>
      <c r="C71" s="8" t="str">
        <f>IF('Plan+'!B71="","",'Plan+'!B71)</f>
        <v/>
      </c>
      <c r="D71" s="3" t="str">
        <f>IF(C71="","",'Plate organization+'!$B$41)</f>
        <v/>
      </c>
      <c r="E71" t="str">
        <f>'Plan+'!G71</f>
        <v>Destination_Plate_1</v>
      </c>
      <c r="F71" s="3" t="str">
        <f>'Plate organization+'!$A$13</f>
        <v>mtp_source</v>
      </c>
    </row>
    <row r="72" spans="1:6" x14ac:dyDescent="0.25">
      <c r="A72" s="3" t="str">
        <f>IF(C72="","",VLOOKUP(C72,Source_Plate!$A$2:$B$97,2,FALSE))</f>
        <v/>
      </c>
      <c r="B72" s="3" t="str">
        <f>IF(C72="","",'Plan+'!F72)</f>
        <v/>
      </c>
      <c r="C72" s="8" t="str">
        <f>IF('Plan+'!B72="","",'Plan+'!B72)</f>
        <v/>
      </c>
      <c r="D72" s="3" t="str">
        <f>IF(C72="","",'Plate organization+'!$B$41)</f>
        <v/>
      </c>
      <c r="E72" t="str">
        <f>'Plan+'!G72</f>
        <v>Destination_Plate_1</v>
      </c>
      <c r="F72" s="3" t="str">
        <f>'Plate organization+'!$A$13</f>
        <v>mtp_source</v>
      </c>
    </row>
    <row r="73" spans="1:6" x14ac:dyDescent="0.25">
      <c r="A73" s="3" t="str">
        <f>IF(C73="","",VLOOKUP(C73,Source_Plate!$A$2:$B$97,2,FALSE))</f>
        <v/>
      </c>
      <c r="B73" s="3" t="str">
        <f>IF(C73="","",'Plan+'!F73)</f>
        <v/>
      </c>
      <c r="C73" s="8" t="str">
        <f>IF('Plan+'!B73="","",'Plan+'!B73)</f>
        <v/>
      </c>
      <c r="D73" s="3" t="str">
        <f>IF(C73="","",'Plate organization+'!$B$41)</f>
        <v/>
      </c>
      <c r="E73" t="str">
        <f>'Plan+'!G73</f>
        <v>Destination_Plate_1</v>
      </c>
      <c r="F73" s="3" t="str">
        <f>'Plate organization+'!$A$13</f>
        <v>mtp_source</v>
      </c>
    </row>
    <row r="74" spans="1:6" x14ac:dyDescent="0.25">
      <c r="A74" s="3" t="str">
        <f>IF(C74="","",VLOOKUP(C74,Source_Plate!$A$2:$B$97,2,FALSE))</f>
        <v/>
      </c>
      <c r="B74" s="3" t="str">
        <f>IF(C74="","",'Plan+'!F74)</f>
        <v/>
      </c>
      <c r="C74" s="8" t="str">
        <f>IF('Plan+'!B74="","",'Plan+'!B74)</f>
        <v/>
      </c>
      <c r="D74" s="3" t="str">
        <f>IF(C74="","",'Plate organization+'!$B$41)</f>
        <v/>
      </c>
      <c r="E74" t="str">
        <f>'Plan+'!G74</f>
        <v>Destination_Plate_1</v>
      </c>
      <c r="F74" s="3" t="str">
        <f>'Plate organization+'!$A$13</f>
        <v>mtp_source</v>
      </c>
    </row>
    <row r="75" spans="1:6" x14ac:dyDescent="0.25">
      <c r="A75" s="3" t="str">
        <f>IF(C75="","",VLOOKUP(C75,Source_Plate!$A$2:$B$97,2,FALSE))</f>
        <v/>
      </c>
      <c r="B75" s="3" t="str">
        <f>IF(C75="","",'Plan+'!F75)</f>
        <v/>
      </c>
      <c r="C75" s="8" t="str">
        <f>IF('Plan+'!B75="","",'Plan+'!B75)</f>
        <v/>
      </c>
      <c r="D75" s="3" t="str">
        <f>IF(C75="","",'Plate organization+'!$B$41)</f>
        <v/>
      </c>
      <c r="E75" t="str">
        <f>'Plan+'!G75</f>
        <v>Destination_Plate_1</v>
      </c>
      <c r="F75" s="3" t="str">
        <f>'Plate organization+'!$A$13</f>
        <v>mtp_source</v>
      </c>
    </row>
    <row r="76" spans="1:6" x14ac:dyDescent="0.25">
      <c r="A76" s="3" t="str">
        <f>IF(C76="","",VLOOKUP(C76,Source_Plate!$A$2:$B$97,2,FALSE))</f>
        <v/>
      </c>
      <c r="B76" s="3" t="str">
        <f>IF(C76="","",'Plan+'!F76)</f>
        <v/>
      </c>
      <c r="C76" s="8" t="str">
        <f>IF('Plan+'!B76="","",'Plan+'!B76)</f>
        <v/>
      </c>
      <c r="D76" s="3" t="str">
        <f>IF(C76="","",'Plate organization+'!$B$41)</f>
        <v/>
      </c>
      <c r="E76" t="str">
        <f>'Plan+'!G76</f>
        <v>Destination_Plate_1</v>
      </c>
      <c r="F76" s="3" t="str">
        <f>'Plate organization+'!$A$13</f>
        <v>mtp_source</v>
      </c>
    </row>
    <row r="77" spans="1:6" x14ac:dyDescent="0.25">
      <c r="A77" s="3" t="str">
        <f>IF(C77="","",VLOOKUP(C77,Source_Plate!$A$2:$B$97,2,FALSE))</f>
        <v/>
      </c>
      <c r="B77" s="3" t="str">
        <f>IF(C77="","",'Plan+'!F77)</f>
        <v/>
      </c>
      <c r="C77" s="8" t="str">
        <f>IF('Plan+'!B77="","",'Plan+'!B77)</f>
        <v/>
      </c>
      <c r="D77" s="3" t="str">
        <f>IF(C77="","",'Plate organization+'!$B$41)</f>
        <v/>
      </c>
      <c r="E77" t="str">
        <f>'Plan+'!G77</f>
        <v>Destination_Plate_1</v>
      </c>
      <c r="F77" s="3" t="str">
        <f>'Plate organization+'!$A$13</f>
        <v>mtp_source</v>
      </c>
    </row>
    <row r="78" spans="1:6" x14ac:dyDescent="0.25">
      <c r="A78" s="3" t="str">
        <f>IF(C78="","",VLOOKUP(C78,Source_Plate!$A$2:$B$97,2,FALSE))</f>
        <v/>
      </c>
      <c r="B78" s="3" t="str">
        <f>IF(C78="","",'Plan+'!F78)</f>
        <v/>
      </c>
      <c r="C78" s="8" t="str">
        <f>IF('Plan+'!B78="","",'Plan+'!B78)</f>
        <v/>
      </c>
      <c r="D78" s="3" t="str">
        <f>IF(C78="","",'Plate organization+'!$B$41)</f>
        <v/>
      </c>
      <c r="E78" t="str">
        <f>'Plan+'!G78</f>
        <v>Destination_Plate_1</v>
      </c>
      <c r="F78" s="3" t="str">
        <f>'Plate organization+'!$A$13</f>
        <v>mtp_source</v>
      </c>
    </row>
    <row r="79" spans="1:6" x14ac:dyDescent="0.25">
      <c r="A79" s="3" t="str">
        <f>IF(C79="","",VLOOKUP(C79,Source_Plate!$A$2:$B$97,2,FALSE))</f>
        <v/>
      </c>
      <c r="B79" s="3" t="str">
        <f>IF(C79="","",'Plan+'!F79)</f>
        <v/>
      </c>
      <c r="C79" s="8" t="str">
        <f>IF('Plan+'!B79="","",'Plan+'!B79)</f>
        <v/>
      </c>
      <c r="D79" s="3" t="str">
        <f>IF(C79="","",'Plate organization+'!$B$41)</f>
        <v/>
      </c>
      <c r="E79" t="str">
        <f>'Plan+'!G79</f>
        <v>Destination_Plate_1</v>
      </c>
      <c r="F79" s="3" t="str">
        <f>'Plate organization+'!$A$13</f>
        <v>mtp_source</v>
      </c>
    </row>
    <row r="80" spans="1:6" x14ac:dyDescent="0.25">
      <c r="A80" s="3" t="str">
        <f>IF(C80="","",VLOOKUP(C80,Source_Plate!$A$2:$B$97,2,FALSE))</f>
        <v/>
      </c>
      <c r="B80" s="3" t="str">
        <f>IF(C80="","",'Plan+'!F80)</f>
        <v/>
      </c>
      <c r="C80" s="8" t="str">
        <f>IF('Plan+'!B80="","",'Plan+'!B80)</f>
        <v/>
      </c>
      <c r="D80" s="3" t="str">
        <f>IF(C80="","",'Plate organization+'!$B$41)</f>
        <v/>
      </c>
      <c r="E80" t="str">
        <f>'Plan+'!G80</f>
        <v>Destination_Plate_1</v>
      </c>
      <c r="F80" s="3" t="str">
        <f>'Plate organization+'!$A$13</f>
        <v>mtp_source</v>
      </c>
    </row>
    <row r="81" spans="1:6" x14ac:dyDescent="0.25">
      <c r="A81" s="3" t="str">
        <f>IF(C81="","",VLOOKUP(C81,Source_Plate!$A$2:$B$97,2,FALSE))</f>
        <v/>
      </c>
      <c r="B81" s="3" t="str">
        <f>IF(C81="","",'Plan+'!F81)</f>
        <v/>
      </c>
      <c r="C81" s="8" t="str">
        <f>IF('Plan+'!B81="","",'Plan+'!B81)</f>
        <v/>
      </c>
      <c r="D81" s="3" t="str">
        <f>IF(C81="","",'Plate organization+'!$B$41)</f>
        <v/>
      </c>
      <c r="E81" t="str">
        <f>'Plan+'!G81</f>
        <v>Destination_Plate_1</v>
      </c>
      <c r="F81" s="3" t="str">
        <f>'Plate organization+'!$A$13</f>
        <v>mtp_source</v>
      </c>
    </row>
    <row r="82" spans="1:6" x14ac:dyDescent="0.25">
      <c r="A82" s="3" t="str">
        <f>IF(C82="","",VLOOKUP(C82,Source_Plate!$A$2:$B$97,2,FALSE))</f>
        <v/>
      </c>
      <c r="B82" s="3" t="str">
        <f>IF(C82="","",'Plan+'!F82)</f>
        <v/>
      </c>
      <c r="C82" s="8" t="str">
        <f>IF('Plan+'!B82="","",'Plan+'!B82)</f>
        <v/>
      </c>
      <c r="D82" s="3" t="str">
        <f>IF(C82="","",'Plate organization+'!$B$41)</f>
        <v/>
      </c>
      <c r="E82" t="str">
        <f>'Plan+'!G82</f>
        <v>Destination_Plate_1</v>
      </c>
      <c r="F82" s="3" t="str">
        <f>'Plate organization+'!$A$13</f>
        <v>mtp_source</v>
      </c>
    </row>
    <row r="83" spans="1:6" x14ac:dyDescent="0.25">
      <c r="A83" s="3" t="str">
        <f>IF(C83="","",VLOOKUP(C83,Source_Plate!$A$2:$B$97,2,FALSE))</f>
        <v/>
      </c>
      <c r="B83" s="3" t="str">
        <f>IF(C83="","",'Plan+'!F83)</f>
        <v/>
      </c>
      <c r="C83" s="8" t="str">
        <f>IF('Plan+'!B83="","",'Plan+'!B83)</f>
        <v/>
      </c>
      <c r="D83" s="3" t="str">
        <f>IF(C83="","",'Plate organization+'!$B$41)</f>
        <v/>
      </c>
      <c r="E83" t="str">
        <f>'Plan+'!G83</f>
        <v>Destination_Plate_1</v>
      </c>
      <c r="F83" s="3" t="str">
        <f>'Plate organization+'!$A$13</f>
        <v>mtp_source</v>
      </c>
    </row>
    <row r="84" spans="1:6" x14ac:dyDescent="0.25">
      <c r="A84" s="3" t="str">
        <f>IF(C84="","",VLOOKUP(C84,Source_Plate!$A$2:$B$97,2,FALSE))</f>
        <v/>
      </c>
      <c r="B84" s="3" t="str">
        <f>IF(C84="","",'Plan+'!F84)</f>
        <v/>
      </c>
      <c r="C84" s="8" t="str">
        <f>IF('Plan+'!B84="","",'Plan+'!B84)</f>
        <v/>
      </c>
      <c r="D84" s="3" t="str">
        <f>IF(C84="","",'Plate organization+'!$B$41)</f>
        <v/>
      </c>
      <c r="E84" t="str">
        <f>'Plan+'!G84</f>
        <v>Destination_Plate_1</v>
      </c>
      <c r="F84" s="3" t="str">
        <f>'Plate organization+'!$A$13</f>
        <v>mtp_source</v>
      </c>
    </row>
    <row r="85" spans="1:6" x14ac:dyDescent="0.25">
      <c r="A85" s="3" t="str">
        <f>IF(C85="","",VLOOKUP(C85,Source_Plate!$A$2:$B$97,2,FALSE))</f>
        <v/>
      </c>
      <c r="B85" s="3" t="str">
        <f>IF(C85="","",'Plan+'!F85)</f>
        <v/>
      </c>
      <c r="C85" s="8" t="str">
        <f>IF('Plan+'!B85="","",'Plan+'!B85)</f>
        <v/>
      </c>
      <c r="D85" s="3" t="str">
        <f>IF(C85="","",'Plate organization+'!$B$41)</f>
        <v/>
      </c>
      <c r="E85" t="str">
        <f>'Plan+'!G85</f>
        <v>Destination_Plate_1</v>
      </c>
      <c r="F85" s="3" t="str">
        <f>'Plate organization+'!$A$13</f>
        <v>mtp_source</v>
      </c>
    </row>
    <row r="86" spans="1:6" x14ac:dyDescent="0.25">
      <c r="A86" s="3" t="str">
        <f>IF(C86="","",VLOOKUP(C86,Source_Plate!$A$2:$B$97,2,FALSE))</f>
        <v/>
      </c>
      <c r="B86" s="3" t="str">
        <f>IF(C86="","",'Plan+'!F86)</f>
        <v/>
      </c>
      <c r="C86" s="8" t="str">
        <f>IF('Plan+'!B86="","",'Plan+'!B86)</f>
        <v/>
      </c>
      <c r="D86" s="3" t="str">
        <f>IF(C86="","",'Plate organization+'!$B$41)</f>
        <v/>
      </c>
      <c r="E86" t="str">
        <f>'Plan+'!G86</f>
        <v>Destination_Plate_1</v>
      </c>
      <c r="F86" s="3" t="str">
        <f>'Plate organization+'!$A$13</f>
        <v>mtp_source</v>
      </c>
    </row>
    <row r="87" spans="1:6" x14ac:dyDescent="0.25">
      <c r="A87" s="3" t="str">
        <f>IF(C87="","",VLOOKUP(C87,Source_Plate!$A$2:$B$97,2,FALSE))</f>
        <v/>
      </c>
      <c r="B87" s="3" t="str">
        <f>IF(C87="","",'Plan+'!F87)</f>
        <v/>
      </c>
      <c r="C87" s="8" t="str">
        <f>IF('Plan+'!B87="","",'Plan+'!B87)</f>
        <v/>
      </c>
      <c r="D87" s="3" t="str">
        <f>IF(C87="","",'Plate organization+'!$B$41)</f>
        <v/>
      </c>
      <c r="E87" t="str">
        <f>'Plan+'!G87</f>
        <v>Destination_Plate_1</v>
      </c>
      <c r="F87" s="3" t="str">
        <f>'Plate organization+'!$A$13</f>
        <v>mtp_source</v>
      </c>
    </row>
    <row r="88" spans="1:6" x14ac:dyDescent="0.25">
      <c r="A88" s="3" t="str">
        <f>IF(C88="","",VLOOKUP(C88,Source_Plate!$A$2:$B$97,2,FALSE))</f>
        <v/>
      </c>
      <c r="B88" s="3" t="str">
        <f>IF(C88="","",'Plan+'!F88)</f>
        <v/>
      </c>
      <c r="C88" s="8" t="str">
        <f>IF('Plan+'!B88="","",'Plan+'!B88)</f>
        <v/>
      </c>
      <c r="D88" s="3" t="str">
        <f>IF(C88="","",'Plate organization+'!$B$41)</f>
        <v/>
      </c>
      <c r="E88" t="str">
        <f>'Plan+'!G88</f>
        <v>Destination_Plate_1</v>
      </c>
      <c r="F88" s="3" t="str">
        <f>'Plate organization+'!$A$13</f>
        <v>mtp_source</v>
      </c>
    </row>
    <row r="89" spans="1:6" x14ac:dyDescent="0.25">
      <c r="A89" s="3" t="str">
        <f>IF(C89="","",VLOOKUP(C89,Source_Plate!$A$2:$B$97,2,FALSE))</f>
        <v/>
      </c>
      <c r="B89" s="3" t="str">
        <f>IF(C89="","",'Plan+'!F89)</f>
        <v/>
      </c>
      <c r="C89" s="8" t="str">
        <f>IF('Plan+'!B89="","",'Plan+'!B89)</f>
        <v/>
      </c>
      <c r="D89" s="3" t="str">
        <f>IF(C89="","",'Plate organization+'!$B$41)</f>
        <v/>
      </c>
      <c r="E89" t="str">
        <f>'Plan+'!G89</f>
        <v>Destination_Plate_1</v>
      </c>
      <c r="F89" s="3" t="str">
        <f>'Plate organization+'!$A$13</f>
        <v>mtp_source</v>
      </c>
    </row>
    <row r="90" spans="1:6" x14ac:dyDescent="0.25">
      <c r="A90" s="3" t="str">
        <f>IF(C90="","",VLOOKUP(C90,Source_Plate!$A$2:$B$97,2,FALSE))</f>
        <v/>
      </c>
      <c r="B90" s="3" t="str">
        <f>IF(C90="","",'Plan+'!F90)</f>
        <v/>
      </c>
      <c r="C90" s="8" t="str">
        <f>IF('Plan+'!B90="","",'Plan+'!B90)</f>
        <v/>
      </c>
      <c r="D90" s="3" t="str">
        <f>IF(C90="","",'Plate organization+'!$B$41)</f>
        <v/>
      </c>
      <c r="E90" t="str">
        <f>'Plan+'!G90</f>
        <v>Destination_Plate_1</v>
      </c>
      <c r="F90" s="3" t="str">
        <f>'Plate organization+'!$A$13</f>
        <v>mtp_source</v>
      </c>
    </row>
    <row r="91" spans="1:6" x14ac:dyDescent="0.25">
      <c r="A91" s="3" t="str">
        <f>IF(C91="","",VLOOKUP(C91,Source_Plate!$A$2:$B$97,2,FALSE))</f>
        <v/>
      </c>
      <c r="B91" s="3" t="str">
        <f>IF(C91="","",'Plan+'!F91)</f>
        <v/>
      </c>
      <c r="C91" s="8" t="str">
        <f>IF('Plan+'!B91="","",'Plan+'!B91)</f>
        <v/>
      </c>
      <c r="D91" s="3" t="str">
        <f>IF(C91="","",'Plate organization+'!$B$41)</f>
        <v/>
      </c>
      <c r="E91" t="str">
        <f>'Plan+'!G91</f>
        <v>Destination_Plate_1</v>
      </c>
      <c r="F91" s="3" t="str">
        <f>'Plate organization+'!$A$13</f>
        <v>mtp_source</v>
      </c>
    </row>
    <row r="92" spans="1:6" x14ac:dyDescent="0.25">
      <c r="A92" s="3" t="str">
        <f>IF(C92="","",VLOOKUP(C92,Source_Plate!$A$2:$B$97,2,FALSE))</f>
        <v/>
      </c>
      <c r="B92" s="3" t="str">
        <f>IF(C92="","",'Plan+'!F92)</f>
        <v/>
      </c>
      <c r="C92" s="8" t="str">
        <f>IF('Plan+'!B92="","",'Plan+'!B92)</f>
        <v/>
      </c>
      <c r="D92" s="3" t="str">
        <f>IF(C92="","",'Plate organization+'!$B$41)</f>
        <v/>
      </c>
      <c r="E92" t="str">
        <f>'Plan+'!G92</f>
        <v>Destination_Plate_1</v>
      </c>
      <c r="F92" s="3" t="str">
        <f>'Plate organization+'!$A$13</f>
        <v>mtp_source</v>
      </c>
    </row>
    <row r="93" spans="1:6" x14ac:dyDescent="0.25">
      <c r="A93" s="3" t="str">
        <f>IF(C93="","",VLOOKUP(C93,Source_Plate!$A$2:$B$97,2,FALSE))</f>
        <v/>
      </c>
      <c r="B93" s="3" t="str">
        <f>IF(C93="","",'Plan+'!F93)</f>
        <v/>
      </c>
      <c r="C93" s="8" t="str">
        <f>IF('Plan+'!B93="","",'Plan+'!B93)</f>
        <v/>
      </c>
      <c r="D93" s="3" t="str">
        <f>IF(C93="","",'Plate organization+'!$B$41)</f>
        <v/>
      </c>
      <c r="E93" t="str">
        <f>'Plan+'!G93</f>
        <v>Destination_Plate_1</v>
      </c>
      <c r="F93" s="3" t="str">
        <f>'Plate organization+'!$A$13</f>
        <v>mtp_source</v>
      </c>
    </row>
    <row r="94" spans="1:6" x14ac:dyDescent="0.25">
      <c r="A94" s="3" t="str">
        <f>IF(C94="","",VLOOKUP(C94,Source_Plate!$A$2:$B$97,2,FALSE))</f>
        <v/>
      </c>
      <c r="B94" s="3" t="str">
        <f>IF(C94="","",'Plan+'!F94)</f>
        <v/>
      </c>
      <c r="C94" s="8" t="str">
        <f>IF('Plan+'!B94="","",'Plan+'!B94)</f>
        <v/>
      </c>
      <c r="D94" s="3" t="str">
        <f>IF(C94="","",'Plate organization+'!$B$41)</f>
        <v/>
      </c>
      <c r="E94" t="str">
        <f>'Plan+'!G94</f>
        <v>Destination_Plate_1</v>
      </c>
      <c r="F94" s="3" t="str">
        <f>'Plate organization+'!$A$13</f>
        <v>mtp_source</v>
      </c>
    </row>
    <row r="95" spans="1:6" x14ac:dyDescent="0.25">
      <c r="A95" s="3" t="str">
        <f>IF(C95="","",VLOOKUP(C95,Source_Plate!$A$2:$B$97,2,FALSE))</f>
        <v/>
      </c>
      <c r="B95" s="3" t="str">
        <f>IF(C95="","",'Plan+'!F95)</f>
        <v/>
      </c>
      <c r="C95" s="8" t="str">
        <f>IF('Plan+'!B95="","",'Plan+'!B95)</f>
        <v/>
      </c>
      <c r="D95" s="3" t="str">
        <f>IF(C95="","",'Plate organization+'!$B$41)</f>
        <v/>
      </c>
      <c r="E95" t="str">
        <f>'Plan+'!G95</f>
        <v>Destination_Plate_1</v>
      </c>
      <c r="F95" s="3" t="str">
        <f>'Plate organization+'!$A$13</f>
        <v>mtp_source</v>
      </c>
    </row>
    <row r="96" spans="1:6" x14ac:dyDescent="0.25">
      <c r="A96" s="3" t="str">
        <f>IF(C96="","",VLOOKUP(C96,Source_Plate!$A$2:$B$97,2,FALSE))</f>
        <v/>
      </c>
      <c r="B96" s="3" t="str">
        <f>IF(C96="","",'Plan+'!F96)</f>
        <v/>
      </c>
      <c r="C96" s="8" t="str">
        <f>IF('Plan+'!B96="","",'Plan+'!B96)</f>
        <v/>
      </c>
      <c r="D96" s="3" t="str">
        <f>IF(C96="","",'Plate organization+'!$B$41)</f>
        <v/>
      </c>
      <c r="E96" t="str">
        <f>'Plan+'!G96</f>
        <v>Destination_Plate_1</v>
      </c>
      <c r="F96" s="3" t="str">
        <f>'Plate organization+'!$A$13</f>
        <v>mtp_source</v>
      </c>
    </row>
    <row r="97" spans="1:6" x14ac:dyDescent="0.25">
      <c r="A97" s="3" t="str">
        <f>IF(C97="","",VLOOKUP(C97,Source_Plate!$A$2:$B$97,2,FALSE))</f>
        <v/>
      </c>
      <c r="B97" s="3" t="str">
        <f>IF(C97="","",'Plan+'!F97)</f>
        <v/>
      </c>
      <c r="C97" s="8" t="str">
        <f>IF('Plan+'!B97="","",'Plan+'!B97)</f>
        <v/>
      </c>
      <c r="D97" s="3" t="str">
        <f>IF(C97="","",'Plate organization+'!$B$41)</f>
        <v/>
      </c>
      <c r="E97" t="str">
        <f>'Plan+'!G97</f>
        <v>Destination_Plate_1</v>
      </c>
      <c r="F97" s="3" t="str">
        <f>'Plate organization+'!$A$13</f>
        <v>mtp_source</v>
      </c>
    </row>
    <row r="98" spans="1:6" x14ac:dyDescent="0.25">
      <c r="A98" s="3" t="e">
        <f>IF('Plan+'!#REF!="","",VLOOKUP(C98,Source_Plate!$A$2:$B$97,2,FALSE))</f>
        <v>#REF!</v>
      </c>
      <c r="B98" s="7">
        <f>COUNTA(B2:B97)</f>
        <v>96</v>
      </c>
      <c r="C98"/>
      <c r="D98"/>
    </row>
    <row r="99" spans="1:6" x14ac:dyDescent="0.25">
      <c r="B99"/>
      <c r="C99"/>
      <c r="D99"/>
    </row>
    <row r="100" spans="1:6" x14ac:dyDescent="0.25">
      <c r="B100"/>
      <c r="C100"/>
      <c r="D100"/>
    </row>
    <row r="101" spans="1:6" x14ac:dyDescent="0.25">
      <c r="B101"/>
      <c r="C101"/>
      <c r="D101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2"/>
  <sheetViews>
    <sheetView workbookViewId="0">
      <selection activeCell="E39" sqref="E39"/>
    </sheetView>
  </sheetViews>
  <sheetFormatPr baseColWidth="10" defaultColWidth="11.42578125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style="3" bestFit="1" customWidth="1"/>
    <col min="6" max="6" width="17.42578125" bestFit="1" customWidth="1"/>
  </cols>
  <sheetData>
    <row r="1" spans="1:6" x14ac:dyDescent="0.25">
      <c r="A1" s="4" t="s">
        <v>66</v>
      </c>
      <c r="B1" s="4" t="s">
        <v>68</v>
      </c>
      <c r="C1" s="4" t="s">
        <v>135</v>
      </c>
      <c r="D1" s="4" t="s">
        <v>67</v>
      </c>
      <c r="E1" s="4" t="s">
        <v>109</v>
      </c>
      <c r="F1" s="4" t="s">
        <v>131</v>
      </c>
    </row>
    <row r="2" spans="1:6" x14ac:dyDescent="0.25">
      <c r="A2" s="3" t="str">
        <f>IF(C2="","",VLOOKUP(C2,Source_Plate!$E$2:$F$97,2,FALSE))</f>
        <v>A01</v>
      </c>
      <c r="B2" s="3" t="str">
        <f>IF(C2="","",'PM_info+'!B2)</f>
        <v>A01</v>
      </c>
      <c r="C2" s="2" t="str">
        <f>IF('PM_info+'!D2="","",'PM_info+'!D2)</f>
        <v>UNS1_fwd</v>
      </c>
      <c r="D2" s="3">
        <f>IF(C2="","",'Plate organization+'!$B$38)</f>
        <v>10</v>
      </c>
      <c r="E2" s="3" t="str">
        <f>'Plate organization+'!$A$13</f>
        <v>mtp_source</v>
      </c>
      <c r="F2" t="str">
        <f>'Plate organization+'!$A$1</f>
        <v>mtp_primer_stocks</v>
      </c>
    </row>
    <row r="3" spans="1:6" x14ac:dyDescent="0.25">
      <c r="A3" s="3" t="str">
        <f>IF(C3="","",VLOOKUP(C3,Source_Plate!$E$2:$F$97,2,FALSE))</f>
        <v>C01</v>
      </c>
      <c r="B3" s="3" t="str">
        <f>IF(C3="","",'PM_info+'!B3)</f>
        <v>B01</v>
      </c>
      <c r="C3" s="2" t="str">
        <f>IF('PM_info+'!D3="","",'PM_info+'!D3)</f>
        <v>UNS4_fwd</v>
      </c>
      <c r="D3" s="3">
        <f>IF(C3="","",'Plate organization+'!$B$38)</f>
        <v>10</v>
      </c>
      <c r="E3" s="3" t="str">
        <f>'Plate organization+'!$A$13</f>
        <v>mtp_source</v>
      </c>
      <c r="F3" t="str">
        <f>'Plate organization+'!$A$1</f>
        <v>mtp_primer_stocks</v>
      </c>
    </row>
    <row r="4" spans="1:6" x14ac:dyDescent="0.25">
      <c r="A4" s="3" t="str">
        <f>IF(C4="","",VLOOKUP(C4,Source_Plate!$E$2:$F$97,2,FALSE))</f>
        <v/>
      </c>
      <c r="B4" s="3" t="str">
        <f>IF(C4="","",'PM_info+'!B4)</f>
        <v/>
      </c>
      <c r="C4" s="2" t="str">
        <f>IF('PM_info+'!D4="","",'PM_info+'!D4)</f>
        <v/>
      </c>
      <c r="D4" s="3" t="str">
        <f>IF(C4="","",'Plate organization+'!$B$38)</f>
        <v/>
      </c>
      <c r="E4" s="3" t="str">
        <f>'Plate organization+'!$A$13</f>
        <v>mtp_source</v>
      </c>
      <c r="F4" t="str">
        <f>'Plate organization+'!$A$1</f>
        <v>mtp_primer_stocks</v>
      </c>
    </row>
    <row r="5" spans="1:6" x14ac:dyDescent="0.25">
      <c r="A5" s="3" t="str">
        <f>IF(C5="","",VLOOKUP(C5,Source_Plate!$E$2:$F$97,2,FALSE))</f>
        <v/>
      </c>
      <c r="B5" s="3" t="str">
        <f>IF(C5="","",'PM_info+'!B5)</f>
        <v/>
      </c>
      <c r="C5" s="2" t="str">
        <f>IF('PM_info+'!D5="","",'PM_info+'!D5)</f>
        <v/>
      </c>
      <c r="D5" s="3" t="str">
        <f>IF(C5="","",'Plate organization+'!$B$38)</f>
        <v/>
      </c>
      <c r="E5" s="3" t="str">
        <f>'Plate organization+'!$A$13</f>
        <v>mtp_source</v>
      </c>
      <c r="F5" t="str">
        <f>'Plate organization+'!$A$1</f>
        <v>mtp_primer_stocks</v>
      </c>
    </row>
    <row r="6" spans="1:6" x14ac:dyDescent="0.25">
      <c r="A6" s="3" t="str">
        <f>IF(C6="","",VLOOKUP(C6,Source_Plate!$E$2:$F$97,2,FALSE))</f>
        <v/>
      </c>
      <c r="B6" s="3" t="str">
        <f>IF(C6="","",'PM_info+'!B6)</f>
        <v/>
      </c>
      <c r="C6" s="2" t="str">
        <f>IF('PM_info+'!D6="","",'PM_info+'!D6)</f>
        <v/>
      </c>
      <c r="D6" s="3" t="str">
        <f>IF(C6="","",'Plate organization+'!$B$38)</f>
        <v/>
      </c>
      <c r="E6" s="3" t="str">
        <f>'Plate organization+'!$A$13</f>
        <v>mtp_source</v>
      </c>
      <c r="F6" t="str">
        <f>'Plate organization+'!$A$1</f>
        <v>mtp_primer_stocks</v>
      </c>
    </row>
    <row r="7" spans="1:6" x14ac:dyDescent="0.25">
      <c r="A7" s="3" t="str">
        <f>IF(C7="","",VLOOKUP(C7,Source_Plate!$E$2:$F$97,2,FALSE))</f>
        <v/>
      </c>
      <c r="B7" s="3" t="str">
        <f>IF(C7="","",'PM_info+'!B7)</f>
        <v/>
      </c>
      <c r="C7" s="2" t="str">
        <f>IF('PM_info+'!D7="","",'PM_info+'!D7)</f>
        <v/>
      </c>
      <c r="D7" s="3" t="str">
        <f>IF(C7="","",'Plate organization+'!$B$38)</f>
        <v/>
      </c>
      <c r="E7" s="3" t="str">
        <f>'Plate organization+'!$A$13</f>
        <v>mtp_source</v>
      </c>
      <c r="F7" t="str">
        <f>'Plate organization+'!$A$1</f>
        <v>mtp_primer_stocks</v>
      </c>
    </row>
    <row r="8" spans="1:6" x14ac:dyDescent="0.25">
      <c r="A8" s="3" t="str">
        <f>IF(C8="","",VLOOKUP(C8,Source_Plate!$E$2:$F$97,2,FALSE))</f>
        <v/>
      </c>
      <c r="B8" s="3" t="str">
        <f>IF(C8="","",'PM_info+'!B8)</f>
        <v/>
      </c>
      <c r="C8" s="2" t="str">
        <f>IF('PM_info+'!D8="","",'PM_info+'!D8)</f>
        <v/>
      </c>
      <c r="D8" s="3" t="str">
        <f>IF(C8="","",'Plate organization+'!$B$38)</f>
        <v/>
      </c>
      <c r="E8" s="3" t="str">
        <f>'Plate organization+'!$A$13</f>
        <v>mtp_source</v>
      </c>
      <c r="F8" t="str">
        <f>'Plate organization+'!$A$1</f>
        <v>mtp_primer_stocks</v>
      </c>
    </row>
    <row r="9" spans="1:6" x14ac:dyDescent="0.25">
      <c r="A9" s="3" t="str">
        <f>IF(C9="","",VLOOKUP(C9,Source_Plate!$E$2:$F$97,2,FALSE))</f>
        <v/>
      </c>
      <c r="B9" s="3" t="str">
        <f>IF(C9="","",'PM_info+'!B9)</f>
        <v/>
      </c>
      <c r="C9" s="2" t="str">
        <f>IF('PM_info+'!D9="","",'PM_info+'!D9)</f>
        <v/>
      </c>
      <c r="D9" s="3" t="str">
        <f>IF(C9="","",'Plate organization+'!$B$38)</f>
        <v/>
      </c>
      <c r="E9" s="3" t="str">
        <f>'Plate organization+'!$A$13</f>
        <v>mtp_source</v>
      </c>
      <c r="F9" t="str">
        <f>'Plate organization+'!$A$1</f>
        <v>mtp_primer_stocks</v>
      </c>
    </row>
    <row r="10" spans="1:6" x14ac:dyDescent="0.25">
      <c r="A10" s="3" t="str">
        <f>IF(C10="","",VLOOKUP(C10,Source_Plate!$E$2:$F$97,2,FALSE))</f>
        <v/>
      </c>
      <c r="B10" s="3" t="str">
        <f>IF(C10="","",'PM_info+'!B10)</f>
        <v/>
      </c>
      <c r="C10" s="2" t="str">
        <f>IF('PM_info+'!D10="","",'PM_info+'!D10)</f>
        <v/>
      </c>
      <c r="D10" s="3" t="str">
        <f>IF(C10="","",'Plate organization+'!$B$38)</f>
        <v/>
      </c>
      <c r="E10" s="3" t="str">
        <f>'Plate organization+'!$A$13</f>
        <v>mtp_source</v>
      </c>
      <c r="F10" t="str">
        <f>'Plate organization+'!$A$1</f>
        <v>mtp_primer_stocks</v>
      </c>
    </row>
    <row r="11" spans="1:6" x14ac:dyDescent="0.25">
      <c r="A11" s="3" t="str">
        <f>IF(C11="","",VLOOKUP(C11,Source_Plate!$E$2:$F$97,2,FALSE))</f>
        <v/>
      </c>
      <c r="B11" s="3" t="str">
        <f>IF(C11="","",'PM_info+'!B11)</f>
        <v/>
      </c>
      <c r="C11" s="2" t="str">
        <f>IF('PM_info+'!D11="","",'PM_info+'!D11)</f>
        <v/>
      </c>
      <c r="D11" s="3" t="str">
        <f>IF(C11="","",'Plate organization+'!$B$38)</f>
        <v/>
      </c>
      <c r="E11" s="3" t="str">
        <f>'Plate organization+'!$A$13</f>
        <v>mtp_source</v>
      </c>
      <c r="F11" t="str">
        <f>'Plate organization+'!$A$1</f>
        <v>mtp_primer_stocks</v>
      </c>
    </row>
    <row r="12" spans="1:6" x14ac:dyDescent="0.25">
      <c r="A12" s="3" t="str">
        <f>IF(C12="","",VLOOKUP(C12,Source_Plate!$E$2:$F$97,2,FALSE))</f>
        <v/>
      </c>
      <c r="B12" s="3" t="str">
        <f>IF(C12="","",'PM_info+'!B12)</f>
        <v/>
      </c>
      <c r="C12" s="2" t="str">
        <f>IF('PM_info+'!D12="","",'PM_info+'!D12)</f>
        <v/>
      </c>
      <c r="D12" s="3" t="str">
        <f>IF(C12="","",'Plate organization+'!$B$38)</f>
        <v/>
      </c>
      <c r="E12" s="3" t="str">
        <f>'Plate organization+'!$A$13</f>
        <v>mtp_source</v>
      </c>
      <c r="F12" t="str">
        <f>'Plate organization+'!$A$1</f>
        <v>mtp_primer_stocks</v>
      </c>
    </row>
    <row r="13" spans="1:6" x14ac:dyDescent="0.25">
      <c r="A13" s="3" t="str">
        <f>IF(C13="","",VLOOKUP(C13,Source_Plate!$E$2:$F$97,2,FALSE))</f>
        <v/>
      </c>
      <c r="B13" s="3" t="str">
        <f>IF(C13="","",'PM_info+'!B13)</f>
        <v/>
      </c>
      <c r="C13" s="2" t="str">
        <f>IF('PM_info+'!D13="","",'PM_info+'!D13)</f>
        <v/>
      </c>
      <c r="D13" s="3" t="str">
        <f>IF(C13="","",'Plate organization+'!$B$38)</f>
        <v/>
      </c>
      <c r="E13" s="3" t="str">
        <f>'Plate organization+'!$A$13</f>
        <v>mtp_source</v>
      </c>
      <c r="F13" t="str">
        <f>'Plate organization+'!$A$1</f>
        <v>mtp_primer_stocks</v>
      </c>
    </row>
    <row r="14" spans="1:6" x14ac:dyDescent="0.25">
      <c r="A14" s="3" t="str">
        <f>IF(C14="","",VLOOKUP(C14,Source_Plate!$E$2:$F$97,2,FALSE))</f>
        <v/>
      </c>
      <c r="B14" s="3" t="str">
        <f>IF(C14="","",'PM_info+'!B14)</f>
        <v/>
      </c>
      <c r="C14" s="2" t="str">
        <f>IF('PM_info+'!D14="","",'PM_info+'!D14)</f>
        <v/>
      </c>
      <c r="D14" s="3" t="str">
        <f>IF(C14="","",'Plate organization+'!$B$38)</f>
        <v/>
      </c>
      <c r="E14" s="3" t="str">
        <f>'Plate organization+'!$A$13</f>
        <v>mtp_source</v>
      </c>
      <c r="F14" t="str">
        <f>'Plate organization+'!$A$1</f>
        <v>mtp_primer_stocks</v>
      </c>
    </row>
    <row r="15" spans="1:6" x14ac:dyDescent="0.25">
      <c r="A15" s="3" t="str">
        <f>IF(C15="","",VLOOKUP(C15,Source_Plate!$E$2:$F$97,2,FALSE))</f>
        <v/>
      </c>
      <c r="B15" s="3" t="str">
        <f>IF(C15="","",'PM_info+'!B15)</f>
        <v/>
      </c>
      <c r="C15" s="2" t="str">
        <f>IF('PM_info+'!D15="","",'PM_info+'!D15)</f>
        <v/>
      </c>
      <c r="D15" s="3" t="str">
        <f>IF(C15="","",'Plate organization+'!$B$38)</f>
        <v/>
      </c>
      <c r="E15" s="3" t="str">
        <f>'Plate organization+'!$A$13</f>
        <v>mtp_source</v>
      </c>
      <c r="F15" t="str">
        <f>'Plate organization+'!$A$1</f>
        <v>mtp_primer_stocks</v>
      </c>
    </row>
    <row r="16" spans="1:6" x14ac:dyDescent="0.25">
      <c r="A16" s="3" t="str">
        <f>IF(C16="","",VLOOKUP(C16,Source_Plate!$E$2:$F$97,2,FALSE))</f>
        <v/>
      </c>
      <c r="B16" s="3" t="str">
        <f>IF(C16="","",'PM_info+'!B16)</f>
        <v/>
      </c>
      <c r="C16" s="2" t="str">
        <f>IF('PM_info+'!D16="","",'PM_info+'!D16)</f>
        <v/>
      </c>
      <c r="D16" s="3" t="str">
        <f>IF(C16="","",'Plate organization+'!$B$38)</f>
        <v/>
      </c>
      <c r="E16" s="3" t="str">
        <f>'Plate organization+'!$A$13</f>
        <v>mtp_source</v>
      </c>
      <c r="F16" t="str">
        <f>'Plate organization+'!$A$1</f>
        <v>mtp_primer_stocks</v>
      </c>
    </row>
    <row r="17" spans="1:6" x14ac:dyDescent="0.25">
      <c r="A17" s="3" t="str">
        <f>IF(C17="","",VLOOKUP(C17,Source_Plate!$E$2:$F$97,2,FALSE))</f>
        <v/>
      </c>
      <c r="B17" s="3" t="str">
        <f>IF(C17="","",'PM_info+'!B17)</f>
        <v/>
      </c>
      <c r="C17" s="2" t="str">
        <f>IF('PM_info+'!D17="","",'PM_info+'!D17)</f>
        <v/>
      </c>
      <c r="D17" s="3" t="str">
        <f>IF(C17="","",'Plate organization+'!$B$38)</f>
        <v/>
      </c>
      <c r="E17" s="3" t="str">
        <f>'Plate organization+'!$A$13</f>
        <v>mtp_source</v>
      </c>
      <c r="F17" t="str">
        <f>'Plate organization+'!$A$1</f>
        <v>mtp_primer_stocks</v>
      </c>
    </row>
    <row r="18" spans="1:6" x14ac:dyDescent="0.25">
      <c r="A18" s="3" t="str">
        <f>IF(C18="","",VLOOKUP(C18,Source_Plate!$E$2:$F$97,2,FALSE))</f>
        <v/>
      </c>
      <c r="B18" s="3" t="str">
        <f>IF(C18="","",'PM_info+'!B18)</f>
        <v/>
      </c>
      <c r="C18" s="2" t="str">
        <f>IF('PM_info+'!D18="","",'PM_info+'!D18)</f>
        <v/>
      </c>
      <c r="D18" s="3" t="str">
        <f>IF(C18="","",'Plate organization+'!$B$38)</f>
        <v/>
      </c>
      <c r="E18" s="3" t="str">
        <f>'Plate organization+'!$A$13</f>
        <v>mtp_source</v>
      </c>
      <c r="F18" t="str">
        <f>'Plate organization+'!$A$1</f>
        <v>mtp_primer_stocks</v>
      </c>
    </row>
    <row r="19" spans="1:6" x14ac:dyDescent="0.25">
      <c r="A19" s="3" t="str">
        <f>IF(C19="","",VLOOKUP(C19,Source_Plate!$E$2:$F$97,2,FALSE))</f>
        <v/>
      </c>
      <c r="B19" s="3" t="str">
        <f>IF(C19="","",'PM_info+'!B19)</f>
        <v/>
      </c>
      <c r="C19" s="2" t="str">
        <f>IF('PM_info+'!D19="","",'PM_info+'!D19)</f>
        <v/>
      </c>
      <c r="D19" s="3" t="str">
        <f>IF(C19="","",'Plate organization+'!$B$38)</f>
        <v/>
      </c>
      <c r="E19" s="3" t="str">
        <f>'Plate organization+'!$A$13</f>
        <v>mtp_source</v>
      </c>
      <c r="F19" t="str">
        <f>'Plate organization+'!$A$1</f>
        <v>mtp_primer_stocks</v>
      </c>
    </row>
    <row r="20" spans="1:6" x14ac:dyDescent="0.25">
      <c r="A20" s="3" t="str">
        <f>IF(C20="","",VLOOKUP(C20,Source_Plate!$E$2:$F$97,2,FALSE))</f>
        <v/>
      </c>
      <c r="B20" s="3" t="str">
        <f>IF(C20="","",'PM_info+'!B20)</f>
        <v/>
      </c>
      <c r="C20" s="2" t="str">
        <f>IF('PM_info+'!D20="","",'PM_info+'!D20)</f>
        <v/>
      </c>
      <c r="D20" s="3" t="str">
        <f>IF(C20="","",'Plate organization+'!$B$38)</f>
        <v/>
      </c>
      <c r="E20" s="3" t="str">
        <f>'Plate organization+'!$A$13</f>
        <v>mtp_source</v>
      </c>
      <c r="F20" t="str">
        <f>'Plate organization+'!$A$1</f>
        <v>mtp_primer_stocks</v>
      </c>
    </row>
    <row r="21" spans="1:6" x14ac:dyDescent="0.25">
      <c r="A21" s="3" t="str">
        <f>IF(C21="","",VLOOKUP(C21,Source_Plate!$E$2:$F$97,2,FALSE))</f>
        <v/>
      </c>
      <c r="B21" s="3" t="str">
        <f>IF(C21="","",'PM_info+'!B21)</f>
        <v/>
      </c>
      <c r="C21" s="2" t="str">
        <f>IF('PM_info+'!D21="","",'PM_info+'!D21)</f>
        <v/>
      </c>
      <c r="D21" s="3" t="str">
        <f>IF(C21="","",'Plate organization+'!$B$38)</f>
        <v/>
      </c>
      <c r="E21" s="3" t="str">
        <f>'Plate organization+'!$A$13</f>
        <v>mtp_source</v>
      </c>
      <c r="F21" t="str">
        <f>'Plate organization+'!$A$1</f>
        <v>mtp_primer_stocks</v>
      </c>
    </row>
    <row r="22" spans="1:6" x14ac:dyDescent="0.25">
      <c r="A22" s="3" t="str">
        <f>IF(C22="","",VLOOKUP(C22,Source_Plate!$E$2:$F$97,2,FALSE))</f>
        <v/>
      </c>
      <c r="B22" s="3" t="str">
        <f>IF(C22="","",'PM_info+'!B22)</f>
        <v/>
      </c>
      <c r="C22" s="2" t="str">
        <f>IF('PM_info+'!D22="","",'PM_info+'!D22)</f>
        <v/>
      </c>
      <c r="D22" s="3" t="str">
        <f>IF(C22="","",'Plate organization+'!$B$38)</f>
        <v/>
      </c>
      <c r="E22" s="3" t="str">
        <f>'Plate organization+'!$A$13</f>
        <v>mtp_source</v>
      </c>
      <c r="F22" t="str">
        <f>'Plate organization+'!$A$1</f>
        <v>mtp_primer_stocks</v>
      </c>
    </row>
    <row r="23" spans="1:6" x14ac:dyDescent="0.25">
      <c r="A23" s="3" t="str">
        <f>IF(C23="","",VLOOKUP(C23,Source_Plate!$E$2:$F$97,2,FALSE))</f>
        <v/>
      </c>
      <c r="B23" s="3" t="str">
        <f>IF(C23="","",'PM_info+'!B23)</f>
        <v/>
      </c>
      <c r="C23" s="2" t="str">
        <f>IF('PM_info+'!D23="","",'PM_info+'!D23)</f>
        <v/>
      </c>
      <c r="D23" s="3" t="str">
        <f>IF(C23="","",'Plate organization+'!$B$38)</f>
        <v/>
      </c>
      <c r="E23" s="3" t="str">
        <f>'Plate organization+'!$A$13</f>
        <v>mtp_source</v>
      </c>
      <c r="F23" t="str">
        <f>'Plate organization+'!$A$1</f>
        <v>mtp_primer_stocks</v>
      </c>
    </row>
    <row r="24" spans="1:6" x14ac:dyDescent="0.25">
      <c r="A24" s="3" t="str">
        <f>IF(C24="","",VLOOKUP(C24,Source_Plate!$E$2:$F$97,2,FALSE))</f>
        <v/>
      </c>
      <c r="B24" s="3" t="str">
        <f>IF(C24="","",'PM_info+'!B24)</f>
        <v/>
      </c>
      <c r="C24" s="2" t="str">
        <f>IF('PM_info+'!D24="","",'PM_info+'!D24)</f>
        <v/>
      </c>
      <c r="D24" s="3" t="str">
        <f>IF(C24="","",'Plate organization+'!$B$38)</f>
        <v/>
      </c>
      <c r="E24" s="3" t="str">
        <f>'Plate organization+'!$A$13</f>
        <v>mtp_source</v>
      </c>
      <c r="F24" t="str">
        <f>'Plate organization+'!$A$1</f>
        <v>mtp_primer_stocks</v>
      </c>
    </row>
    <row r="25" spans="1:6" x14ac:dyDescent="0.25">
      <c r="A25" s="3" t="str">
        <f>IF(C25="","",VLOOKUP(C25,Source_Plate!$E$2:$F$97,2,FALSE))</f>
        <v/>
      </c>
      <c r="B25" s="3" t="str">
        <f>IF(C25="","",'PM_info+'!B25)</f>
        <v/>
      </c>
      <c r="C25" s="2" t="str">
        <f>IF('PM_info+'!D25="","",'PM_info+'!D25)</f>
        <v/>
      </c>
      <c r="D25" s="3" t="str">
        <f>IF(C25="","",'Plate organization+'!$B$38)</f>
        <v/>
      </c>
      <c r="E25" s="3" t="str">
        <f>'Plate organization+'!$A$13</f>
        <v>mtp_source</v>
      </c>
      <c r="F25" t="str">
        <f>'Plate organization+'!$A$1</f>
        <v>mtp_primer_stocks</v>
      </c>
    </row>
    <row r="26" spans="1:6" x14ac:dyDescent="0.25">
      <c r="A26" s="3" t="str">
        <f>IF(C26="","",VLOOKUP(C26,Source_Plate!$E$2:$F$97,2,FALSE))</f>
        <v/>
      </c>
      <c r="B26" s="3" t="str">
        <f>IF(C26="","",'PM_info+'!B26)</f>
        <v/>
      </c>
      <c r="C26" s="2" t="str">
        <f>IF('PM_info+'!D26="","",'PM_info+'!D26)</f>
        <v/>
      </c>
      <c r="D26" s="3" t="str">
        <f>IF(C26="","",'Plate organization+'!$B$38)</f>
        <v/>
      </c>
      <c r="E26" s="3" t="str">
        <f>'Plate organization+'!$A$13</f>
        <v>mtp_source</v>
      </c>
      <c r="F26" t="str">
        <f>'Plate organization+'!$A$1</f>
        <v>mtp_primer_stocks</v>
      </c>
    </row>
    <row r="27" spans="1:6" x14ac:dyDescent="0.25">
      <c r="A27" s="3" t="str">
        <f>IF(C27="","",VLOOKUP(C27,Source_Plate!$E$2:$F$97,2,FALSE))</f>
        <v/>
      </c>
      <c r="B27" s="3" t="str">
        <f>IF(C27="","",'PM_info+'!B27)</f>
        <v/>
      </c>
      <c r="C27" s="2" t="str">
        <f>IF('PM_info+'!D27="","",'PM_info+'!D27)</f>
        <v/>
      </c>
      <c r="D27" s="3" t="str">
        <f>IF(C27="","",'Plate organization+'!$B$38)</f>
        <v/>
      </c>
      <c r="E27" s="3" t="str">
        <f>'Plate organization+'!$A$13</f>
        <v>mtp_source</v>
      </c>
      <c r="F27" t="str">
        <f>'Plate organization+'!$A$1</f>
        <v>mtp_primer_stocks</v>
      </c>
    </row>
    <row r="28" spans="1:6" x14ac:dyDescent="0.25">
      <c r="A28" s="3" t="str">
        <f>IF(C28="","",VLOOKUP(C28,Source_Plate!$E$2:$F$97,2,FALSE))</f>
        <v/>
      </c>
      <c r="B28" s="3" t="str">
        <f>IF(C28="","",'PM_info+'!B28)</f>
        <v/>
      </c>
      <c r="C28" s="2" t="str">
        <f>IF('PM_info+'!D28="","",'PM_info+'!D28)</f>
        <v/>
      </c>
      <c r="D28" s="3" t="str">
        <f>IF(C28="","",'Plate organization+'!$B$38)</f>
        <v/>
      </c>
      <c r="E28" s="3" t="str">
        <f>'Plate organization+'!$A$13</f>
        <v>mtp_source</v>
      </c>
      <c r="F28" t="str">
        <f>'Plate organization+'!$A$1</f>
        <v>mtp_primer_stocks</v>
      </c>
    </row>
    <row r="29" spans="1:6" x14ac:dyDescent="0.25">
      <c r="A29" s="3" t="str">
        <f>IF(C29="","",VLOOKUP(C29,Source_Plate!$E$2:$F$97,2,FALSE))</f>
        <v/>
      </c>
      <c r="B29" s="3" t="str">
        <f>IF(C29="","",'PM_info+'!B29)</f>
        <v/>
      </c>
      <c r="C29" s="2" t="str">
        <f>IF('PM_info+'!D29="","",'PM_info+'!D29)</f>
        <v/>
      </c>
      <c r="D29" s="3" t="str">
        <f>IF(C29="","",'Plate organization+'!$B$38)</f>
        <v/>
      </c>
      <c r="E29" s="3" t="str">
        <f>'Plate organization+'!$A$13</f>
        <v>mtp_source</v>
      </c>
      <c r="F29" t="str">
        <f>'Plate organization+'!$A$1</f>
        <v>mtp_primer_stocks</v>
      </c>
    </row>
    <row r="30" spans="1:6" x14ac:dyDescent="0.25">
      <c r="A30" s="3" t="str">
        <f>IF(C30="","",VLOOKUP(C30,Source_Plate!$E$2:$F$97,2,FALSE))</f>
        <v/>
      </c>
      <c r="B30" s="3" t="str">
        <f>IF(C30="","",'PM_info+'!B30)</f>
        <v/>
      </c>
      <c r="C30" s="2" t="str">
        <f>IF('PM_info+'!D30="","",'PM_info+'!D30)</f>
        <v/>
      </c>
      <c r="D30" s="3" t="str">
        <f>IF(C30="","",'Plate organization+'!$B$38)</f>
        <v/>
      </c>
      <c r="E30" s="3" t="str">
        <f>'Plate organization+'!$A$13</f>
        <v>mtp_source</v>
      </c>
      <c r="F30" t="str">
        <f>'Plate organization+'!$A$1</f>
        <v>mtp_primer_stocks</v>
      </c>
    </row>
    <row r="31" spans="1:6" x14ac:dyDescent="0.25">
      <c r="A31" s="3" t="str">
        <f>IF(C31="","",VLOOKUP(C31,Source_Plate!$E$2:$F$97,2,FALSE))</f>
        <v/>
      </c>
      <c r="B31" s="3" t="str">
        <f>IF(C31="","",'PM_info+'!B31)</f>
        <v/>
      </c>
      <c r="C31" s="2" t="str">
        <f>IF('PM_info+'!D31="","",'PM_info+'!D31)</f>
        <v/>
      </c>
      <c r="D31" s="3" t="str">
        <f>IF(C31="","",'Plate organization+'!$B$38)</f>
        <v/>
      </c>
      <c r="E31" s="3" t="str">
        <f>'Plate organization+'!$A$13</f>
        <v>mtp_source</v>
      </c>
      <c r="F31" t="str">
        <f>'Plate organization+'!$A$1</f>
        <v>mtp_primer_stocks</v>
      </c>
    </row>
    <row r="32" spans="1:6" x14ac:dyDescent="0.25">
      <c r="A32" s="3" t="str">
        <f>IF(C32="","",VLOOKUP(C32,Source_Plate!$E$2:$F$97,2,FALSE))</f>
        <v/>
      </c>
      <c r="B32" s="3" t="str">
        <f>IF(C32="","",'PM_info+'!B32)</f>
        <v/>
      </c>
      <c r="C32" s="2" t="str">
        <f>IF('PM_info+'!D32="","",'PM_info+'!D32)</f>
        <v/>
      </c>
      <c r="D32" s="3" t="str">
        <f>IF(C32="","",'Plate organization+'!$B$38)</f>
        <v/>
      </c>
      <c r="E32" s="3" t="str">
        <f>'Plate organization+'!$A$13</f>
        <v>mtp_source</v>
      </c>
      <c r="F32" t="str">
        <f>'Plate organization+'!$A$1</f>
        <v>mtp_primer_stocks</v>
      </c>
    </row>
    <row r="33" spans="1:6" x14ac:dyDescent="0.25">
      <c r="A33" s="3" t="str">
        <f>IF(C33="","",VLOOKUP(C33,Source_Plate!$E$2:$F$97,2,FALSE))</f>
        <v/>
      </c>
      <c r="B33" s="3" t="str">
        <f>IF(C33="","",'PM_info+'!B33)</f>
        <v/>
      </c>
      <c r="C33" s="2" t="str">
        <f>IF('PM_info+'!D33="","",'PM_info+'!D33)</f>
        <v/>
      </c>
      <c r="D33" s="3" t="str">
        <f>IF(C33="","",'Plate organization+'!$B$38)</f>
        <v/>
      </c>
      <c r="E33" s="3" t="str">
        <f>'Plate organization+'!$A$13</f>
        <v>mtp_source</v>
      </c>
      <c r="F33" t="str">
        <f>'Plate organization+'!$A$1</f>
        <v>mtp_primer_stocks</v>
      </c>
    </row>
    <row r="34" spans="1:6" x14ac:dyDescent="0.25">
      <c r="A34" s="3" t="str">
        <f>IF(C34="","",VLOOKUP(C34,Source_Plate!$E$2:$F$97,2,FALSE))</f>
        <v/>
      </c>
      <c r="B34" s="3" t="str">
        <f>IF(C34="","",'PM_info+'!B34)</f>
        <v/>
      </c>
      <c r="C34" s="2" t="str">
        <f>IF('PM_info+'!D34="","",'PM_info+'!D34)</f>
        <v/>
      </c>
      <c r="D34" s="3" t="str">
        <f>IF(C34="","",'Plate organization+'!$B$38)</f>
        <v/>
      </c>
      <c r="E34" s="3" t="str">
        <f>'Plate organization+'!$A$13</f>
        <v>mtp_source</v>
      </c>
      <c r="F34" t="str">
        <f>'Plate organization+'!$A$1</f>
        <v>mtp_primer_stocks</v>
      </c>
    </row>
    <row r="35" spans="1:6" x14ac:dyDescent="0.25">
      <c r="A35" s="3" t="str">
        <f>IF(C35="","",VLOOKUP(C35,Source_Plate!$E$2:$F$97,2,FALSE))</f>
        <v/>
      </c>
      <c r="B35" s="3" t="str">
        <f>IF(C35="","",'PM_info+'!B35)</f>
        <v/>
      </c>
      <c r="C35" s="2" t="str">
        <f>IF('PM_info+'!D35="","",'PM_info+'!D35)</f>
        <v/>
      </c>
      <c r="D35" s="3" t="str">
        <f>IF(C35="","",'Plate organization+'!$B$38)</f>
        <v/>
      </c>
      <c r="E35" s="3" t="str">
        <f>'Plate organization+'!$A$13</f>
        <v>mtp_source</v>
      </c>
      <c r="F35" t="str">
        <f>'Plate organization+'!$A$1</f>
        <v>mtp_primer_stocks</v>
      </c>
    </row>
    <row r="36" spans="1:6" x14ac:dyDescent="0.25">
      <c r="A36" s="3" t="str">
        <f>IF(C36="","",VLOOKUP(C36,Source_Plate!$E$2:$F$97,2,FALSE))</f>
        <v/>
      </c>
      <c r="B36" s="3" t="str">
        <f>IF(C36="","",'PM_info+'!B36)</f>
        <v/>
      </c>
      <c r="C36" s="2" t="str">
        <f>IF('PM_info+'!D36="","",'PM_info+'!D36)</f>
        <v/>
      </c>
      <c r="D36" s="3" t="str">
        <f>IF(C36="","",'Plate organization+'!$B$38)</f>
        <v/>
      </c>
      <c r="E36" s="3" t="str">
        <f>'Plate organization+'!$A$13</f>
        <v>mtp_source</v>
      </c>
      <c r="F36" t="str">
        <f>'Plate organization+'!$A$1</f>
        <v>mtp_primer_stocks</v>
      </c>
    </row>
    <row r="37" spans="1:6" x14ac:dyDescent="0.25">
      <c r="A37" s="3" t="str">
        <f>IF(C37="","",VLOOKUP(C37,Source_Plate!$E$2:$F$97,2,FALSE))</f>
        <v/>
      </c>
      <c r="B37" s="3" t="str">
        <f>IF(C37="","",'PM_info+'!B37)</f>
        <v/>
      </c>
      <c r="C37" s="2" t="str">
        <f>IF('PM_info+'!D37="","",'PM_info+'!D37)</f>
        <v/>
      </c>
      <c r="D37" s="3" t="str">
        <f>IF(C37="","",'Plate organization+'!$B$38)</f>
        <v/>
      </c>
      <c r="E37" s="3" t="str">
        <f>'Plate organization+'!$A$13</f>
        <v>mtp_source</v>
      </c>
      <c r="F37" t="str">
        <f>'Plate organization+'!$A$1</f>
        <v>mtp_primer_stocks</v>
      </c>
    </row>
    <row r="38" spans="1:6" x14ac:dyDescent="0.25">
      <c r="A38" s="3" t="str">
        <f>IF(C38="","",VLOOKUP(C38,Source_Plate!$E$2:$F$97,2,FALSE))</f>
        <v/>
      </c>
      <c r="B38" s="3" t="str">
        <f>IF(C38="","",'PM_info+'!B38)</f>
        <v/>
      </c>
      <c r="C38" s="2" t="str">
        <f>IF('PM_info+'!D38="","",'PM_info+'!D38)</f>
        <v/>
      </c>
      <c r="D38" s="3" t="str">
        <f>IF(C38="","",'Plate organization+'!$B$38)</f>
        <v/>
      </c>
      <c r="E38" s="3" t="str">
        <f>'Plate organization+'!$A$13</f>
        <v>mtp_source</v>
      </c>
      <c r="F38" t="str">
        <f>'Plate organization+'!$A$1</f>
        <v>mtp_primer_stocks</v>
      </c>
    </row>
    <row r="39" spans="1:6" x14ac:dyDescent="0.25">
      <c r="A39" s="3" t="str">
        <f>IF(C39="","",VLOOKUP(C39,Source_Plate!$E$2:$F$97,2,FALSE))</f>
        <v/>
      </c>
      <c r="B39" s="3" t="str">
        <f>IF(C39="","",'PM_info+'!B39)</f>
        <v/>
      </c>
      <c r="C39" s="2" t="str">
        <f>IF('PM_info+'!D39="","",'PM_info+'!D39)</f>
        <v/>
      </c>
      <c r="D39" s="3" t="str">
        <f>IF(C39="","",'Plate organization+'!$B$38)</f>
        <v/>
      </c>
      <c r="E39" s="3" t="str">
        <f>'Plate organization+'!$A$13</f>
        <v>mtp_source</v>
      </c>
      <c r="F39" t="str">
        <f>'Plate organization+'!$A$1</f>
        <v>mtp_primer_stocks</v>
      </c>
    </row>
    <row r="40" spans="1:6" x14ac:dyDescent="0.25">
      <c r="A40" s="3" t="str">
        <f>IF(C40="","",VLOOKUP(C40,Source_Plate!$E$2:$F$97,2,FALSE))</f>
        <v/>
      </c>
      <c r="B40" s="3" t="str">
        <f>IF(C40="","",'PM_info+'!B40)</f>
        <v/>
      </c>
      <c r="C40" s="2" t="str">
        <f>IF('PM_info+'!D40="","",'PM_info+'!D40)</f>
        <v/>
      </c>
      <c r="D40" s="3" t="str">
        <f>IF(C40="","",'Plate organization+'!$B$38)</f>
        <v/>
      </c>
      <c r="E40" s="3" t="str">
        <f>'Plate organization+'!$A$13</f>
        <v>mtp_source</v>
      </c>
      <c r="F40" t="str">
        <f>'Plate organization+'!$A$1</f>
        <v>mtp_primer_stocks</v>
      </c>
    </row>
    <row r="41" spans="1:6" x14ac:dyDescent="0.25">
      <c r="A41" s="3" t="str">
        <f>IF(C41="","",VLOOKUP(C41,Source_Plate!$E$2:$F$97,2,FALSE))</f>
        <v/>
      </c>
      <c r="B41" s="3" t="str">
        <f>IF(C41="","",'PM_info+'!B41)</f>
        <v/>
      </c>
      <c r="C41" s="2" t="str">
        <f>IF('PM_info+'!D41="","",'PM_info+'!D41)</f>
        <v/>
      </c>
      <c r="D41" s="3" t="str">
        <f>IF(C41="","",'Plate organization+'!$B$38)</f>
        <v/>
      </c>
      <c r="E41" s="3" t="str">
        <f>'Plate organization+'!$A$13</f>
        <v>mtp_source</v>
      </c>
      <c r="F41" t="str">
        <f>'Plate organization+'!$A$1</f>
        <v>mtp_primer_stocks</v>
      </c>
    </row>
    <row r="42" spans="1:6" x14ac:dyDescent="0.25">
      <c r="A42" s="3" t="str">
        <f>IF(C42="","",VLOOKUP(C42,Source_Plate!$E$2:$F$97,2,FALSE))</f>
        <v/>
      </c>
      <c r="B42" s="3" t="str">
        <f>IF(C42="","",'PM_info+'!B42)</f>
        <v/>
      </c>
      <c r="C42" s="2" t="str">
        <f>IF('PM_info+'!D42="","",'PM_info+'!D42)</f>
        <v/>
      </c>
      <c r="D42" s="3" t="str">
        <f>IF(C42="","",'Plate organization+'!$B$38)</f>
        <v/>
      </c>
      <c r="E42" s="3" t="str">
        <f>'Plate organization+'!$A$13</f>
        <v>mtp_source</v>
      </c>
      <c r="F42" t="str">
        <f>'Plate organization+'!$A$1</f>
        <v>mtp_primer_stocks</v>
      </c>
    </row>
    <row r="43" spans="1:6" x14ac:dyDescent="0.25">
      <c r="A43" s="3" t="str">
        <f>IF(C43="","",VLOOKUP(C43,Source_Plate!$E$2:$F$97,2,FALSE))</f>
        <v/>
      </c>
      <c r="B43" s="3" t="str">
        <f>IF(C43="","",'PM_info+'!B43)</f>
        <v/>
      </c>
      <c r="C43" s="2" t="str">
        <f>IF('PM_info+'!D43="","",'PM_info+'!D43)</f>
        <v/>
      </c>
      <c r="D43" s="3" t="str">
        <f>IF(C43="","",'Plate organization+'!$B$38)</f>
        <v/>
      </c>
      <c r="E43" s="3" t="str">
        <f>'Plate organization+'!$A$13</f>
        <v>mtp_source</v>
      </c>
      <c r="F43" t="str">
        <f>'Plate organization+'!$A$1</f>
        <v>mtp_primer_stocks</v>
      </c>
    </row>
    <row r="44" spans="1:6" x14ac:dyDescent="0.25">
      <c r="A44" s="3" t="str">
        <f>IF(C44="","",VLOOKUP(C44,Source_Plate!$E$2:$F$97,2,FALSE))</f>
        <v/>
      </c>
      <c r="B44" s="3" t="str">
        <f>IF(C44="","",'PM_info+'!B44)</f>
        <v/>
      </c>
      <c r="C44" s="2" t="str">
        <f>IF('PM_info+'!D44="","",'PM_info+'!D44)</f>
        <v/>
      </c>
      <c r="D44" s="3" t="str">
        <f>IF(C44="","",'Plate organization+'!$B$38)</f>
        <v/>
      </c>
      <c r="E44" s="3" t="str">
        <f>'Plate organization+'!$A$13</f>
        <v>mtp_source</v>
      </c>
      <c r="F44" t="str">
        <f>'Plate organization+'!$A$1</f>
        <v>mtp_primer_stocks</v>
      </c>
    </row>
    <row r="45" spans="1:6" x14ac:dyDescent="0.25">
      <c r="A45" s="3" t="str">
        <f>IF(C45="","",VLOOKUP(C45,Source_Plate!$E$2:$F$97,2,FALSE))</f>
        <v/>
      </c>
      <c r="B45" s="3" t="str">
        <f>IF(C45="","",'PM_info+'!B45)</f>
        <v/>
      </c>
      <c r="C45" s="2" t="str">
        <f>IF('PM_info+'!D45="","",'PM_info+'!D45)</f>
        <v/>
      </c>
      <c r="D45" s="3" t="str">
        <f>IF(C45="","",'Plate organization+'!$B$38)</f>
        <v/>
      </c>
      <c r="E45" s="3" t="str">
        <f>'Plate organization+'!$A$13</f>
        <v>mtp_source</v>
      </c>
      <c r="F45" t="str">
        <f>'Plate organization+'!$A$1</f>
        <v>mtp_primer_stocks</v>
      </c>
    </row>
    <row r="46" spans="1:6" x14ac:dyDescent="0.25">
      <c r="A46" s="3" t="str">
        <f>IF(C46="","",VLOOKUP(C46,Source_Plate!$E$2:$F$97,2,FALSE))</f>
        <v/>
      </c>
      <c r="B46" s="3" t="str">
        <f>IF(C46="","",'PM_info+'!B46)</f>
        <v/>
      </c>
      <c r="C46" s="2" t="str">
        <f>IF('PM_info+'!D46="","",'PM_info+'!D46)</f>
        <v/>
      </c>
      <c r="D46" s="3" t="str">
        <f>IF(C46="","",'Plate organization+'!$B$38)</f>
        <v/>
      </c>
      <c r="E46" s="3" t="str">
        <f>'Plate organization+'!$A$13</f>
        <v>mtp_source</v>
      </c>
      <c r="F46" t="str">
        <f>'Plate organization+'!$A$1</f>
        <v>mtp_primer_stocks</v>
      </c>
    </row>
    <row r="47" spans="1:6" x14ac:dyDescent="0.25">
      <c r="A47" s="3" t="str">
        <f>IF(C47="","",VLOOKUP(C47,Source_Plate!$E$2:$F$97,2,FALSE))</f>
        <v/>
      </c>
      <c r="B47" s="3" t="str">
        <f>IF(C47="","",'PM_info+'!B47)</f>
        <v/>
      </c>
      <c r="C47" s="2" t="str">
        <f>IF('PM_info+'!D47="","",'PM_info+'!D47)</f>
        <v/>
      </c>
      <c r="D47" s="3" t="str">
        <f>IF(C47="","",'Plate organization+'!$B$38)</f>
        <v/>
      </c>
      <c r="E47" s="3" t="str">
        <f>'Plate organization+'!$A$13</f>
        <v>mtp_source</v>
      </c>
      <c r="F47" t="str">
        <f>'Plate organization+'!$A$1</f>
        <v>mtp_primer_stocks</v>
      </c>
    </row>
    <row r="48" spans="1:6" x14ac:dyDescent="0.25">
      <c r="A48" s="3" t="str">
        <f>IF(C48="","",VLOOKUP(C48,Source_Plate!$E$2:$F$97,2,FALSE))</f>
        <v/>
      </c>
      <c r="B48" s="3" t="str">
        <f>IF(C48="","",'PM_info+'!B48)</f>
        <v/>
      </c>
      <c r="C48" s="2" t="str">
        <f>IF('PM_info+'!D48="","",'PM_info+'!D48)</f>
        <v/>
      </c>
      <c r="D48" s="3" t="str">
        <f>IF(C48="","",'Plate organization+'!$B$38)</f>
        <v/>
      </c>
      <c r="E48" s="3" t="str">
        <f>'Plate organization+'!$A$13</f>
        <v>mtp_source</v>
      </c>
      <c r="F48" t="str">
        <f>'Plate organization+'!$A$1</f>
        <v>mtp_primer_stocks</v>
      </c>
    </row>
    <row r="49" spans="1:6" x14ac:dyDescent="0.25">
      <c r="A49" s="3" t="str">
        <f>IF(C49="","",VLOOKUP(C49,Source_Plate!$E$2:$F$97,2,FALSE))</f>
        <v/>
      </c>
      <c r="B49" s="3" t="str">
        <f>IF(C49="","",'PM_info+'!B49)</f>
        <v/>
      </c>
      <c r="C49" s="2" t="str">
        <f>IF('PM_info+'!D49="","",'PM_info+'!D49)</f>
        <v/>
      </c>
      <c r="D49" s="3" t="str">
        <f>IF(C49="","",'Plate organization+'!$B$38)</f>
        <v/>
      </c>
      <c r="E49" s="3" t="str">
        <f>'Plate organization+'!$A$13</f>
        <v>mtp_source</v>
      </c>
      <c r="F49" t="str">
        <f>'Plate organization+'!$A$1</f>
        <v>mtp_primer_stocks</v>
      </c>
    </row>
    <row r="50" spans="1:6" x14ac:dyDescent="0.25">
      <c r="A50" s="3" t="str">
        <f>IF(C50="","",VLOOKUP(C50,Source_Plate!$E$2:$F$97,2,FALSE))</f>
        <v/>
      </c>
      <c r="B50" s="3" t="str">
        <f>IF(C50="","",'PM_info+'!B50)</f>
        <v/>
      </c>
      <c r="C50" s="2" t="str">
        <f>IF('PM_info+'!D50="","",'PM_info+'!D50)</f>
        <v/>
      </c>
      <c r="D50" s="3" t="str">
        <f>IF(C50="","",'Plate organization+'!$B$38)</f>
        <v/>
      </c>
      <c r="E50" s="3" t="str">
        <f>'Plate organization+'!$A$13</f>
        <v>mtp_source</v>
      </c>
      <c r="F50" t="str">
        <f>'Plate organization+'!$A$1</f>
        <v>mtp_primer_stocks</v>
      </c>
    </row>
    <row r="51" spans="1:6" x14ac:dyDescent="0.25">
      <c r="A51" s="3" t="str">
        <f>IF(C51="","",VLOOKUP(C51,Source_Plate!$E$2:$F$97,2,FALSE))</f>
        <v/>
      </c>
      <c r="B51" s="3" t="str">
        <f>IF(C51="","",'PM_info+'!B51)</f>
        <v/>
      </c>
      <c r="C51" s="2" t="str">
        <f>IF('PM_info+'!D51="","",'PM_info+'!D51)</f>
        <v/>
      </c>
      <c r="D51" s="3" t="str">
        <f>IF(C51="","",'Plate organization+'!$B$38)</f>
        <v/>
      </c>
      <c r="E51" s="3" t="str">
        <f>'Plate organization+'!$A$13</f>
        <v>mtp_source</v>
      </c>
      <c r="F51" t="str">
        <f>'Plate organization+'!$A$1</f>
        <v>mtp_primer_stocks</v>
      </c>
    </row>
    <row r="52" spans="1:6" x14ac:dyDescent="0.25">
      <c r="A52" s="3" t="str">
        <f>IF(C52="","",VLOOKUP(C52,Source_Plate!$E$2:$F$97,2,FALSE))</f>
        <v/>
      </c>
      <c r="B52" s="3" t="str">
        <f>IF(C52="","",'PM_info+'!B52)</f>
        <v/>
      </c>
      <c r="C52" s="2" t="str">
        <f>IF('PM_info+'!D52="","",'PM_info+'!D52)</f>
        <v/>
      </c>
      <c r="D52" s="3" t="str">
        <f>IF(C52="","",'Plate organization+'!$B$38)</f>
        <v/>
      </c>
      <c r="E52" s="3" t="str">
        <f>'Plate organization+'!$A$13</f>
        <v>mtp_source</v>
      </c>
      <c r="F52" t="str">
        <f>'Plate organization+'!$A$1</f>
        <v>mtp_primer_stocks</v>
      </c>
    </row>
    <row r="53" spans="1:6" x14ac:dyDescent="0.25">
      <c r="A53" s="3" t="str">
        <f>IF(C53="","",VLOOKUP(C53,Source_Plate!$E$2:$F$97,2,FALSE))</f>
        <v/>
      </c>
      <c r="B53" s="3" t="str">
        <f>IF(C53="","",'PM_info+'!B53)</f>
        <v/>
      </c>
      <c r="C53" s="2" t="str">
        <f>IF('PM_info+'!D53="","",'PM_info+'!D53)</f>
        <v/>
      </c>
      <c r="D53" s="3" t="str">
        <f>IF(C53="","",'Plate organization+'!$B$38)</f>
        <v/>
      </c>
      <c r="E53" s="3" t="str">
        <f>'Plate organization+'!$A$13</f>
        <v>mtp_source</v>
      </c>
      <c r="F53" t="str">
        <f>'Plate organization+'!$A$1</f>
        <v>mtp_primer_stocks</v>
      </c>
    </row>
    <row r="54" spans="1:6" x14ac:dyDescent="0.25">
      <c r="A54" s="3" t="str">
        <f>IF(C54="","",VLOOKUP(C54,Source_Plate!$E$2:$F$97,2,FALSE))</f>
        <v/>
      </c>
      <c r="B54" s="3" t="str">
        <f>IF(C54="","",'PM_info+'!B54)</f>
        <v/>
      </c>
      <c r="C54" s="2" t="str">
        <f>IF('PM_info+'!D54="","",'PM_info+'!D54)</f>
        <v/>
      </c>
      <c r="D54" s="3" t="str">
        <f>IF(C54="","",'Plate organization+'!$B$38)</f>
        <v/>
      </c>
      <c r="E54" s="3" t="str">
        <f>'Plate organization+'!$A$13</f>
        <v>mtp_source</v>
      </c>
      <c r="F54" t="str">
        <f>'Plate organization+'!$A$1</f>
        <v>mtp_primer_stocks</v>
      </c>
    </row>
    <row r="55" spans="1:6" x14ac:dyDescent="0.25">
      <c r="A55" s="3" t="str">
        <f>IF(C55="","",VLOOKUP(C55,Source_Plate!$E$2:$F$97,2,FALSE))</f>
        <v/>
      </c>
      <c r="B55" s="3" t="str">
        <f>IF(C55="","",'PM_info+'!B55)</f>
        <v/>
      </c>
      <c r="C55" s="2" t="str">
        <f>IF('PM_info+'!D55="","",'PM_info+'!D55)</f>
        <v/>
      </c>
      <c r="D55" s="3" t="str">
        <f>IF(C55="","",'Plate organization+'!$B$38)</f>
        <v/>
      </c>
      <c r="E55" s="3" t="str">
        <f>'Plate organization+'!$A$13</f>
        <v>mtp_source</v>
      </c>
      <c r="F55" t="str">
        <f>'Plate organization+'!$A$1</f>
        <v>mtp_primer_stocks</v>
      </c>
    </row>
    <row r="56" spans="1:6" x14ac:dyDescent="0.25">
      <c r="A56" s="3" t="str">
        <f>IF(C56="","",VLOOKUP(C56,Source_Plate!$E$2:$F$97,2,FALSE))</f>
        <v/>
      </c>
      <c r="B56" s="3" t="str">
        <f>IF(C56="","",'PM_info+'!B56)</f>
        <v/>
      </c>
      <c r="C56" s="2" t="str">
        <f>IF('PM_info+'!D56="","",'PM_info+'!D56)</f>
        <v/>
      </c>
      <c r="D56" s="3" t="str">
        <f>IF(C56="","",'Plate organization+'!$B$38)</f>
        <v/>
      </c>
      <c r="E56" s="3" t="str">
        <f>'Plate organization+'!$A$13</f>
        <v>mtp_source</v>
      </c>
      <c r="F56" t="str">
        <f>'Plate organization+'!$A$1</f>
        <v>mtp_primer_stocks</v>
      </c>
    </row>
    <row r="57" spans="1:6" x14ac:dyDescent="0.25">
      <c r="A57" s="3" t="str">
        <f>IF(C57="","",VLOOKUP(C57,Source_Plate!$E$2:$F$97,2,FALSE))</f>
        <v/>
      </c>
      <c r="B57" s="3" t="str">
        <f>IF(C57="","",'PM_info+'!B57)</f>
        <v/>
      </c>
      <c r="C57" s="2" t="str">
        <f>IF('PM_info+'!D57="","",'PM_info+'!D57)</f>
        <v/>
      </c>
      <c r="D57" s="3" t="str">
        <f>IF(C57="","",'Plate organization+'!$B$38)</f>
        <v/>
      </c>
      <c r="E57" s="3" t="str">
        <f>'Plate organization+'!$A$13</f>
        <v>mtp_source</v>
      </c>
      <c r="F57" t="str">
        <f>'Plate organization+'!$A$1</f>
        <v>mtp_primer_stocks</v>
      </c>
    </row>
    <row r="58" spans="1:6" x14ac:dyDescent="0.25">
      <c r="A58" s="3" t="str">
        <f>IF(C58="","",VLOOKUP(C58,Source_Plate!$E$2:$F$97,2,FALSE))</f>
        <v/>
      </c>
      <c r="B58" s="3" t="str">
        <f>IF(C58="","",'PM_info+'!B58)</f>
        <v/>
      </c>
      <c r="C58" s="2" t="str">
        <f>IF('PM_info+'!D58="","",'PM_info+'!D58)</f>
        <v/>
      </c>
      <c r="D58" s="3" t="str">
        <f>IF(C58="","",'Plate organization+'!$B$38)</f>
        <v/>
      </c>
      <c r="E58" s="3" t="str">
        <f>'Plate organization+'!$A$13</f>
        <v>mtp_source</v>
      </c>
      <c r="F58" t="str">
        <f>'Plate organization+'!$A$1</f>
        <v>mtp_primer_stocks</v>
      </c>
    </row>
    <row r="59" spans="1:6" x14ac:dyDescent="0.25">
      <c r="A59" s="3" t="str">
        <f>IF(C59="","",VLOOKUP(C59,Source_Plate!$E$2:$F$97,2,FALSE))</f>
        <v/>
      </c>
      <c r="B59" s="3" t="str">
        <f>IF(C59="","",'PM_info+'!B59)</f>
        <v/>
      </c>
      <c r="C59" s="2" t="str">
        <f>IF('PM_info+'!D59="","",'PM_info+'!D59)</f>
        <v/>
      </c>
      <c r="D59" s="3" t="str">
        <f>IF(C59="","",'Plate organization+'!$B$38)</f>
        <v/>
      </c>
      <c r="E59" s="3" t="str">
        <f>'Plate organization+'!$A$13</f>
        <v>mtp_source</v>
      </c>
      <c r="F59" t="str">
        <f>'Plate organization+'!$A$1</f>
        <v>mtp_primer_stocks</v>
      </c>
    </row>
    <row r="60" spans="1:6" x14ac:dyDescent="0.25">
      <c r="A60" s="3" t="str">
        <f>IF(C60="","",VLOOKUP(C60,Source_Plate!$E$2:$F$97,2,FALSE))</f>
        <v/>
      </c>
      <c r="B60" s="3" t="str">
        <f>IF(C60="","",'PM_info+'!B60)</f>
        <v/>
      </c>
      <c r="C60" s="2" t="str">
        <f>IF('PM_info+'!D60="","",'PM_info+'!D60)</f>
        <v/>
      </c>
      <c r="D60" s="3" t="str">
        <f>IF(C60="","",'Plate organization+'!$B$38)</f>
        <v/>
      </c>
      <c r="E60" s="3" t="str">
        <f>'Plate organization+'!$A$13</f>
        <v>mtp_source</v>
      </c>
      <c r="F60" t="str">
        <f>'Plate organization+'!$A$1</f>
        <v>mtp_primer_stocks</v>
      </c>
    </row>
    <row r="61" spans="1:6" x14ac:dyDescent="0.25">
      <c r="A61" s="3" t="str">
        <f>IF(C61="","",VLOOKUP(C61,Source_Plate!$E$2:$F$97,2,FALSE))</f>
        <v/>
      </c>
      <c r="B61" s="3" t="str">
        <f>IF(C61="","",'PM_info+'!B61)</f>
        <v/>
      </c>
      <c r="C61" s="2" t="str">
        <f>IF('PM_info+'!D61="","",'PM_info+'!D61)</f>
        <v/>
      </c>
      <c r="D61" s="3" t="str">
        <f>IF(C61="","",'Plate organization+'!$B$38)</f>
        <v/>
      </c>
      <c r="E61" s="3" t="str">
        <f>'Plate organization+'!$A$13</f>
        <v>mtp_source</v>
      </c>
      <c r="F61" t="str">
        <f>'Plate organization+'!$A$1</f>
        <v>mtp_primer_stocks</v>
      </c>
    </row>
    <row r="62" spans="1:6" x14ac:dyDescent="0.25">
      <c r="A62" s="3" t="str">
        <f>IF(C62="","",VLOOKUP(C62,Source_Plate!$E$2:$F$97,2,FALSE))</f>
        <v/>
      </c>
      <c r="B62" s="3" t="str">
        <f>IF(C62="","",'PM_info+'!B62)</f>
        <v/>
      </c>
      <c r="C62" s="2" t="str">
        <f>IF('PM_info+'!D62="","",'PM_info+'!D62)</f>
        <v/>
      </c>
      <c r="D62" s="3" t="str">
        <f>IF(C62="","",'Plate organization+'!$B$38)</f>
        <v/>
      </c>
      <c r="E62" s="3" t="str">
        <f>'Plate organization+'!$A$13</f>
        <v>mtp_source</v>
      </c>
      <c r="F62" t="str">
        <f>'Plate organization+'!$A$1</f>
        <v>mtp_primer_stocks</v>
      </c>
    </row>
    <row r="63" spans="1:6" x14ac:dyDescent="0.25">
      <c r="A63" s="3" t="str">
        <f>IF(C63="","",VLOOKUP(C63,Source_Plate!$E$2:$F$97,2,FALSE))</f>
        <v/>
      </c>
      <c r="B63" s="3" t="str">
        <f>IF(C63="","",'PM_info+'!B63)</f>
        <v/>
      </c>
      <c r="C63" s="2" t="str">
        <f>IF('PM_info+'!D63="","",'PM_info+'!D63)</f>
        <v/>
      </c>
      <c r="D63" s="3" t="str">
        <f>IF(C63="","",'Plate organization+'!$B$38)</f>
        <v/>
      </c>
      <c r="E63" s="3" t="str">
        <f>'Plate organization+'!$A$13</f>
        <v>mtp_source</v>
      </c>
      <c r="F63" t="str">
        <f>'Plate organization+'!$A$1</f>
        <v>mtp_primer_stocks</v>
      </c>
    </row>
    <row r="64" spans="1:6" x14ac:dyDescent="0.25">
      <c r="A64" s="3" t="str">
        <f>IF(C64="","",VLOOKUP(C64,Source_Plate!$E$2:$F$97,2,FALSE))</f>
        <v/>
      </c>
      <c r="B64" s="3" t="str">
        <f>IF(C64="","",'PM_info+'!B64)</f>
        <v/>
      </c>
      <c r="C64" s="2" t="str">
        <f>IF('PM_info+'!D64="","",'PM_info+'!D64)</f>
        <v/>
      </c>
      <c r="D64" s="3" t="str">
        <f>IF(C64="","",'Plate organization+'!$B$38)</f>
        <v/>
      </c>
      <c r="E64" s="3" t="str">
        <f>'Plate organization+'!$A$13</f>
        <v>mtp_source</v>
      </c>
      <c r="F64" t="str">
        <f>'Plate organization+'!$A$1</f>
        <v>mtp_primer_stocks</v>
      </c>
    </row>
    <row r="65" spans="1:6" x14ac:dyDescent="0.25">
      <c r="A65" s="3" t="str">
        <f>IF(C65="","",VLOOKUP(C65,Source_Plate!$E$2:$F$97,2,FALSE))</f>
        <v/>
      </c>
      <c r="B65" s="3" t="str">
        <f>IF(C65="","",'PM_info+'!B65)</f>
        <v/>
      </c>
      <c r="C65" s="2" t="str">
        <f>IF('PM_info+'!D65="","",'PM_info+'!D65)</f>
        <v/>
      </c>
      <c r="D65" s="3" t="str">
        <f>IF(C65="","",'Plate organization+'!$B$38)</f>
        <v/>
      </c>
      <c r="E65" s="3" t="str">
        <f>'Plate organization+'!$A$13</f>
        <v>mtp_source</v>
      </c>
      <c r="F65" t="str">
        <f>'Plate organization+'!$A$1</f>
        <v>mtp_primer_stocks</v>
      </c>
    </row>
    <row r="66" spans="1:6" x14ac:dyDescent="0.25">
      <c r="A66" s="3" t="str">
        <f>IF(C66="","",VLOOKUP(C66,Source_Plate!$E$2:$F$97,2,FALSE))</f>
        <v/>
      </c>
      <c r="B66" s="3" t="str">
        <f>IF(C66="","",'PM_info+'!B66)</f>
        <v/>
      </c>
      <c r="C66" s="2" t="str">
        <f>IF('PM_info+'!D66="","",'PM_info+'!D66)</f>
        <v/>
      </c>
      <c r="D66" s="3" t="str">
        <f>IF(C66="","",'Plate organization+'!$B$38)</f>
        <v/>
      </c>
      <c r="E66" s="3" t="str">
        <f>'Plate organization+'!$A$13</f>
        <v>mtp_source</v>
      </c>
      <c r="F66" t="str">
        <f>'Plate organization+'!$A$1</f>
        <v>mtp_primer_stocks</v>
      </c>
    </row>
    <row r="67" spans="1:6" x14ac:dyDescent="0.25">
      <c r="A67" s="3" t="str">
        <f>IF(C67="","",VLOOKUP(C67,Source_Plate!$E$2:$F$97,2,FALSE))</f>
        <v/>
      </c>
      <c r="B67" s="3" t="str">
        <f>IF(C67="","",'PM_info+'!B67)</f>
        <v/>
      </c>
      <c r="C67" s="2" t="str">
        <f>IF('PM_info+'!D67="","",'PM_info+'!D67)</f>
        <v/>
      </c>
      <c r="D67" s="3" t="str">
        <f>IF(C67="","",'Plate organization+'!$B$38)</f>
        <v/>
      </c>
      <c r="E67" s="3" t="str">
        <f>'Plate organization+'!$A$13</f>
        <v>mtp_source</v>
      </c>
      <c r="F67" t="str">
        <f>'Plate organization+'!$A$1</f>
        <v>mtp_primer_stocks</v>
      </c>
    </row>
    <row r="68" spans="1:6" x14ac:dyDescent="0.25">
      <c r="A68" s="3" t="str">
        <f>IF(C68="","",VLOOKUP(C68,Source_Plate!$E$2:$F$97,2,FALSE))</f>
        <v/>
      </c>
      <c r="B68" s="3" t="str">
        <f>IF(C68="","",'PM_info+'!B68)</f>
        <v/>
      </c>
      <c r="C68" s="2" t="str">
        <f>IF('PM_info+'!D68="","",'PM_info+'!D68)</f>
        <v/>
      </c>
      <c r="D68" s="3" t="str">
        <f>IF(C68="","",'Plate organization+'!$B$38)</f>
        <v/>
      </c>
      <c r="E68" s="3" t="str">
        <f>'Plate organization+'!$A$13</f>
        <v>mtp_source</v>
      </c>
      <c r="F68" t="str">
        <f>'Plate organization+'!$A$1</f>
        <v>mtp_primer_stocks</v>
      </c>
    </row>
    <row r="69" spans="1:6" x14ac:dyDescent="0.25">
      <c r="A69" s="3" t="str">
        <f>IF(C69="","",VLOOKUP(C69,Source_Plate!$E$2:$F$97,2,FALSE))</f>
        <v/>
      </c>
      <c r="B69" s="3" t="str">
        <f>IF(C69="","",'PM_info+'!B69)</f>
        <v/>
      </c>
      <c r="C69" s="2" t="str">
        <f>IF('PM_info+'!D69="","",'PM_info+'!D69)</f>
        <v/>
      </c>
      <c r="D69" s="3" t="str">
        <f>IF(C69="","",'Plate organization+'!$B$38)</f>
        <v/>
      </c>
      <c r="E69" s="3" t="str">
        <f>'Plate organization+'!$A$13</f>
        <v>mtp_source</v>
      </c>
      <c r="F69" t="str">
        <f>'Plate organization+'!$A$1</f>
        <v>mtp_primer_stocks</v>
      </c>
    </row>
    <row r="70" spans="1:6" x14ac:dyDescent="0.25">
      <c r="A70" s="3" t="str">
        <f>IF(C70="","",VLOOKUP(C70,Source_Plate!$E$2:$F$97,2,FALSE))</f>
        <v/>
      </c>
      <c r="B70" s="3" t="str">
        <f>IF(C70="","",'PM_info+'!B70)</f>
        <v/>
      </c>
      <c r="C70" s="2" t="str">
        <f>IF('PM_info+'!D70="","",'PM_info+'!D70)</f>
        <v/>
      </c>
      <c r="D70" s="3" t="str">
        <f>IF(C70="","",'Plate organization+'!$B$38)</f>
        <v/>
      </c>
      <c r="E70" s="3" t="str">
        <f>'Plate organization+'!$A$13</f>
        <v>mtp_source</v>
      </c>
      <c r="F70" t="str">
        <f>'Plate organization+'!$A$1</f>
        <v>mtp_primer_stocks</v>
      </c>
    </row>
    <row r="71" spans="1:6" x14ac:dyDescent="0.25">
      <c r="A71" s="3" t="str">
        <f>IF(C71="","",VLOOKUP(C71,Source_Plate!$E$2:$F$97,2,FALSE))</f>
        <v/>
      </c>
      <c r="B71" s="3" t="str">
        <f>IF(C71="","",'PM_info+'!B71)</f>
        <v/>
      </c>
      <c r="C71" s="2" t="str">
        <f>IF('PM_info+'!D71="","",'PM_info+'!D71)</f>
        <v/>
      </c>
      <c r="D71" s="3" t="str">
        <f>IF(C71="","",'Plate organization+'!$B$38)</f>
        <v/>
      </c>
      <c r="E71" s="3" t="str">
        <f>'Plate organization+'!$A$13</f>
        <v>mtp_source</v>
      </c>
      <c r="F71" t="str">
        <f>'Plate organization+'!$A$1</f>
        <v>mtp_primer_stocks</v>
      </c>
    </row>
    <row r="72" spans="1:6" x14ac:dyDescent="0.25">
      <c r="A72" s="3" t="str">
        <f>IF(C72="","",VLOOKUP(C72,Source_Plate!$E$2:$F$97,2,FALSE))</f>
        <v/>
      </c>
      <c r="B72" s="3" t="str">
        <f>IF(C72="","",'PM_info+'!B72)</f>
        <v/>
      </c>
      <c r="C72" s="2" t="str">
        <f>IF('PM_info+'!D72="","",'PM_info+'!D72)</f>
        <v/>
      </c>
      <c r="D72" s="3" t="str">
        <f>IF(C72="","",'Plate organization+'!$B$38)</f>
        <v/>
      </c>
      <c r="E72" s="3" t="str">
        <f>'Plate organization+'!$A$13</f>
        <v>mtp_source</v>
      </c>
      <c r="F72" t="str">
        <f>'Plate organization+'!$A$1</f>
        <v>mtp_primer_stocks</v>
      </c>
    </row>
    <row r="73" spans="1:6" x14ac:dyDescent="0.25">
      <c r="A73" s="3" t="str">
        <f>IF(C73="","",VLOOKUP(C73,Source_Plate!$E$2:$F$97,2,FALSE))</f>
        <v/>
      </c>
      <c r="B73" s="3" t="str">
        <f>IF(C73="","",'PM_info+'!B73)</f>
        <v/>
      </c>
      <c r="C73" s="2" t="str">
        <f>IF('PM_info+'!D73="","",'PM_info+'!D73)</f>
        <v/>
      </c>
      <c r="D73" s="3" t="str">
        <f>IF(C73="","",'Plate organization+'!$B$38)</f>
        <v/>
      </c>
      <c r="E73" s="3" t="str">
        <f>'Plate organization+'!$A$13</f>
        <v>mtp_source</v>
      </c>
      <c r="F73" t="str">
        <f>'Plate organization+'!$A$1</f>
        <v>mtp_primer_stocks</v>
      </c>
    </row>
    <row r="74" spans="1:6" x14ac:dyDescent="0.25">
      <c r="A74" s="3" t="str">
        <f>IF(C74="","",VLOOKUP(C74,Source_Plate!$E$2:$F$97,2,FALSE))</f>
        <v/>
      </c>
      <c r="B74" s="3" t="str">
        <f>IF(C74="","",'PM_info+'!B74)</f>
        <v/>
      </c>
      <c r="C74" s="2" t="str">
        <f>IF('PM_info+'!D74="","",'PM_info+'!D74)</f>
        <v/>
      </c>
      <c r="D74" s="3" t="str">
        <f>IF(C74="","",'Plate organization+'!$B$38)</f>
        <v/>
      </c>
      <c r="E74" s="3" t="str">
        <f>'Plate organization+'!$A$13</f>
        <v>mtp_source</v>
      </c>
      <c r="F74" t="str">
        <f>'Plate organization+'!$A$1</f>
        <v>mtp_primer_stocks</v>
      </c>
    </row>
    <row r="75" spans="1:6" x14ac:dyDescent="0.25">
      <c r="A75" s="3" t="str">
        <f>IF(C75="","",VLOOKUP(C75,Source_Plate!$E$2:$F$97,2,FALSE))</f>
        <v/>
      </c>
      <c r="B75" s="3" t="str">
        <f>IF(C75="","",'PM_info+'!B75)</f>
        <v/>
      </c>
      <c r="C75" s="2" t="str">
        <f>IF('PM_info+'!D75="","",'PM_info+'!D75)</f>
        <v/>
      </c>
      <c r="D75" s="3" t="str">
        <f>IF(C75="","",'Plate organization+'!$B$38)</f>
        <v/>
      </c>
      <c r="E75" s="3" t="str">
        <f>'Plate organization+'!$A$13</f>
        <v>mtp_source</v>
      </c>
      <c r="F75" t="str">
        <f>'Plate organization+'!$A$1</f>
        <v>mtp_primer_stocks</v>
      </c>
    </row>
    <row r="76" spans="1:6" x14ac:dyDescent="0.25">
      <c r="A76" s="3" t="str">
        <f>IF(C76="","",VLOOKUP(C76,Source_Plate!$E$2:$F$97,2,FALSE))</f>
        <v/>
      </c>
      <c r="B76" s="3" t="str">
        <f>IF(C76="","",'PM_info+'!B76)</f>
        <v/>
      </c>
      <c r="C76" s="2" t="str">
        <f>IF('PM_info+'!D76="","",'PM_info+'!D76)</f>
        <v/>
      </c>
      <c r="D76" s="3" t="str">
        <f>IF(C76="","",'Plate organization+'!$B$38)</f>
        <v/>
      </c>
      <c r="E76" s="3" t="str">
        <f>'Plate organization+'!$A$13</f>
        <v>mtp_source</v>
      </c>
      <c r="F76" t="str">
        <f>'Plate organization+'!$A$1</f>
        <v>mtp_primer_stocks</v>
      </c>
    </row>
    <row r="77" spans="1:6" x14ac:dyDescent="0.25">
      <c r="A77" s="3" t="str">
        <f>IF(C77="","",VLOOKUP(C77,Source_Plate!$E$2:$F$97,2,FALSE))</f>
        <v/>
      </c>
      <c r="B77" s="3" t="str">
        <f>IF(C77="","",'PM_info+'!B77)</f>
        <v/>
      </c>
      <c r="C77" s="2" t="str">
        <f>IF('PM_info+'!D77="","",'PM_info+'!D77)</f>
        <v/>
      </c>
      <c r="D77" s="3" t="str">
        <f>IF(C77="","",'Plate organization+'!$B$38)</f>
        <v/>
      </c>
      <c r="E77" s="3" t="str">
        <f>'Plate organization+'!$A$13</f>
        <v>mtp_source</v>
      </c>
      <c r="F77" t="str">
        <f>'Plate organization+'!$A$1</f>
        <v>mtp_primer_stocks</v>
      </c>
    </row>
    <row r="78" spans="1:6" x14ac:dyDescent="0.25">
      <c r="A78" s="3" t="str">
        <f>IF(C78="","",VLOOKUP(C78,Source_Plate!$E$2:$F$97,2,FALSE))</f>
        <v/>
      </c>
      <c r="B78" s="3" t="str">
        <f>IF(C78="","",'PM_info+'!B78)</f>
        <v/>
      </c>
      <c r="C78" s="2" t="str">
        <f>IF('PM_info+'!D78="","",'PM_info+'!D78)</f>
        <v/>
      </c>
      <c r="D78" s="3" t="str">
        <f>IF(C78="","",'Plate organization+'!$B$38)</f>
        <v/>
      </c>
      <c r="E78" s="3" t="str">
        <f>'Plate organization+'!$A$13</f>
        <v>mtp_source</v>
      </c>
      <c r="F78" t="str">
        <f>'Plate organization+'!$A$1</f>
        <v>mtp_primer_stocks</v>
      </c>
    </row>
    <row r="79" spans="1:6" x14ac:dyDescent="0.25">
      <c r="A79" s="3" t="str">
        <f>IF(C79="","",VLOOKUP(C79,Source_Plate!$E$2:$F$97,2,FALSE))</f>
        <v/>
      </c>
      <c r="B79" s="3" t="str">
        <f>IF(C79="","",'PM_info+'!B79)</f>
        <v/>
      </c>
      <c r="C79" s="2" t="str">
        <f>IF('PM_info+'!D79="","",'PM_info+'!D79)</f>
        <v/>
      </c>
      <c r="D79" s="3" t="str">
        <f>IF(C79="","",'Plate organization+'!$B$38)</f>
        <v/>
      </c>
      <c r="E79" s="3" t="str">
        <f>'Plate organization+'!$A$13</f>
        <v>mtp_source</v>
      </c>
      <c r="F79" t="str">
        <f>'Plate organization+'!$A$1</f>
        <v>mtp_primer_stocks</v>
      </c>
    </row>
    <row r="80" spans="1:6" x14ac:dyDescent="0.25">
      <c r="A80" s="3" t="str">
        <f>IF(C80="","",VLOOKUP(C80,Source_Plate!$E$2:$F$97,2,FALSE))</f>
        <v/>
      </c>
      <c r="B80" s="3" t="str">
        <f>IF(C80="","",'PM_info+'!B80)</f>
        <v/>
      </c>
      <c r="C80" s="2" t="str">
        <f>IF('PM_info+'!D80="","",'PM_info+'!D80)</f>
        <v/>
      </c>
      <c r="D80" s="3" t="str">
        <f>IF(C80="","",'Plate organization+'!$B$38)</f>
        <v/>
      </c>
      <c r="E80" s="3" t="str">
        <f>'Plate organization+'!$A$13</f>
        <v>mtp_source</v>
      </c>
      <c r="F80" t="str">
        <f>'Plate organization+'!$A$1</f>
        <v>mtp_primer_stocks</v>
      </c>
    </row>
    <row r="81" spans="1:6" x14ac:dyDescent="0.25">
      <c r="A81" s="3" t="str">
        <f>IF(C81="","",VLOOKUP(C81,Source_Plate!$E$2:$F$97,2,FALSE))</f>
        <v/>
      </c>
      <c r="B81" s="3" t="str">
        <f>IF(C81="","",'PM_info+'!B81)</f>
        <v/>
      </c>
      <c r="C81" s="2" t="str">
        <f>IF('PM_info+'!D81="","",'PM_info+'!D81)</f>
        <v/>
      </c>
      <c r="D81" s="3" t="str">
        <f>IF(C81="","",'Plate organization+'!$B$38)</f>
        <v/>
      </c>
      <c r="E81" s="3" t="str">
        <f>'Plate organization+'!$A$13</f>
        <v>mtp_source</v>
      </c>
      <c r="F81" t="str">
        <f>'Plate organization+'!$A$1</f>
        <v>mtp_primer_stocks</v>
      </c>
    </row>
    <row r="82" spans="1:6" x14ac:dyDescent="0.25">
      <c r="A82" s="3" t="str">
        <f>IF(C82="","",VLOOKUP(C82,Source_Plate!$E$2:$F$97,2,FALSE))</f>
        <v/>
      </c>
      <c r="B82" s="3" t="str">
        <f>IF(C82="","",'PM_info+'!B82)</f>
        <v/>
      </c>
      <c r="C82" s="2" t="str">
        <f>IF('PM_info+'!D82="","",'PM_info+'!D82)</f>
        <v/>
      </c>
      <c r="D82" s="3" t="str">
        <f>IF(C82="","",'Plate organization+'!$B$38)</f>
        <v/>
      </c>
      <c r="E82" s="3" t="str">
        <f>'Plate organization+'!$A$13</f>
        <v>mtp_source</v>
      </c>
      <c r="F82" t="str">
        <f>'Plate organization+'!$A$1</f>
        <v>mtp_primer_stocks</v>
      </c>
    </row>
    <row r="83" spans="1:6" x14ac:dyDescent="0.25">
      <c r="A83" s="3" t="str">
        <f>IF(C83="","",VLOOKUP(C83,Source_Plate!$E$2:$F$97,2,FALSE))</f>
        <v/>
      </c>
      <c r="B83" s="3" t="str">
        <f>IF(C83="","",'PM_info+'!B83)</f>
        <v/>
      </c>
      <c r="C83" s="2" t="str">
        <f>IF('PM_info+'!D83="","",'PM_info+'!D83)</f>
        <v/>
      </c>
      <c r="D83" s="3" t="str">
        <f>IF(C83="","",'Plate organization+'!$B$38)</f>
        <v/>
      </c>
      <c r="E83" s="3" t="str">
        <f>'Plate organization+'!$A$13</f>
        <v>mtp_source</v>
      </c>
      <c r="F83" t="str">
        <f>'Plate organization+'!$A$1</f>
        <v>mtp_primer_stocks</v>
      </c>
    </row>
    <row r="84" spans="1:6" x14ac:dyDescent="0.25">
      <c r="A84" s="3" t="str">
        <f>IF(C84="","",VLOOKUP(C84,Source_Plate!$E$2:$F$97,2,FALSE))</f>
        <v/>
      </c>
      <c r="B84" s="3" t="str">
        <f>IF(C84="","",'PM_info+'!B84)</f>
        <v/>
      </c>
      <c r="C84" s="2" t="str">
        <f>IF('PM_info+'!D84="","",'PM_info+'!D84)</f>
        <v/>
      </c>
      <c r="D84" s="3" t="str">
        <f>IF(C84="","",'Plate organization+'!$B$38)</f>
        <v/>
      </c>
      <c r="E84" s="3" t="str">
        <f>'Plate organization+'!$A$13</f>
        <v>mtp_source</v>
      </c>
      <c r="F84" t="str">
        <f>'Plate organization+'!$A$1</f>
        <v>mtp_primer_stocks</v>
      </c>
    </row>
    <row r="85" spans="1:6" x14ac:dyDescent="0.25">
      <c r="A85" s="3" t="str">
        <f>IF(C85="","",VLOOKUP(C85,Source_Plate!$E$2:$F$97,2,FALSE))</f>
        <v/>
      </c>
      <c r="B85" s="3" t="str">
        <f>IF(C85="","",'PM_info+'!B85)</f>
        <v/>
      </c>
      <c r="C85" s="2" t="str">
        <f>IF('PM_info+'!D85="","",'PM_info+'!D85)</f>
        <v/>
      </c>
      <c r="D85" s="3" t="str">
        <f>IF(C85="","",'Plate organization+'!$B$38)</f>
        <v/>
      </c>
      <c r="E85" s="3" t="str">
        <f>'Plate organization+'!$A$13</f>
        <v>mtp_source</v>
      </c>
      <c r="F85" t="str">
        <f>'Plate organization+'!$A$1</f>
        <v>mtp_primer_stocks</v>
      </c>
    </row>
    <row r="86" spans="1:6" x14ac:dyDescent="0.25">
      <c r="A86" s="3" t="str">
        <f>IF(C86="","",VLOOKUP(C86,Source_Plate!$E$2:$F$97,2,FALSE))</f>
        <v/>
      </c>
      <c r="B86" s="3" t="str">
        <f>IF(C86="","",'PM_info+'!B86)</f>
        <v/>
      </c>
      <c r="C86" s="2" t="str">
        <f>IF('PM_info+'!D86="","",'PM_info+'!D86)</f>
        <v/>
      </c>
      <c r="D86" s="3" t="str">
        <f>IF(C86="","",'Plate organization+'!$B$38)</f>
        <v/>
      </c>
      <c r="E86" s="3" t="str">
        <f>'Plate organization+'!$A$13</f>
        <v>mtp_source</v>
      </c>
      <c r="F86" t="str">
        <f>'Plate organization+'!$A$1</f>
        <v>mtp_primer_stocks</v>
      </c>
    </row>
    <row r="87" spans="1:6" x14ac:dyDescent="0.25">
      <c r="A87" s="3" t="str">
        <f>IF(C87="","",VLOOKUP(C87,Source_Plate!$E$2:$F$97,2,FALSE))</f>
        <v/>
      </c>
      <c r="B87" s="3" t="str">
        <f>IF(C87="","",'PM_info+'!B87)</f>
        <v/>
      </c>
      <c r="C87" s="2" t="str">
        <f>IF('PM_info+'!D87="","",'PM_info+'!D87)</f>
        <v/>
      </c>
      <c r="D87" s="3" t="str">
        <f>IF(C87="","",'Plate organization+'!$B$38)</f>
        <v/>
      </c>
      <c r="E87" s="3" t="str">
        <f>'Plate organization+'!$A$13</f>
        <v>mtp_source</v>
      </c>
      <c r="F87" t="str">
        <f>'Plate organization+'!$A$1</f>
        <v>mtp_primer_stocks</v>
      </c>
    </row>
    <row r="88" spans="1:6" x14ac:dyDescent="0.25">
      <c r="A88" s="3" t="str">
        <f>IF(C88="","",VLOOKUP(C88,Source_Plate!$E$2:$F$97,2,FALSE))</f>
        <v/>
      </c>
      <c r="B88" s="3" t="str">
        <f>IF(C88="","",'PM_info+'!B88)</f>
        <v/>
      </c>
      <c r="C88" s="2" t="str">
        <f>IF('PM_info+'!D88="","",'PM_info+'!D88)</f>
        <v/>
      </c>
      <c r="D88" s="3" t="str">
        <f>IF(C88="","",'Plate organization+'!$B$38)</f>
        <v/>
      </c>
      <c r="E88" s="3" t="str">
        <f>'Plate organization+'!$A$13</f>
        <v>mtp_source</v>
      </c>
      <c r="F88" t="str">
        <f>'Plate organization+'!$A$1</f>
        <v>mtp_primer_stocks</v>
      </c>
    </row>
    <row r="89" spans="1:6" x14ac:dyDescent="0.25">
      <c r="A89" s="3" t="str">
        <f>IF(C89="","",VLOOKUP(C89,Source_Plate!$E$2:$F$97,2,FALSE))</f>
        <v/>
      </c>
      <c r="B89" s="3" t="str">
        <f>IF(C89="","",'PM_info+'!B89)</f>
        <v/>
      </c>
      <c r="C89" s="2" t="str">
        <f>IF('PM_info+'!D89="","",'PM_info+'!D89)</f>
        <v/>
      </c>
      <c r="D89" s="3" t="str">
        <f>IF(C89="","",'Plate organization+'!$B$38)</f>
        <v/>
      </c>
      <c r="E89" s="3" t="str">
        <f>'Plate organization+'!$A$13</f>
        <v>mtp_source</v>
      </c>
      <c r="F89" t="str">
        <f>'Plate organization+'!$A$1</f>
        <v>mtp_primer_stocks</v>
      </c>
    </row>
    <row r="90" spans="1:6" x14ac:dyDescent="0.25">
      <c r="A90" s="3" t="str">
        <f>IF(C90="","",VLOOKUP(C90,Source_Plate!$E$2:$F$97,2,FALSE))</f>
        <v/>
      </c>
      <c r="B90" s="3" t="str">
        <f>IF(C90="","",'PM_info+'!B90)</f>
        <v/>
      </c>
      <c r="C90" s="2" t="str">
        <f>IF('PM_info+'!D90="","",'PM_info+'!D90)</f>
        <v/>
      </c>
      <c r="D90" s="3" t="str">
        <f>IF(C90="","",'Plate organization+'!$B$38)</f>
        <v/>
      </c>
      <c r="E90" s="3" t="str">
        <f>'Plate organization+'!$A$13</f>
        <v>mtp_source</v>
      </c>
      <c r="F90" t="str">
        <f>'Plate organization+'!$A$1</f>
        <v>mtp_primer_stocks</v>
      </c>
    </row>
    <row r="91" spans="1:6" x14ac:dyDescent="0.25">
      <c r="A91" s="3" t="str">
        <f>IF(C91="","",VLOOKUP(C91,Source_Plate!$E$2:$F$97,2,FALSE))</f>
        <v/>
      </c>
      <c r="B91" s="3" t="str">
        <f>IF(C91="","",'PM_info+'!B91)</f>
        <v/>
      </c>
      <c r="C91" s="2" t="str">
        <f>IF('PM_info+'!D91="","",'PM_info+'!D91)</f>
        <v/>
      </c>
      <c r="D91" s="3" t="str">
        <f>IF(C91="","",'Plate organization+'!$B$38)</f>
        <v/>
      </c>
      <c r="E91" s="3" t="str">
        <f>'Plate organization+'!$A$13</f>
        <v>mtp_source</v>
      </c>
      <c r="F91" t="str">
        <f>'Plate organization+'!$A$1</f>
        <v>mtp_primer_stocks</v>
      </c>
    </row>
    <row r="92" spans="1:6" x14ac:dyDescent="0.25">
      <c r="A92" s="3" t="str">
        <f>IF(C92="","",VLOOKUP(C92,Source_Plate!$E$2:$F$97,2,FALSE))</f>
        <v/>
      </c>
      <c r="B92" s="3" t="str">
        <f>IF(C92="","",'PM_info+'!B92)</f>
        <v/>
      </c>
      <c r="C92" s="2" t="str">
        <f>IF('PM_info+'!D92="","",'PM_info+'!D92)</f>
        <v/>
      </c>
      <c r="D92" s="3" t="str">
        <f>IF(C92="","",'Plate organization+'!$B$38)</f>
        <v/>
      </c>
      <c r="E92" s="3" t="str">
        <f>'Plate organization+'!$A$13</f>
        <v>mtp_source</v>
      </c>
      <c r="F92" t="str">
        <f>'Plate organization+'!$A$1</f>
        <v>mtp_primer_stocks</v>
      </c>
    </row>
    <row r="93" spans="1:6" x14ac:dyDescent="0.25">
      <c r="A93" s="3" t="str">
        <f>IF(C93="","",VLOOKUP(C93,Source_Plate!$E$2:$F$97,2,FALSE))</f>
        <v/>
      </c>
      <c r="B93" s="3" t="str">
        <f>IF(C93="","",'PM_info+'!B93)</f>
        <v/>
      </c>
      <c r="C93" s="2" t="str">
        <f>IF('PM_info+'!D93="","",'PM_info+'!D93)</f>
        <v/>
      </c>
      <c r="D93" s="3" t="str">
        <f>IF(C93="","",'Plate organization+'!$B$38)</f>
        <v/>
      </c>
      <c r="E93" s="3" t="str">
        <f>'Plate organization+'!$A$13</f>
        <v>mtp_source</v>
      </c>
      <c r="F93" t="str">
        <f>'Plate organization+'!$A$1</f>
        <v>mtp_primer_stocks</v>
      </c>
    </row>
    <row r="94" spans="1:6" x14ac:dyDescent="0.25">
      <c r="A94" s="3" t="str">
        <f>IF(C94="","",VLOOKUP(C94,Source_Plate!$E$2:$F$97,2,FALSE))</f>
        <v/>
      </c>
      <c r="B94" s="3" t="str">
        <f>IF(C94="","",'PM_info+'!B94)</f>
        <v/>
      </c>
      <c r="C94" s="2" t="str">
        <f>IF('PM_info+'!D94="","",'PM_info+'!D94)</f>
        <v/>
      </c>
      <c r="D94" s="3" t="str">
        <f>IF(C94="","",'Plate organization+'!$B$38)</f>
        <v/>
      </c>
      <c r="E94" s="3" t="str">
        <f>'Plate organization+'!$A$13</f>
        <v>mtp_source</v>
      </c>
      <c r="F94" t="str">
        <f>'Plate organization+'!$A$1</f>
        <v>mtp_primer_stocks</v>
      </c>
    </row>
    <row r="95" spans="1:6" x14ac:dyDescent="0.25">
      <c r="A95" s="3" t="str">
        <f>IF(C95="","",VLOOKUP(C95,Source_Plate!$E$2:$F$97,2,FALSE))</f>
        <v/>
      </c>
      <c r="B95" s="3" t="str">
        <f>IF(C95="","",'PM_info+'!B95)</f>
        <v/>
      </c>
      <c r="C95" s="2" t="str">
        <f>IF('PM_info+'!D95="","",'PM_info+'!D95)</f>
        <v/>
      </c>
      <c r="D95" s="3" t="str">
        <f>IF(C95="","",'Plate organization+'!$B$38)</f>
        <v/>
      </c>
      <c r="E95" s="3" t="str">
        <f>'Plate organization+'!$A$13</f>
        <v>mtp_source</v>
      </c>
      <c r="F95" t="str">
        <f>'Plate organization+'!$A$1</f>
        <v>mtp_primer_stocks</v>
      </c>
    </row>
    <row r="96" spans="1:6" x14ac:dyDescent="0.25">
      <c r="A96" s="3" t="str">
        <f>IF(C96="","",VLOOKUP(C96,Source_Plate!$E$2:$F$97,2,FALSE))</f>
        <v/>
      </c>
      <c r="B96" s="3" t="str">
        <f>IF(C96="","",'PM_info+'!B96)</f>
        <v/>
      </c>
      <c r="C96" s="2" t="str">
        <f>IF('PM_info+'!D96="","",'PM_info+'!D96)</f>
        <v/>
      </c>
      <c r="D96" s="3" t="str">
        <f>IF(C96="","",'Plate organization+'!$B$38)</f>
        <v/>
      </c>
      <c r="E96" s="3" t="str">
        <f>'Plate organization+'!$A$13</f>
        <v>mtp_source</v>
      </c>
      <c r="F96" t="str">
        <f>'Plate organization+'!$A$1</f>
        <v>mtp_primer_stocks</v>
      </c>
    </row>
    <row r="97" spans="1:6" x14ac:dyDescent="0.25">
      <c r="A97" s="3" t="str">
        <f>IF(C97="","",VLOOKUP(C97,Source_Plate!$E$2:$F$97,2,FALSE))</f>
        <v/>
      </c>
      <c r="B97" s="3" t="str">
        <f>IF(C97="","",'PM_info+'!B97)</f>
        <v/>
      </c>
      <c r="C97" s="2" t="str">
        <f>IF('PM_info+'!D97="","",'PM_info+'!D97)</f>
        <v/>
      </c>
      <c r="D97" s="3" t="str">
        <f>IF(C97="","",'Plate organization+'!$B$38)</f>
        <v/>
      </c>
      <c r="E97" s="3" t="str">
        <f>'Plate organization+'!$A$13</f>
        <v>mtp_source</v>
      </c>
      <c r="F97" t="str">
        <f>'Plate organization+'!$A$1</f>
        <v>mtp_primer_stocks</v>
      </c>
    </row>
    <row r="98" spans="1:6" x14ac:dyDescent="0.25">
      <c r="A98" s="3"/>
      <c r="B98" s="3"/>
    </row>
    <row r="99" spans="1:6" x14ac:dyDescent="0.25">
      <c r="A99" s="3"/>
      <c r="B99" s="3"/>
    </row>
    <row r="100" spans="1:6" x14ac:dyDescent="0.25">
      <c r="A100" s="3"/>
      <c r="B100" s="3"/>
    </row>
    <row r="101" spans="1:6" x14ac:dyDescent="0.25">
      <c r="A101" s="3"/>
      <c r="B101" s="3"/>
    </row>
    <row r="102" spans="1:6" x14ac:dyDescent="0.25">
      <c r="A102" s="3"/>
      <c r="B102" s="3"/>
    </row>
  </sheetData>
  <sortState xmlns:xlrd2="http://schemas.microsoft.com/office/spreadsheetml/2017/richdata2" ref="B2:B188">
    <sortCondition ref="B1"/>
  </sortState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2"/>
  <sheetViews>
    <sheetView workbookViewId="0">
      <selection activeCell="K4" sqref="K4"/>
    </sheetView>
  </sheetViews>
  <sheetFormatPr baseColWidth="10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style="3" bestFit="1" customWidth="1"/>
    <col min="6" max="6" width="17.42578125" bestFit="1" customWidth="1"/>
  </cols>
  <sheetData>
    <row r="1" spans="1:6" x14ac:dyDescent="0.25">
      <c r="A1" s="4" t="s">
        <v>66</v>
      </c>
      <c r="B1" s="4" t="s">
        <v>68</v>
      </c>
      <c r="C1" s="4" t="s">
        <v>135</v>
      </c>
      <c r="D1" s="4" t="s">
        <v>67</v>
      </c>
      <c r="E1" s="4" t="s">
        <v>109</v>
      </c>
      <c r="F1" s="4" t="s">
        <v>131</v>
      </c>
    </row>
    <row r="2" spans="1:6" x14ac:dyDescent="0.25">
      <c r="A2" s="3" t="str">
        <f>IF(C2="","",VLOOKUP(C2,Source_Plate!$E$2:$F$97,2,FALSE))</f>
        <v>B01</v>
      </c>
      <c r="B2" s="3" t="str">
        <f>IF(C2="","",'PM_info+'!B2)</f>
        <v>A01</v>
      </c>
      <c r="C2" s="2" t="str">
        <f>IF('PM_info+'!E2="","",'PM_info+'!E2)</f>
        <v>UNS4_rev</v>
      </c>
      <c r="D2" s="3">
        <f>IF(C2="","",'Plate organization+'!$B$38)</f>
        <v>10</v>
      </c>
      <c r="E2" s="3" t="str">
        <f>'Plate organization+'!$A$13</f>
        <v>mtp_source</v>
      </c>
      <c r="F2" t="str">
        <f>'Plate organization+'!$A$1</f>
        <v>mtp_primer_stocks</v>
      </c>
    </row>
    <row r="3" spans="1:6" x14ac:dyDescent="0.25">
      <c r="A3" s="3" t="str">
        <f>IF(C3="","",VLOOKUP(C3,Source_Plate!$E$2:$F$97,2,FALSE))</f>
        <v>D01</v>
      </c>
      <c r="B3" s="3" t="str">
        <f>IF(C3="","",'PM_info+'!B3)</f>
        <v>B01</v>
      </c>
      <c r="C3" s="2" t="str">
        <f>IF('PM_info+'!E3="","",'PM_info+'!E3)</f>
        <v>UNS10_rev</v>
      </c>
      <c r="D3" s="3">
        <f>IF(C3="","",'Plate organization+'!$B$38)</f>
        <v>10</v>
      </c>
      <c r="E3" s="3" t="str">
        <f>'Plate organization+'!$A$13</f>
        <v>mtp_source</v>
      </c>
      <c r="F3" t="str">
        <f>'Plate organization+'!$A$1</f>
        <v>mtp_primer_stocks</v>
      </c>
    </row>
    <row r="4" spans="1:6" x14ac:dyDescent="0.25">
      <c r="A4" s="3" t="str">
        <f>IF(C4="","",VLOOKUP(C4,Source_Plate!$E$2:$F$97,2,FALSE))</f>
        <v/>
      </c>
      <c r="B4" s="3" t="str">
        <f>IF(C4="","",'PM_info+'!B4)</f>
        <v/>
      </c>
      <c r="C4" s="2" t="str">
        <f>IF('PM_info+'!E4="","",'PM_info+'!E4)</f>
        <v/>
      </c>
      <c r="D4" s="3" t="str">
        <f>IF(C4="","",'Plate organization+'!$B$38)</f>
        <v/>
      </c>
      <c r="E4" s="3" t="str">
        <f>'Plate organization+'!$A$13</f>
        <v>mtp_source</v>
      </c>
      <c r="F4" t="str">
        <f>'Plate organization+'!$A$1</f>
        <v>mtp_primer_stocks</v>
      </c>
    </row>
    <row r="5" spans="1:6" x14ac:dyDescent="0.25">
      <c r="A5" s="3" t="str">
        <f>IF(C5="","",VLOOKUP(C5,Source_Plate!$E$2:$F$97,2,FALSE))</f>
        <v/>
      </c>
      <c r="B5" s="3" t="str">
        <f>IF(C5="","",'PM_info+'!B5)</f>
        <v/>
      </c>
      <c r="C5" s="2" t="str">
        <f>IF('PM_info+'!E5="","",'PM_info+'!E5)</f>
        <v/>
      </c>
      <c r="D5" s="3" t="str">
        <f>IF(C5="","",'Plate organization+'!$B$38)</f>
        <v/>
      </c>
      <c r="E5" s="3" t="str">
        <f>'Plate organization+'!$A$13</f>
        <v>mtp_source</v>
      </c>
      <c r="F5" t="str">
        <f>'Plate organization+'!$A$1</f>
        <v>mtp_primer_stocks</v>
      </c>
    </row>
    <row r="6" spans="1:6" x14ac:dyDescent="0.25">
      <c r="A6" s="3" t="str">
        <f>IF(C6="","",VLOOKUP(C6,Source_Plate!$E$2:$F$97,2,FALSE))</f>
        <v/>
      </c>
      <c r="B6" s="3" t="str">
        <f>IF(C6="","",'PM_info+'!B6)</f>
        <v/>
      </c>
      <c r="C6" s="2" t="str">
        <f>IF('PM_info+'!E6="","",'PM_info+'!E6)</f>
        <v/>
      </c>
      <c r="D6" s="3" t="str">
        <f>IF(C6="","",'Plate organization+'!$B$38)</f>
        <v/>
      </c>
      <c r="E6" s="3" t="str">
        <f>'Plate organization+'!$A$13</f>
        <v>mtp_source</v>
      </c>
      <c r="F6" t="str">
        <f>'Plate organization+'!$A$1</f>
        <v>mtp_primer_stocks</v>
      </c>
    </row>
    <row r="7" spans="1:6" x14ac:dyDescent="0.25">
      <c r="A7" s="3" t="str">
        <f>IF(C7="","",VLOOKUP(C7,Source_Plate!$E$2:$F$97,2,FALSE))</f>
        <v/>
      </c>
      <c r="B7" s="3" t="str">
        <f>IF(C7="","",'PM_info+'!B7)</f>
        <v/>
      </c>
      <c r="C7" s="2" t="str">
        <f>IF('PM_info+'!E7="","",'PM_info+'!E7)</f>
        <v/>
      </c>
      <c r="D7" s="3" t="str">
        <f>IF(C7="","",'Plate organization+'!$B$38)</f>
        <v/>
      </c>
      <c r="E7" s="3" t="str">
        <f>'Plate organization+'!$A$13</f>
        <v>mtp_source</v>
      </c>
      <c r="F7" t="str">
        <f>'Plate organization+'!$A$1</f>
        <v>mtp_primer_stocks</v>
      </c>
    </row>
    <row r="8" spans="1:6" x14ac:dyDescent="0.25">
      <c r="A8" s="3" t="str">
        <f>IF(C8="","",VLOOKUP(C8,Source_Plate!$E$2:$F$97,2,FALSE))</f>
        <v/>
      </c>
      <c r="B8" s="3" t="str">
        <f>IF(C8="","",'PM_info+'!B8)</f>
        <v/>
      </c>
      <c r="C8" s="2" t="str">
        <f>IF('PM_info+'!E8="","",'PM_info+'!E8)</f>
        <v/>
      </c>
      <c r="D8" s="3" t="str">
        <f>IF(C8="","",'Plate organization+'!$B$38)</f>
        <v/>
      </c>
      <c r="E8" s="3" t="str">
        <f>'Plate organization+'!$A$13</f>
        <v>mtp_source</v>
      </c>
      <c r="F8" t="str">
        <f>'Plate organization+'!$A$1</f>
        <v>mtp_primer_stocks</v>
      </c>
    </row>
    <row r="9" spans="1:6" x14ac:dyDescent="0.25">
      <c r="A9" s="3" t="str">
        <f>IF(C9="","",VLOOKUP(C9,Source_Plate!$E$2:$F$97,2,FALSE))</f>
        <v/>
      </c>
      <c r="B9" s="3" t="str">
        <f>IF(C9="","",'PM_info+'!B9)</f>
        <v/>
      </c>
      <c r="C9" s="2" t="str">
        <f>IF('PM_info+'!E9="","",'PM_info+'!E9)</f>
        <v/>
      </c>
      <c r="D9" s="3" t="str">
        <f>IF(C9="","",'Plate organization+'!$B$38)</f>
        <v/>
      </c>
      <c r="E9" s="3" t="str">
        <f>'Plate organization+'!$A$13</f>
        <v>mtp_source</v>
      </c>
      <c r="F9" t="str">
        <f>'Plate organization+'!$A$1</f>
        <v>mtp_primer_stocks</v>
      </c>
    </row>
    <row r="10" spans="1:6" x14ac:dyDescent="0.25">
      <c r="A10" s="3" t="str">
        <f>IF(C10="","",VLOOKUP(C10,Source_Plate!$E$2:$F$97,2,FALSE))</f>
        <v/>
      </c>
      <c r="B10" s="3" t="str">
        <f>IF(C10="","",'PM_info+'!B10)</f>
        <v/>
      </c>
      <c r="C10" s="2" t="str">
        <f>IF('PM_info+'!E10="","",'PM_info+'!E10)</f>
        <v/>
      </c>
      <c r="D10" s="3" t="str">
        <f>IF(C10="","",'Plate organization+'!$B$38)</f>
        <v/>
      </c>
      <c r="E10" s="3" t="str">
        <f>'Plate organization+'!$A$13</f>
        <v>mtp_source</v>
      </c>
      <c r="F10" t="str">
        <f>'Plate organization+'!$A$1</f>
        <v>mtp_primer_stocks</v>
      </c>
    </row>
    <row r="11" spans="1:6" x14ac:dyDescent="0.25">
      <c r="A11" s="3" t="str">
        <f>IF(C11="","",VLOOKUP(C11,Source_Plate!$E$2:$F$97,2,FALSE))</f>
        <v/>
      </c>
      <c r="B11" s="3" t="str">
        <f>IF(C11="","",'PM_info+'!B11)</f>
        <v/>
      </c>
      <c r="C11" s="2" t="str">
        <f>IF('PM_info+'!E11="","",'PM_info+'!E11)</f>
        <v/>
      </c>
      <c r="D11" s="3" t="str">
        <f>IF(C11="","",'Plate organization+'!$B$38)</f>
        <v/>
      </c>
      <c r="E11" s="3" t="str">
        <f>'Plate organization+'!$A$13</f>
        <v>mtp_source</v>
      </c>
      <c r="F11" t="str">
        <f>'Plate organization+'!$A$1</f>
        <v>mtp_primer_stocks</v>
      </c>
    </row>
    <row r="12" spans="1:6" x14ac:dyDescent="0.25">
      <c r="A12" s="3" t="str">
        <f>IF(C12="","",VLOOKUP(C12,Source_Plate!$E$2:$F$97,2,FALSE))</f>
        <v/>
      </c>
      <c r="B12" s="3" t="str">
        <f>IF(C12="","",'PM_info+'!B12)</f>
        <v/>
      </c>
      <c r="C12" s="2" t="str">
        <f>IF('PM_info+'!E12="","",'PM_info+'!E12)</f>
        <v/>
      </c>
      <c r="D12" s="3" t="str">
        <f>IF(C12="","",'Plate organization+'!$B$38)</f>
        <v/>
      </c>
      <c r="E12" s="3" t="str">
        <f>'Plate organization+'!$A$13</f>
        <v>mtp_source</v>
      </c>
      <c r="F12" t="str">
        <f>'Plate organization+'!$A$1</f>
        <v>mtp_primer_stocks</v>
      </c>
    </row>
    <row r="13" spans="1:6" x14ac:dyDescent="0.25">
      <c r="A13" s="3" t="str">
        <f>IF(C13="","",VLOOKUP(C13,Source_Plate!$E$2:$F$97,2,FALSE))</f>
        <v/>
      </c>
      <c r="B13" s="3" t="str">
        <f>IF(C13="","",'PM_info+'!B13)</f>
        <v/>
      </c>
      <c r="C13" s="2" t="str">
        <f>IF('PM_info+'!E13="","",'PM_info+'!E13)</f>
        <v/>
      </c>
      <c r="D13" s="3" t="str">
        <f>IF(C13="","",'Plate organization+'!$B$38)</f>
        <v/>
      </c>
      <c r="E13" s="3" t="str">
        <f>'Plate organization+'!$A$13</f>
        <v>mtp_source</v>
      </c>
      <c r="F13" t="str">
        <f>'Plate organization+'!$A$1</f>
        <v>mtp_primer_stocks</v>
      </c>
    </row>
    <row r="14" spans="1:6" x14ac:dyDescent="0.25">
      <c r="A14" s="3" t="str">
        <f>IF(C14="","",VLOOKUP(C14,Source_Plate!$E$2:$F$97,2,FALSE))</f>
        <v/>
      </c>
      <c r="B14" s="3" t="str">
        <f>IF(C14="","",'PM_info+'!B14)</f>
        <v/>
      </c>
      <c r="C14" s="2" t="str">
        <f>IF('PM_info+'!E14="","",'PM_info+'!E14)</f>
        <v/>
      </c>
      <c r="D14" s="3" t="str">
        <f>IF(C14="","",'Plate organization+'!$B$38)</f>
        <v/>
      </c>
      <c r="E14" s="3" t="str">
        <f>'Plate organization+'!$A$13</f>
        <v>mtp_source</v>
      </c>
      <c r="F14" t="str">
        <f>'Plate organization+'!$A$1</f>
        <v>mtp_primer_stocks</v>
      </c>
    </row>
    <row r="15" spans="1:6" x14ac:dyDescent="0.25">
      <c r="A15" s="3" t="str">
        <f>IF(C15="","",VLOOKUP(C15,Source_Plate!$E$2:$F$97,2,FALSE))</f>
        <v/>
      </c>
      <c r="B15" s="3" t="str">
        <f>IF(C15="","",'PM_info+'!B15)</f>
        <v/>
      </c>
      <c r="C15" s="2" t="str">
        <f>IF('PM_info+'!E15="","",'PM_info+'!E15)</f>
        <v/>
      </c>
      <c r="D15" s="3" t="str">
        <f>IF(C15="","",'Plate organization+'!$B$38)</f>
        <v/>
      </c>
      <c r="E15" s="3" t="str">
        <f>'Plate organization+'!$A$13</f>
        <v>mtp_source</v>
      </c>
      <c r="F15" t="str">
        <f>'Plate organization+'!$A$1</f>
        <v>mtp_primer_stocks</v>
      </c>
    </row>
    <row r="16" spans="1:6" x14ac:dyDescent="0.25">
      <c r="A16" s="3" t="str">
        <f>IF(C16="","",VLOOKUP(C16,Source_Plate!$E$2:$F$97,2,FALSE))</f>
        <v/>
      </c>
      <c r="B16" s="3" t="str">
        <f>IF(C16="","",'PM_info+'!B16)</f>
        <v/>
      </c>
      <c r="C16" s="2" t="str">
        <f>IF('PM_info+'!E16="","",'PM_info+'!E16)</f>
        <v/>
      </c>
      <c r="D16" s="3" t="str">
        <f>IF(C16="","",'Plate organization+'!$B$38)</f>
        <v/>
      </c>
      <c r="E16" s="3" t="str">
        <f>'Plate organization+'!$A$13</f>
        <v>mtp_source</v>
      </c>
      <c r="F16" t="str">
        <f>'Plate organization+'!$A$1</f>
        <v>mtp_primer_stocks</v>
      </c>
    </row>
    <row r="17" spans="1:6" x14ac:dyDescent="0.25">
      <c r="A17" s="3" t="str">
        <f>IF(C17="","",VLOOKUP(C17,Source_Plate!$E$2:$F$97,2,FALSE))</f>
        <v/>
      </c>
      <c r="B17" s="3" t="str">
        <f>IF(C17="","",'PM_info+'!B17)</f>
        <v/>
      </c>
      <c r="C17" s="2" t="str">
        <f>IF('PM_info+'!E17="","",'PM_info+'!E17)</f>
        <v/>
      </c>
      <c r="D17" s="3" t="str">
        <f>IF(C17="","",'Plate organization+'!$B$38)</f>
        <v/>
      </c>
      <c r="E17" s="3" t="str">
        <f>'Plate organization+'!$A$13</f>
        <v>mtp_source</v>
      </c>
      <c r="F17" t="str">
        <f>'Plate organization+'!$A$1</f>
        <v>mtp_primer_stocks</v>
      </c>
    </row>
    <row r="18" spans="1:6" x14ac:dyDescent="0.25">
      <c r="A18" s="3" t="str">
        <f>IF(C18="","",VLOOKUP(C18,Source_Plate!$E$2:$F$97,2,FALSE))</f>
        <v/>
      </c>
      <c r="B18" s="3" t="str">
        <f>IF(C18="","",'PM_info+'!B18)</f>
        <v/>
      </c>
      <c r="C18" s="2" t="str">
        <f>IF('PM_info+'!E18="","",'PM_info+'!E18)</f>
        <v/>
      </c>
      <c r="D18" s="3" t="str">
        <f>IF(C18="","",'Plate organization+'!$B$38)</f>
        <v/>
      </c>
      <c r="E18" s="3" t="str">
        <f>'Plate organization+'!$A$13</f>
        <v>mtp_source</v>
      </c>
      <c r="F18" t="str">
        <f>'Plate organization+'!$A$1</f>
        <v>mtp_primer_stocks</v>
      </c>
    </row>
    <row r="19" spans="1:6" x14ac:dyDescent="0.25">
      <c r="A19" s="3" t="str">
        <f>IF(C19="","",VLOOKUP(C19,Source_Plate!$E$2:$F$97,2,FALSE))</f>
        <v/>
      </c>
      <c r="B19" s="3" t="str">
        <f>IF(C19="","",'PM_info+'!B19)</f>
        <v/>
      </c>
      <c r="C19" s="2" t="str">
        <f>IF('PM_info+'!E19="","",'PM_info+'!E19)</f>
        <v/>
      </c>
      <c r="D19" s="3" t="str">
        <f>IF(C19="","",'Plate organization+'!$B$38)</f>
        <v/>
      </c>
      <c r="E19" s="3" t="str">
        <f>'Plate organization+'!$A$13</f>
        <v>mtp_source</v>
      </c>
      <c r="F19" t="str">
        <f>'Plate organization+'!$A$1</f>
        <v>mtp_primer_stocks</v>
      </c>
    </row>
    <row r="20" spans="1:6" x14ac:dyDescent="0.25">
      <c r="A20" s="3" t="str">
        <f>IF(C20="","",VLOOKUP(C20,Source_Plate!$E$2:$F$97,2,FALSE))</f>
        <v/>
      </c>
      <c r="B20" s="3" t="str">
        <f>IF(C20="","",'PM_info+'!B20)</f>
        <v/>
      </c>
      <c r="C20" s="2" t="str">
        <f>IF('PM_info+'!E20="","",'PM_info+'!E20)</f>
        <v/>
      </c>
      <c r="D20" s="3" t="str">
        <f>IF(C20="","",'Plate organization+'!$B$38)</f>
        <v/>
      </c>
      <c r="E20" s="3" t="str">
        <f>'Plate organization+'!$A$13</f>
        <v>mtp_source</v>
      </c>
      <c r="F20" t="str">
        <f>'Plate organization+'!$A$1</f>
        <v>mtp_primer_stocks</v>
      </c>
    </row>
    <row r="21" spans="1:6" x14ac:dyDescent="0.25">
      <c r="A21" s="3" t="str">
        <f>IF(C21="","",VLOOKUP(C21,Source_Plate!$E$2:$F$97,2,FALSE))</f>
        <v/>
      </c>
      <c r="B21" s="3" t="str">
        <f>IF(C21="","",'PM_info+'!B21)</f>
        <v/>
      </c>
      <c r="C21" s="2" t="str">
        <f>IF('PM_info+'!E21="","",'PM_info+'!E21)</f>
        <v/>
      </c>
      <c r="D21" s="3" t="str">
        <f>IF(C21="","",'Plate organization+'!$B$38)</f>
        <v/>
      </c>
      <c r="E21" s="3" t="str">
        <f>'Plate organization+'!$A$13</f>
        <v>mtp_source</v>
      </c>
      <c r="F21" t="str">
        <f>'Plate organization+'!$A$1</f>
        <v>mtp_primer_stocks</v>
      </c>
    </row>
    <row r="22" spans="1:6" x14ac:dyDescent="0.25">
      <c r="A22" s="3" t="str">
        <f>IF(C22="","",VLOOKUP(C22,Source_Plate!$E$2:$F$97,2,FALSE))</f>
        <v/>
      </c>
      <c r="B22" s="3" t="str">
        <f>IF(C22="","",'PM_info+'!B22)</f>
        <v/>
      </c>
      <c r="C22" s="2" t="str">
        <f>IF('PM_info+'!E22="","",'PM_info+'!E22)</f>
        <v/>
      </c>
      <c r="D22" s="3" t="str">
        <f>IF(C22="","",'Plate organization+'!$B$38)</f>
        <v/>
      </c>
      <c r="E22" s="3" t="str">
        <f>'Plate organization+'!$A$13</f>
        <v>mtp_source</v>
      </c>
      <c r="F22" t="str">
        <f>'Plate organization+'!$A$1</f>
        <v>mtp_primer_stocks</v>
      </c>
    </row>
    <row r="23" spans="1:6" x14ac:dyDescent="0.25">
      <c r="A23" s="3" t="str">
        <f>IF(C23="","",VLOOKUP(C23,Source_Plate!$E$2:$F$97,2,FALSE))</f>
        <v/>
      </c>
      <c r="B23" s="3" t="str">
        <f>IF(C23="","",'PM_info+'!B23)</f>
        <v/>
      </c>
      <c r="C23" s="2" t="str">
        <f>IF('PM_info+'!E23="","",'PM_info+'!E23)</f>
        <v/>
      </c>
      <c r="D23" s="3" t="str">
        <f>IF(C23="","",'Plate organization+'!$B$38)</f>
        <v/>
      </c>
      <c r="E23" s="3" t="str">
        <f>'Plate organization+'!$A$13</f>
        <v>mtp_source</v>
      </c>
      <c r="F23" t="str">
        <f>'Plate organization+'!$A$1</f>
        <v>mtp_primer_stocks</v>
      </c>
    </row>
    <row r="24" spans="1:6" x14ac:dyDescent="0.25">
      <c r="A24" s="3" t="str">
        <f>IF(C24="","",VLOOKUP(C24,Source_Plate!$E$2:$F$97,2,FALSE))</f>
        <v/>
      </c>
      <c r="B24" s="3" t="str">
        <f>IF(C24="","",'PM_info+'!B24)</f>
        <v/>
      </c>
      <c r="C24" s="2" t="str">
        <f>IF('PM_info+'!E24="","",'PM_info+'!E24)</f>
        <v/>
      </c>
      <c r="D24" s="3" t="str">
        <f>IF(C24="","",'Plate organization+'!$B$38)</f>
        <v/>
      </c>
      <c r="E24" s="3" t="str">
        <f>'Plate organization+'!$A$13</f>
        <v>mtp_source</v>
      </c>
      <c r="F24" t="str">
        <f>'Plate organization+'!$A$1</f>
        <v>mtp_primer_stocks</v>
      </c>
    </row>
    <row r="25" spans="1:6" x14ac:dyDescent="0.25">
      <c r="A25" s="3" t="str">
        <f>IF(C25="","",VLOOKUP(C25,Source_Plate!$E$2:$F$97,2,FALSE))</f>
        <v/>
      </c>
      <c r="B25" s="3" t="str">
        <f>IF(C25="","",'PM_info+'!B25)</f>
        <v/>
      </c>
      <c r="C25" s="2" t="str">
        <f>IF('PM_info+'!E25="","",'PM_info+'!E25)</f>
        <v/>
      </c>
      <c r="D25" s="3" t="str">
        <f>IF(C25="","",'Plate organization+'!$B$38)</f>
        <v/>
      </c>
      <c r="E25" s="3" t="str">
        <f>'Plate organization+'!$A$13</f>
        <v>mtp_source</v>
      </c>
      <c r="F25" t="str">
        <f>'Plate organization+'!$A$1</f>
        <v>mtp_primer_stocks</v>
      </c>
    </row>
    <row r="26" spans="1:6" x14ac:dyDescent="0.25">
      <c r="A26" s="3" t="str">
        <f>IF(C26="","",VLOOKUP(C26,Source_Plate!$E$2:$F$97,2,FALSE))</f>
        <v/>
      </c>
      <c r="B26" s="3" t="str">
        <f>IF(C26="","",'PM_info+'!B26)</f>
        <v/>
      </c>
      <c r="C26" s="2" t="str">
        <f>IF('PM_info+'!E26="","",'PM_info+'!E26)</f>
        <v/>
      </c>
      <c r="D26" s="3" t="str">
        <f>IF(C26="","",'Plate organization+'!$B$38)</f>
        <v/>
      </c>
      <c r="E26" s="3" t="str">
        <f>'Plate organization+'!$A$13</f>
        <v>mtp_source</v>
      </c>
      <c r="F26" t="str">
        <f>'Plate organization+'!$A$1</f>
        <v>mtp_primer_stocks</v>
      </c>
    </row>
    <row r="27" spans="1:6" x14ac:dyDescent="0.25">
      <c r="A27" s="3" t="str">
        <f>IF(C27="","",VLOOKUP(C27,Source_Plate!$E$2:$F$97,2,FALSE))</f>
        <v/>
      </c>
      <c r="B27" s="3" t="str">
        <f>IF(C27="","",'PM_info+'!B27)</f>
        <v/>
      </c>
      <c r="C27" s="2" t="str">
        <f>IF('PM_info+'!E27="","",'PM_info+'!E27)</f>
        <v/>
      </c>
      <c r="D27" s="3" t="str">
        <f>IF(C27="","",'Plate organization+'!$B$38)</f>
        <v/>
      </c>
      <c r="E27" s="3" t="str">
        <f>'Plate organization+'!$A$13</f>
        <v>mtp_source</v>
      </c>
      <c r="F27" t="str">
        <f>'Plate organization+'!$A$1</f>
        <v>mtp_primer_stocks</v>
      </c>
    </row>
    <row r="28" spans="1:6" x14ac:dyDescent="0.25">
      <c r="A28" s="3" t="str">
        <f>IF(C28="","",VLOOKUP(C28,Source_Plate!$E$2:$F$97,2,FALSE))</f>
        <v/>
      </c>
      <c r="B28" s="3" t="str">
        <f>IF(C28="","",'PM_info+'!B28)</f>
        <v/>
      </c>
      <c r="C28" s="2" t="str">
        <f>IF('PM_info+'!E28="","",'PM_info+'!E28)</f>
        <v/>
      </c>
      <c r="D28" s="3" t="str">
        <f>IF(C28="","",'Plate organization+'!$B$38)</f>
        <v/>
      </c>
      <c r="E28" s="3" t="str">
        <f>'Plate organization+'!$A$13</f>
        <v>mtp_source</v>
      </c>
      <c r="F28" t="str">
        <f>'Plate organization+'!$A$1</f>
        <v>mtp_primer_stocks</v>
      </c>
    </row>
    <row r="29" spans="1:6" x14ac:dyDescent="0.25">
      <c r="A29" s="3" t="str">
        <f>IF(C29="","",VLOOKUP(C29,Source_Plate!$E$2:$F$97,2,FALSE))</f>
        <v/>
      </c>
      <c r="B29" s="3" t="str">
        <f>IF(C29="","",'PM_info+'!B29)</f>
        <v/>
      </c>
      <c r="C29" s="2" t="str">
        <f>IF('PM_info+'!E29="","",'PM_info+'!E29)</f>
        <v/>
      </c>
      <c r="D29" s="3" t="str">
        <f>IF(C29="","",'Plate organization+'!$B$38)</f>
        <v/>
      </c>
      <c r="E29" s="3" t="str">
        <f>'Plate organization+'!$A$13</f>
        <v>mtp_source</v>
      </c>
      <c r="F29" t="str">
        <f>'Plate organization+'!$A$1</f>
        <v>mtp_primer_stocks</v>
      </c>
    </row>
    <row r="30" spans="1:6" x14ac:dyDescent="0.25">
      <c r="A30" s="3" t="str">
        <f>IF(C30="","",VLOOKUP(C30,Source_Plate!$E$2:$F$97,2,FALSE))</f>
        <v/>
      </c>
      <c r="B30" s="3" t="str">
        <f>IF(C30="","",'PM_info+'!B30)</f>
        <v/>
      </c>
      <c r="C30" s="2" t="str">
        <f>IF('PM_info+'!E30="","",'PM_info+'!E30)</f>
        <v/>
      </c>
      <c r="D30" s="3" t="str">
        <f>IF(C30="","",'Plate organization+'!$B$38)</f>
        <v/>
      </c>
      <c r="E30" s="3" t="str">
        <f>'Plate organization+'!$A$13</f>
        <v>mtp_source</v>
      </c>
      <c r="F30" t="str">
        <f>'Plate organization+'!$A$1</f>
        <v>mtp_primer_stocks</v>
      </c>
    </row>
    <row r="31" spans="1:6" x14ac:dyDescent="0.25">
      <c r="A31" s="3" t="str">
        <f>IF(C31="","",VLOOKUP(C31,Source_Plate!$E$2:$F$97,2,FALSE))</f>
        <v/>
      </c>
      <c r="B31" s="3" t="str">
        <f>IF(C31="","",'PM_info+'!B31)</f>
        <v/>
      </c>
      <c r="C31" s="2" t="str">
        <f>IF('PM_info+'!E31="","",'PM_info+'!E31)</f>
        <v/>
      </c>
      <c r="D31" s="3" t="str">
        <f>IF(C31="","",'Plate organization+'!$B$38)</f>
        <v/>
      </c>
      <c r="E31" s="3" t="str">
        <f>'Plate organization+'!$A$13</f>
        <v>mtp_source</v>
      </c>
      <c r="F31" t="str">
        <f>'Plate organization+'!$A$1</f>
        <v>mtp_primer_stocks</v>
      </c>
    </row>
    <row r="32" spans="1:6" x14ac:dyDescent="0.25">
      <c r="A32" s="3" t="str">
        <f>IF(C32="","",VLOOKUP(C32,Source_Plate!$E$2:$F$97,2,FALSE))</f>
        <v/>
      </c>
      <c r="B32" s="3" t="str">
        <f>IF(C32="","",'PM_info+'!B32)</f>
        <v/>
      </c>
      <c r="C32" s="2" t="str">
        <f>IF('PM_info+'!E32="","",'PM_info+'!E32)</f>
        <v/>
      </c>
      <c r="D32" s="3" t="str">
        <f>IF(C32="","",'Plate organization+'!$B$38)</f>
        <v/>
      </c>
      <c r="E32" s="3" t="str">
        <f>'Plate organization+'!$A$13</f>
        <v>mtp_source</v>
      </c>
      <c r="F32" t="str">
        <f>'Plate organization+'!$A$1</f>
        <v>mtp_primer_stocks</v>
      </c>
    </row>
    <row r="33" spans="1:6" x14ac:dyDescent="0.25">
      <c r="A33" s="3" t="str">
        <f>IF(C33="","",VLOOKUP(C33,Source_Plate!$E$2:$F$97,2,FALSE))</f>
        <v/>
      </c>
      <c r="B33" s="3" t="str">
        <f>IF(C33="","",'PM_info+'!B33)</f>
        <v/>
      </c>
      <c r="C33" s="2" t="str">
        <f>IF('PM_info+'!E33="","",'PM_info+'!E33)</f>
        <v/>
      </c>
      <c r="D33" s="3" t="str">
        <f>IF(C33="","",'Plate organization+'!$B$38)</f>
        <v/>
      </c>
      <c r="E33" s="3" t="str">
        <f>'Plate organization+'!$A$13</f>
        <v>mtp_source</v>
      </c>
      <c r="F33" t="str">
        <f>'Plate organization+'!$A$1</f>
        <v>mtp_primer_stocks</v>
      </c>
    </row>
    <row r="34" spans="1:6" x14ac:dyDescent="0.25">
      <c r="A34" s="3" t="str">
        <f>IF(C34="","",VLOOKUP(C34,Source_Plate!$E$2:$F$97,2,FALSE))</f>
        <v/>
      </c>
      <c r="B34" s="3" t="str">
        <f>IF(C34="","",'PM_info+'!B34)</f>
        <v/>
      </c>
      <c r="C34" s="2" t="str">
        <f>IF('PM_info+'!E34="","",'PM_info+'!E34)</f>
        <v/>
      </c>
      <c r="D34" s="3" t="str">
        <f>IF(C34="","",'Plate organization+'!$B$38)</f>
        <v/>
      </c>
      <c r="E34" s="3" t="str">
        <f>'Plate organization+'!$A$13</f>
        <v>mtp_source</v>
      </c>
      <c r="F34" t="str">
        <f>'Plate organization+'!$A$1</f>
        <v>mtp_primer_stocks</v>
      </c>
    </row>
    <row r="35" spans="1:6" x14ac:dyDescent="0.25">
      <c r="A35" s="3" t="str">
        <f>IF(C35="","",VLOOKUP(C35,Source_Plate!$E$2:$F$97,2,FALSE))</f>
        <v/>
      </c>
      <c r="B35" s="3" t="str">
        <f>IF(C35="","",'PM_info+'!B35)</f>
        <v/>
      </c>
      <c r="C35" s="2" t="str">
        <f>IF('PM_info+'!E35="","",'PM_info+'!E35)</f>
        <v/>
      </c>
      <c r="D35" s="3" t="str">
        <f>IF(C35="","",'Plate organization+'!$B$38)</f>
        <v/>
      </c>
      <c r="E35" s="3" t="str">
        <f>'Plate organization+'!$A$13</f>
        <v>mtp_source</v>
      </c>
      <c r="F35" t="str">
        <f>'Plate organization+'!$A$1</f>
        <v>mtp_primer_stocks</v>
      </c>
    </row>
    <row r="36" spans="1:6" x14ac:dyDescent="0.25">
      <c r="A36" s="3" t="str">
        <f>IF(C36="","",VLOOKUP(C36,Source_Plate!$E$2:$F$97,2,FALSE))</f>
        <v/>
      </c>
      <c r="B36" s="3" t="str">
        <f>IF(C36="","",'PM_info+'!B36)</f>
        <v/>
      </c>
      <c r="C36" s="2" t="str">
        <f>IF('PM_info+'!E36="","",'PM_info+'!E36)</f>
        <v/>
      </c>
      <c r="D36" s="3" t="str">
        <f>IF(C36="","",'Plate organization+'!$B$38)</f>
        <v/>
      </c>
      <c r="E36" s="3" t="str">
        <f>'Plate organization+'!$A$13</f>
        <v>mtp_source</v>
      </c>
      <c r="F36" t="str">
        <f>'Plate organization+'!$A$1</f>
        <v>mtp_primer_stocks</v>
      </c>
    </row>
    <row r="37" spans="1:6" x14ac:dyDescent="0.25">
      <c r="A37" s="3" t="str">
        <f>IF(C37="","",VLOOKUP(C37,Source_Plate!$E$2:$F$97,2,FALSE))</f>
        <v/>
      </c>
      <c r="B37" s="3" t="str">
        <f>IF(C37="","",'PM_info+'!B37)</f>
        <v/>
      </c>
      <c r="C37" s="2" t="str">
        <f>IF('PM_info+'!E37="","",'PM_info+'!E37)</f>
        <v/>
      </c>
      <c r="D37" s="3" t="str">
        <f>IF(C37="","",'Plate organization+'!$B$38)</f>
        <v/>
      </c>
      <c r="E37" s="3" t="str">
        <f>'Plate organization+'!$A$13</f>
        <v>mtp_source</v>
      </c>
      <c r="F37" t="str">
        <f>'Plate organization+'!$A$1</f>
        <v>mtp_primer_stocks</v>
      </c>
    </row>
    <row r="38" spans="1:6" x14ac:dyDescent="0.25">
      <c r="A38" s="3" t="str">
        <f>IF(C38="","",VLOOKUP(C38,Source_Plate!$E$2:$F$97,2,FALSE))</f>
        <v/>
      </c>
      <c r="B38" s="3" t="str">
        <f>IF(C38="","",'PM_info+'!B38)</f>
        <v/>
      </c>
      <c r="C38" s="2" t="str">
        <f>IF('PM_info+'!E38="","",'PM_info+'!E38)</f>
        <v/>
      </c>
      <c r="D38" s="3" t="str">
        <f>IF(C38="","",'Plate organization+'!$B$38)</f>
        <v/>
      </c>
      <c r="E38" s="3" t="str">
        <f>'Plate organization+'!$A$13</f>
        <v>mtp_source</v>
      </c>
      <c r="F38" t="str">
        <f>'Plate organization+'!$A$1</f>
        <v>mtp_primer_stocks</v>
      </c>
    </row>
    <row r="39" spans="1:6" x14ac:dyDescent="0.25">
      <c r="A39" s="3" t="str">
        <f>IF(C39="","",VLOOKUP(C39,Source_Plate!$E$2:$F$97,2,FALSE))</f>
        <v/>
      </c>
      <c r="B39" s="3" t="str">
        <f>IF(C39="","",'PM_info+'!B39)</f>
        <v/>
      </c>
      <c r="C39" s="2" t="str">
        <f>IF('PM_info+'!E39="","",'PM_info+'!E39)</f>
        <v/>
      </c>
      <c r="D39" s="3" t="str">
        <f>IF(C39="","",'Plate organization+'!$B$38)</f>
        <v/>
      </c>
      <c r="E39" s="3" t="str">
        <f>'Plate organization+'!$A$13</f>
        <v>mtp_source</v>
      </c>
      <c r="F39" t="str">
        <f>'Plate organization+'!$A$1</f>
        <v>mtp_primer_stocks</v>
      </c>
    </row>
    <row r="40" spans="1:6" x14ac:dyDescent="0.25">
      <c r="A40" s="3" t="str">
        <f>IF(C40="","",VLOOKUP(C40,Source_Plate!$E$2:$F$97,2,FALSE))</f>
        <v/>
      </c>
      <c r="B40" s="3" t="str">
        <f>IF(C40="","",'PM_info+'!B40)</f>
        <v/>
      </c>
      <c r="C40" s="2" t="str">
        <f>IF('PM_info+'!E40="","",'PM_info+'!E40)</f>
        <v/>
      </c>
      <c r="D40" s="3" t="str">
        <f>IF(C40="","",'Plate organization+'!$B$38)</f>
        <v/>
      </c>
      <c r="E40" s="3" t="str">
        <f>'Plate organization+'!$A$13</f>
        <v>mtp_source</v>
      </c>
      <c r="F40" t="str">
        <f>'Plate organization+'!$A$1</f>
        <v>mtp_primer_stocks</v>
      </c>
    </row>
    <row r="41" spans="1:6" x14ac:dyDescent="0.25">
      <c r="A41" s="3" t="str">
        <f>IF(C41="","",VLOOKUP(C41,Source_Plate!$E$2:$F$97,2,FALSE))</f>
        <v/>
      </c>
      <c r="B41" s="3" t="str">
        <f>IF(C41="","",'PM_info+'!B41)</f>
        <v/>
      </c>
      <c r="C41" s="2" t="str">
        <f>IF('PM_info+'!E41="","",'PM_info+'!E41)</f>
        <v/>
      </c>
      <c r="D41" s="3" t="str">
        <f>IF(C41="","",'Plate organization+'!$B$38)</f>
        <v/>
      </c>
      <c r="E41" s="3" t="str">
        <f>'Plate organization+'!$A$13</f>
        <v>mtp_source</v>
      </c>
      <c r="F41" t="str">
        <f>'Plate organization+'!$A$1</f>
        <v>mtp_primer_stocks</v>
      </c>
    </row>
    <row r="42" spans="1:6" x14ac:dyDescent="0.25">
      <c r="A42" s="3" t="str">
        <f>IF(C42="","",VLOOKUP(C42,Source_Plate!$E$2:$F$97,2,FALSE))</f>
        <v/>
      </c>
      <c r="B42" s="3" t="str">
        <f>IF(C42="","",'PM_info+'!B42)</f>
        <v/>
      </c>
      <c r="C42" s="2" t="str">
        <f>IF('PM_info+'!E42="","",'PM_info+'!E42)</f>
        <v/>
      </c>
      <c r="D42" s="3" t="str">
        <f>IF(C42="","",'Plate organization+'!$B$38)</f>
        <v/>
      </c>
      <c r="E42" s="3" t="str">
        <f>'Plate organization+'!$A$13</f>
        <v>mtp_source</v>
      </c>
      <c r="F42" t="str">
        <f>'Plate organization+'!$A$1</f>
        <v>mtp_primer_stocks</v>
      </c>
    </row>
    <row r="43" spans="1:6" x14ac:dyDescent="0.25">
      <c r="A43" s="3" t="str">
        <f>IF(C43="","",VLOOKUP(C43,Source_Plate!$E$2:$F$97,2,FALSE))</f>
        <v/>
      </c>
      <c r="B43" s="3" t="str">
        <f>IF(C43="","",'PM_info+'!B43)</f>
        <v/>
      </c>
      <c r="C43" s="2" t="str">
        <f>IF('PM_info+'!E43="","",'PM_info+'!E43)</f>
        <v/>
      </c>
      <c r="D43" s="3" t="str">
        <f>IF(C43="","",'Plate organization+'!$B$38)</f>
        <v/>
      </c>
      <c r="E43" s="3" t="str">
        <f>'Plate organization+'!$A$13</f>
        <v>mtp_source</v>
      </c>
      <c r="F43" t="str">
        <f>'Plate organization+'!$A$1</f>
        <v>mtp_primer_stocks</v>
      </c>
    </row>
    <row r="44" spans="1:6" x14ac:dyDescent="0.25">
      <c r="A44" s="3" t="str">
        <f>IF(C44="","",VLOOKUP(C44,Source_Plate!$E$2:$F$97,2,FALSE))</f>
        <v/>
      </c>
      <c r="B44" s="3" t="str">
        <f>IF(C44="","",'PM_info+'!B44)</f>
        <v/>
      </c>
      <c r="C44" s="2" t="str">
        <f>IF('PM_info+'!E44="","",'PM_info+'!E44)</f>
        <v/>
      </c>
      <c r="D44" s="3" t="str">
        <f>IF(C44="","",'Plate organization+'!$B$38)</f>
        <v/>
      </c>
      <c r="E44" s="3" t="str">
        <f>'Plate organization+'!$A$13</f>
        <v>mtp_source</v>
      </c>
      <c r="F44" t="str">
        <f>'Plate organization+'!$A$1</f>
        <v>mtp_primer_stocks</v>
      </c>
    </row>
    <row r="45" spans="1:6" x14ac:dyDescent="0.25">
      <c r="A45" s="3" t="str">
        <f>IF(C45="","",VLOOKUP(C45,Source_Plate!$E$2:$F$97,2,FALSE))</f>
        <v/>
      </c>
      <c r="B45" s="3" t="str">
        <f>IF(C45="","",'PM_info+'!B45)</f>
        <v/>
      </c>
      <c r="C45" s="2" t="str">
        <f>IF('PM_info+'!E45="","",'PM_info+'!E45)</f>
        <v/>
      </c>
      <c r="D45" s="3" t="str">
        <f>IF(C45="","",'Plate organization+'!$B$38)</f>
        <v/>
      </c>
      <c r="E45" s="3" t="str">
        <f>'Plate organization+'!$A$13</f>
        <v>mtp_source</v>
      </c>
      <c r="F45" t="str">
        <f>'Plate organization+'!$A$1</f>
        <v>mtp_primer_stocks</v>
      </c>
    </row>
    <row r="46" spans="1:6" x14ac:dyDescent="0.25">
      <c r="A46" s="3" t="str">
        <f>IF(C46="","",VLOOKUP(C46,Source_Plate!$E$2:$F$97,2,FALSE))</f>
        <v/>
      </c>
      <c r="B46" s="3" t="str">
        <f>IF(C46="","",'PM_info+'!B46)</f>
        <v/>
      </c>
      <c r="C46" s="2" t="str">
        <f>IF('PM_info+'!E46="","",'PM_info+'!E46)</f>
        <v/>
      </c>
      <c r="D46" s="3" t="str">
        <f>IF(C46="","",'Plate organization+'!$B$38)</f>
        <v/>
      </c>
      <c r="E46" s="3" t="str">
        <f>'Plate organization+'!$A$13</f>
        <v>mtp_source</v>
      </c>
      <c r="F46" t="str">
        <f>'Plate organization+'!$A$1</f>
        <v>mtp_primer_stocks</v>
      </c>
    </row>
    <row r="47" spans="1:6" x14ac:dyDescent="0.25">
      <c r="A47" s="3" t="str">
        <f>IF(C47="","",VLOOKUP(C47,Source_Plate!$E$2:$F$97,2,FALSE))</f>
        <v/>
      </c>
      <c r="B47" s="3" t="str">
        <f>IF(C47="","",'PM_info+'!B47)</f>
        <v/>
      </c>
      <c r="C47" s="2" t="str">
        <f>IF('PM_info+'!E47="","",'PM_info+'!E47)</f>
        <v/>
      </c>
      <c r="D47" s="3" t="str">
        <f>IF(C47="","",'Plate organization+'!$B$38)</f>
        <v/>
      </c>
      <c r="E47" s="3" t="str">
        <f>'Plate organization+'!$A$13</f>
        <v>mtp_source</v>
      </c>
      <c r="F47" t="str">
        <f>'Plate organization+'!$A$1</f>
        <v>mtp_primer_stocks</v>
      </c>
    </row>
    <row r="48" spans="1:6" x14ac:dyDescent="0.25">
      <c r="A48" s="3" t="str">
        <f>IF(C48="","",VLOOKUP(C48,Source_Plate!$E$2:$F$97,2,FALSE))</f>
        <v/>
      </c>
      <c r="B48" s="3" t="str">
        <f>IF(C48="","",'PM_info+'!B48)</f>
        <v/>
      </c>
      <c r="C48" s="2" t="str">
        <f>IF('PM_info+'!E48="","",'PM_info+'!E48)</f>
        <v/>
      </c>
      <c r="D48" s="3" t="str">
        <f>IF(C48="","",'Plate organization+'!$B$38)</f>
        <v/>
      </c>
      <c r="E48" s="3" t="str">
        <f>'Plate organization+'!$A$13</f>
        <v>mtp_source</v>
      </c>
      <c r="F48" t="str">
        <f>'Plate organization+'!$A$1</f>
        <v>mtp_primer_stocks</v>
      </c>
    </row>
    <row r="49" spans="1:6" x14ac:dyDescent="0.25">
      <c r="A49" s="3" t="str">
        <f>IF(C49="","",VLOOKUP(C49,Source_Plate!$E$2:$F$97,2,FALSE))</f>
        <v/>
      </c>
      <c r="B49" s="3" t="str">
        <f>IF(C49="","",'PM_info+'!B49)</f>
        <v/>
      </c>
      <c r="C49" s="2" t="str">
        <f>IF('PM_info+'!E49="","",'PM_info+'!E49)</f>
        <v/>
      </c>
      <c r="D49" s="3" t="str">
        <f>IF(C49="","",'Plate organization+'!$B$38)</f>
        <v/>
      </c>
      <c r="E49" s="3" t="str">
        <f>'Plate organization+'!$A$13</f>
        <v>mtp_source</v>
      </c>
      <c r="F49" t="str">
        <f>'Plate organization+'!$A$1</f>
        <v>mtp_primer_stocks</v>
      </c>
    </row>
    <row r="50" spans="1:6" x14ac:dyDescent="0.25">
      <c r="A50" s="3" t="str">
        <f>IF(C50="","",VLOOKUP(C50,Source_Plate!$E$2:$F$97,2,FALSE))</f>
        <v/>
      </c>
      <c r="B50" s="3" t="str">
        <f>IF(C50="","",'PM_info+'!B50)</f>
        <v/>
      </c>
      <c r="C50" s="2" t="str">
        <f>IF('PM_info+'!E50="","",'PM_info+'!E50)</f>
        <v/>
      </c>
      <c r="D50" s="3" t="str">
        <f>IF(C50="","",'Plate organization+'!$B$38)</f>
        <v/>
      </c>
      <c r="E50" s="3" t="str">
        <f>'Plate organization+'!$A$13</f>
        <v>mtp_source</v>
      </c>
      <c r="F50" t="str">
        <f>'Plate organization+'!$A$1</f>
        <v>mtp_primer_stocks</v>
      </c>
    </row>
    <row r="51" spans="1:6" x14ac:dyDescent="0.25">
      <c r="A51" s="3" t="str">
        <f>IF(C51="","",VLOOKUP(C51,Source_Plate!$E$2:$F$97,2,FALSE))</f>
        <v/>
      </c>
      <c r="B51" s="3" t="str">
        <f>IF(C51="","",'PM_info+'!B51)</f>
        <v/>
      </c>
      <c r="C51" s="2" t="str">
        <f>IF('PM_info+'!E51="","",'PM_info+'!E51)</f>
        <v/>
      </c>
      <c r="D51" s="3" t="str">
        <f>IF(C51="","",'Plate organization+'!$B$38)</f>
        <v/>
      </c>
      <c r="E51" s="3" t="str">
        <f>'Plate organization+'!$A$13</f>
        <v>mtp_source</v>
      </c>
      <c r="F51" t="str">
        <f>'Plate organization+'!$A$1</f>
        <v>mtp_primer_stocks</v>
      </c>
    </row>
    <row r="52" spans="1:6" x14ac:dyDescent="0.25">
      <c r="A52" s="3" t="str">
        <f>IF(C52="","",VLOOKUP(C52,Source_Plate!$E$2:$F$97,2,FALSE))</f>
        <v/>
      </c>
      <c r="B52" s="3" t="str">
        <f>IF(C52="","",'PM_info+'!B52)</f>
        <v/>
      </c>
      <c r="C52" s="2" t="str">
        <f>IF('PM_info+'!E52="","",'PM_info+'!E52)</f>
        <v/>
      </c>
      <c r="D52" s="3" t="str">
        <f>IF(C52="","",'Plate organization+'!$B$38)</f>
        <v/>
      </c>
      <c r="E52" s="3" t="str">
        <f>'Plate organization+'!$A$13</f>
        <v>mtp_source</v>
      </c>
      <c r="F52" t="str">
        <f>'Plate organization+'!$A$1</f>
        <v>mtp_primer_stocks</v>
      </c>
    </row>
    <row r="53" spans="1:6" x14ac:dyDescent="0.25">
      <c r="A53" s="3" t="str">
        <f>IF(C53="","",VLOOKUP(C53,Source_Plate!$E$2:$F$97,2,FALSE))</f>
        <v/>
      </c>
      <c r="B53" s="3" t="str">
        <f>IF(C53="","",'PM_info+'!B53)</f>
        <v/>
      </c>
      <c r="C53" s="2" t="str">
        <f>IF('PM_info+'!E53="","",'PM_info+'!E53)</f>
        <v/>
      </c>
      <c r="D53" s="3" t="str">
        <f>IF(C53="","",'Plate organization+'!$B$38)</f>
        <v/>
      </c>
      <c r="E53" s="3" t="str">
        <f>'Plate organization+'!$A$13</f>
        <v>mtp_source</v>
      </c>
      <c r="F53" t="str">
        <f>'Plate organization+'!$A$1</f>
        <v>mtp_primer_stocks</v>
      </c>
    </row>
    <row r="54" spans="1:6" x14ac:dyDescent="0.25">
      <c r="A54" s="3" t="str">
        <f>IF(C54="","",VLOOKUP(C54,Source_Plate!$E$2:$F$97,2,FALSE))</f>
        <v/>
      </c>
      <c r="B54" s="3" t="str">
        <f>IF(C54="","",'PM_info+'!B54)</f>
        <v/>
      </c>
      <c r="C54" s="2" t="str">
        <f>IF('PM_info+'!E54="","",'PM_info+'!E54)</f>
        <v/>
      </c>
      <c r="D54" s="3" t="str">
        <f>IF(C54="","",'Plate organization+'!$B$38)</f>
        <v/>
      </c>
      <c r="E54" s="3" t="str">
        <f>'Plate organization+'!$A$13</f>
        <v>mtp_source</v>
      </c>
      <c r="F54" t="str">
        <f>'Plate organization+'!$A$1</f>
        <v>mtp_primer_stocks</v>
      </c>
    </row>
    <row r="55" spans="1:6" x14ac:dyDescent="0.25">
      <c r="A55" s="3" t="str">
        <f>IF(C55="","",VLOOKUP(C55,Source_Plate!$E$2:$F$97,2,FALSE))</f>
        <v/>
      </c>
      <c r="B55" s="3" t="str">
        <f>IF(C55="","",'PM_info+'!B55)</f>
        <v/>
      </c>
      <c r="C55" s="2" t="str">
        <f>IF('PM_info+'!E55="","",'PM_info+'!E55)</f>
        <v/>
      </c>
      <c r="D55" s="3" t="str">
        <f>IF(C55="","",'Plate organization+'!$B$38)</f>
        <v/>
      </c>
      <c r="E55" s="3" t="str">
        <f>'Plate organization+'!$A$13</f>
        <v>mtp_source</v>
      </c>
      <c r="F55" t="str">
        <f>'Plate organization+'!$A$1</f>
        <v>mtp_primer_stocks</v>
      </c>
    </row>
    <row r="56" spans="1:6" x14ac:dyDescent="0.25">
      <c r="A56" s="3" t="str">
        <f>IF(C56="","",VLOOKUP(C56,Source_Plate!$E$2:$F$97,2,FALSE))</f>
        <v/>
      </c>
      <c r="B56" s="3" t="str">
        <f>IF(C56="","",'PM_info+'!B56)</f>
        <v/>
      </c>
      <c r="C56" s="2" t="str">
        <f>IF('PM_info+'!E56="","",'PM_info+'!E56)</f>
        <v/>
      </c>
      <c r="D56" s="3" t="str">
        <f>IF(C56="","",'Plate organization+'!$B$38)</f>
        <v/>
      </c>
      <c r="E56" s="3" t="str">
        <f>'Plate organization+'!$A$13</f>
        <v>mtp_source</v>
      </c>
      <c r="F56" t="str">
        <f>'Plate organization+'!$A$1</f>
        <v>mtp_primer_stocks</v>
      </c>
    </row>
    <row r="57" spans="1:6" x14ac:dyDescent="0.25">
      <c r="A57" s="3" t="str">
        <f>IF(C57="","",VLOOKUP(C57,Source_Plate!$E$2:$F$97,2,FALSE))</f>
        <v/>
      </c>
      <c r="B57" s="3" t="str">
        <f>IF(C57="","",'PM_info+'!B57)</f>
        <v/>
      </c>
      <c r="C57" s="2" t="str">
        <f>IF('PM_info+'!E57="","",'PM_info+'!E57)</f>
        <v/>
      </c>
      <c r="D57" s="3" t="str">
        <f>IF(C57="","",'Plate organization+'!$B$38)</f>
        <v/>
      </c>
      <c r="E57" s="3" t="str">
        <f>'Plate organization+'!$A$13</f>
        <v>mtp_source</v>
      </c>
      <c r="F57" t="str">
        <f>'Plate organization+'!$A$1</f>
        <v>mtp_primer_stocks</v>
      </c>
    </row>
    <row r="58" spans="1:6" x14ac:dyDescent="0.25">
      <c r="A58" s="3" t="str">
        <f>IF(C58="","",VLOOKUP(C58,Source_Plate!$E$2:$F$97,2,FALSE))</f>
        <v/>
      </c>
      <c r="B58" s="3" t="str">
        <f>IF(C58="","",'PM_info+'!B58)</f>
        <v/>
      </c>
      <c r="C58" s="2" t="str">
        <f>IF('PM_info+'!E58="","",'PM_info+'!E58)</f>
        <v/>
      </c>
      <c r="D58" s="3" t="str">
        <f>IF(C58="","",'Plate organization+'!$B$38)</f>
        <v/>
      </c>
      <c r="E58" s="3" t="str">
        <f>'Plate organization+'!$A$13</f>
        <v>mtp_source</v>
      </c>
      <c r="F58" t="str">
        <f>'Plate organization+'!$A$1</f>
        <v>mtp_primer_stocks</v>
      </c>
    </row>
    <row r="59" spans="1:6" x14ac:dyDescent="0.25">
      <c r="A59" s="3" t="str">
        <f>IF(C59="","",VLOOKUP(C59,Source_Plate!$E$2:$F$97,2,FALSE))</f>
        <v/>
      </c>
      <c r="B59" s="3" t="str">
        <f>IF(C59="","",'PM_info+'!B59)</f>
        <v/>
      </c>
      <c r="C59" s="2" t="str">
        <f>IF('PM_info+'!E59="","",'PM_info+'!E59)</f>
        <v/>
      </c>
      <c r="D59" s="3" t="str">
        <f>IF(C59="","",'Plate organization+'!$B$38)</f>
        <v/>
      </c>
      <c r="E59" s="3" t="str">
        <f>'Plate organization+'!$A$13</f>
        <v>mtp_source</v>
      </c>
      <c r="F59" t="str">
        <f>'Plate organization+'!$A$1</f>
        <v>mtp_primer_stocks</v>
      </c>
    </row>
    <row r="60" spans="1:6" x14ac:dyDescent="0.25">
      <c r="A60" s="3" t="str">
        <f>IF(C60="","",VLOOKUP(C60,Source_Plate!$E$2:$F$97,2,FALSE))</f>
        <v/>
      </c>
      <c r="B60" s="3" t="str">
        <f>IF(C60="","",'PM_info+'!B60)</f>
        <v/>
      </c>
      <c r="C60" s="2" t="str">
        <f>IF('PM_info+'!E60="","",'PM_info+'!E60)</f>
        <v/>
      </c>
      <c r="D60" s="3" t="str">
        <f>IF(C60="","",'Plate organization+'!$B$38)</f>
        <v/>
      </c>
      <c r="E60" s="3" t="str">
        <f>'Plate organization+'!$A$13</f>
        <v>mtp_source</v>
      </c>
      <c r="F60" t="str">
        <f>'Plate organization+'!$A$1</f>
        <v>mtp_primer_stocks</v>
      </c>
    </row>
    <row r="61" spans="1:6" x14ac:dyDescent="0.25">
      <c r="A61" s="3" t="str">
        <f>IF(C61="","",VLOOKUP(C61,Source_Plate!$E$2:$F$97,2,FALSE))</f>
        <v/>
      </c>
      <c r="B61" s="3" t="str">
        <f>IF(C61="","",'PM_info+'!B61)</f>
        <v/>
      </c>
      <c r="C61" s="2" t="str">
        <f>IF('PM_info+'!E61="","",'PM_info+'!E61)</f>
        <v/>
      </c>
      <c r="D61" s="3" t="str">
        <f>IF(C61="","",'Plate organization+'!$B$38)</f>
        <v/>
      </c>
      <c r="E61" s="3" t="str">
        <f>'Plate organization+'!$A$13</f>
        <v>mtp_source</v>
      </c>
      <c r="F61" t="str">
        <f>'Plate organization+'!$A$1</f>
        <v>mtp_primer_stocks</v>
      </c>
    </row>
    <row r="62" spans="1:6" x14ac:dyDescent="0.25">
      <c r="A62" s="3" t="str">
        <f>IF(C62="","",VLOOKUP(C62,Source_Plate!$E$2:$F$97,2,FALSE))</f>
        <v/>
      </c>
      <c r="B62" s="3" t="str">
        <f>IF(C62="","",'PM_info+'!B62)</f>
        <v/>
      </c>
      <c r="C62" s="2" t="str">
        <f>IF('PM_info+'!E62="","",'PM_info+'!E62)</f>
        <v/>
      </c>
      <c r="D62" s="3" t="str">
        <f>IF(C62="","",'Plate organization+'!$B$38)</f>
        <v/>
      </c>
      <c r="E62" s="3" t="str">
        <f>'Plate organization+'!$A$13</f>
        <v>mtp_source</v>
      </c>
      <c r="F62" t="str">
        <f>'Plate organization+'!$A$1</f>
        <v>mtp_primer_stocks</v>
      </c>
    </row>
    <row r="63" spans="1:6" x14ac:dyDescent="0.25">
      <c r="A63" s="3" t="str">
        <f>IF(C63="","",VLOOKUP(C63,Source_Plate!$E$2:$F$97,2,FALSE))</f>
        <v/>
      </c>
      <c r="B63" s="3" t="str">
        <f>IF(C63="","",'PM_info+'!B63)</f>
        <v/>
      </c>
      <c r="C63" s="2" t="str">
        <f>IF('PM_info+'!E63="","",'PM_info+'!E63)</f>
        <v/>
      </c>
      <c r="D63" s="3" t="str">
        <f>IF(C63="","",'Plate organization+'!$B$38)</f>
        <v/>
      </c>
      <c r="E63" s="3" t="str">
        <f>'Plate organization+'!$A$13</f>
        <v>mtp_source</v>
      </c>
      <c r="F63" t="str">
        <f>'Plate organization+'!$A$1</f>
        <v>mtp_primer_stocks</v>
      </c>
    </row>
    <row r="64" spans="1:6" x14ac:dyDescent="0.25">
      <c r="A64" s="3" t="str">
        <f>IF(C64="","",VLOOKUP(C64,Source_Plate!$E$2:$F$97,2,FALSE))</f>
        <v/>
      </c>
      <c r="B64" s="3" t="str">
        <f>IF(C64="","",'PM_info+'!B64)</f>
        <v/>
      </c>
      <c r="C64" s="2" t="str">
        <f>IF('PM_info+'!E64="","",'PM_info+'!E64)</f>
        <v/>
      </c>
      <c r="D64" s="3" t="str">
        <f>IF(C64="","",'Plate organization+'!$B$38)</f>
        <v/>
      </c>
      <c r="E64" s="3" t="str">
        <f>'Plate organization+'!$A$13</f>
        <v>mtp_source</v>
      </c>
      <c r="F64" t="str">
        <f>'Plate organization+'!$A$1</f>
        <v>mtp_primer_stocks</v>
      </c>
    </row>
    <row r="65" spans="1:6" x14ac:dyDescent="0.25">
      <c r="A65" s="3" t="str">
        <f>IF(C65="","",VLOOKUP(C65,Source_Plate!$E$2:$F$97,2,FALSE))</f>
        <v/>
      </c>
      <c r="B65" s="3" t="str">
        <f>IF(C65="","",'PM_info+'!B65)</f>
        <v/>
      </c>
      <c r="C65" s="2" t="str">
        <f>IF('PM_info+'!E65="","",'PM_info+'!E65)</f>
        <v/>
      </c>
      <c r="D65" s="3" t="str">
        <f>IF(C65="","",'Plate organization+'!$B$38)</f>
        <v/>
      </c>
      <c r="E65" s="3" t="str">
        <f>'Plate organization+'!$A$13</f>
        <v>mtp_source</v>
      </c>
      <c r="F65" t="str">
        <f>'Plate organization+'!$A$1</f>
        <v>mtp_primer_stocks</v>
      </c>
    </row>
    <row r="66" spans="1:6" x14ac:dyDescent="0.25">
      <c r="A66" s="3" t="str">
        <f>IF(C66="","",VLOOKUP(C66,Source_Plate!$E$2:$F$97,2,FALSE))</f>
        <v/>
      </c>
      <c r="B66" s="3" t="str">
        <f>IF(C66="","",'PM_info+'!B66)</f>
        <v/>
      </c>
      <c r="C66" s="2" t="str">
        <f>IF('PM_info+'!E66="","",'PM_info+'!E66)</f>
        <v/>
      </c>
      <c r="D66" s="3" t="str">
        <f>IF(C66="","",'Plate organization+'!$B$38)</f>
        <v/>
      </c>
      <c r="E66" s="3" t="str">
        <f>'Plate organization+'!$A$13</f>
        <v>mtp_source</v>
      </c>
      <c r="F66" t="str">
        <f>'Plate organization+'!$A$1</f>
        <v>mtp_primer_stocks</v>
      </c>
    </row>
    <row r="67" spans="1:6" x14ac:dyDescent="0.25">
      <c r="A67" s="3" t="str">
        <f>IF(C67="","",VLOOKUP(C67,Source_Plate!$E$2:$F$97,2,FALSE))</f>
        <v/>
      </c>
      <c r="B67" s="3" t="str">
        <f>IF(C67="","",'PM_info+'!B67)</f>
        <v/>
      </c>
      <c r="C67" s="2" t="str">
        <f>IF('PM_info+'!E67="","",'PM_info+'!E67)</f>
        <v/>
      </c>
      <c r="D67" s="3" t="str">
        <f>IF(C67="","",'Plate organization+'!$B$38)</f>
        <v/>
      </c>
      <c r="E67" s="3" t="str">
        <f>'Plate organization+'!$A$13</f>
        <v>mtp_source</v>
      </c>
      <c r="F67" t="str">
        <f>'Plate organization+'!$A$1</f>
        <v>mtp_primer_stocks</v>
      </c>
    </row>
    <row r="68" spans="1:6" x14ac:dyDescent="0.25">
      <c r="A68" s="3" t="str">
        <f>IF(C68="","",VLOOKUP(C68,Source_Plate!$E$2:$F$97,2,FALSE))</f>
        <v/>
      </c>
      <c r="B68" s="3" t="str">
        <f>IF(C68="","",'PM_info+'!B68)</f>
        <v/>
      </c>
      <c r="C68" s="2" t="str">
        <f>IF('PM_info+'!E68="","",'PM_info+'!E68)</f>
        <v/>
      </c>
      <c r="D68" s="3" t="str">
        <f>IF(C68="","",'Plate organization+'!$B$38)</f>
        <v/>
      </c>
      <c r="E68" s="3" t="str">
        <f>'Plate organization+'!$A$13</f>
        <v>mtp_source</v>
      </c>
      <c r="F68" t="str">
        <f>'Plate organization+'!$A$1</f>
        <v>mtp_primer_stocks</v>
      </c>
    </row>
    <row r="69" spans="1:6" x14ac:dyDescent="0.25">
      <c r="A69" s="3" t="str">
        <f>IF(C69="","",VLOOKUP(C69,Source_Plate!$E$2:$F$97,2,FALSE))</f>
        <v/>
      </c>
      <c r="B69" s="3" t="str">
        <f>IF(C69="","",'PM_info+'!B69)</f>
        <v/>
      </c>
      <c r="C69" s="2" t="str">
        <f>IF('PM_info+'!E69="","",'PM_info+'!E69)</f>
        <v/>
      </c>
      <c r="D69" s="3" t="str">
        <f>IF(C69="","",'Plate organization+'!$B$38)</f>
        <v/>
      </c>
      <c r="E69" s="3" t="str">
        <f>'Plate organization+'!$A$13</f>
        <v>mtp_source</v>
      </c>
      <c r="F69" t="str">
        <f>'Plate organization+'!$A$1</f>
        <v>mtp_primer_stocks</v>
      </c>
    </row>
    <row r="70" spans="1:6" x14ac:dyDescent="0.25">
      <c r="A70" s="3" t="str">
        <f>IF(C70="","",VLOOKUP(C70,Source_Plate!$E$2:$F$97,2,FALSE))</f>
        <v/>
      </c>
      <c r="B70" s="3" t="str">
        <f>IF(C70="","",'PM_info+'!B70)</f>
        <v/>
      </c>
      <c r="C70" s="2" t="str">
        <f>IF('PM_info+'!E70="","",'PM_info+'!E70)</f>
        <v/>
      </c>
      <c r="D70" s="3" t="str">
        <f>IF(C70="","",'Plate organization+'!$B$38)</f>
        <v/>
      </c>
      <c r="E70" s="3" t="str">
        <f>'Plate organization+'!$A$13</f>
        <v>mtp_source</v>
      </c>
      <c r="F70" t="str">
        <f>'Plate organization+'!$A$1</f>
        <v>mtp_primer_stocks</v>
      </c>
    </row>
    <row r="71" spans="1:6" x14ac:dyDescent="0.25">
      <c r="A71" s="3" t="str">
        <f>IF(C71="","",VLOOKUP(C71,Source_Plate!$E$2:$F$97,2,FALSE))</f>
        <v/>
      </c>
      <c r="B71" s="3" t="str">
        <f>IF(C71="","",'PM_info+'!B71)</f>
        <v/>
      </c>
      <c r="C71" s="2" t="str">
        <f>IF('PM_info+'!E71="","",'PM_info+'!E71)</f>
        <v/>
      </c>
      <c r="D71" s="3" t="str">
        <f>IF(C71="","",'Plate organization+'!$B$38)</f>
        <v/>
      </c>
      <c r="E71" s="3" t="str">
        <f>'Plate organization+'!$A$13</f>
        <v>mtp_source</v>
      </c>
      <c r="F71" t="str">
        <f>'Plate organization+'!$A$1</f>
        <v>mtp_primer_stocks</v>
      </c>
    </row>
    <row r="72" spans="1:6" x14ac:dyDescent="0.25">
      <c r="A72" s="3" t="str">
        <f>IF(C72="","",VLOOKUP(C72,Source_Plate!$E$2:$F$97,2,FALSE))</f>
        <v/>
      </c>
      <c r="B72" s="3" t="str">
        <f>IF(C72="","",'PM_info+'!B72)</f>
        <v/>
      </c>
      <c r="C72" s="2" t="str">
        <f>IF('PM_info+'!E72="","",'PM_info+'!E72)</f>
        <v/>
      </c>
      <c r="D72" s="3" t="str">
        <f>IF(C72="","",'Plate organization+'!$B$38)</f>
        <v/>
      </c>
      <c r="E72" s="3" t="str">
        <f>'Plate organization+'!$A$13</f>
        <v>mtp_source</v>
      </c>
      <c r="F72" t="str">
        <f>'Plate organization+'!$A$1</f>
        <v>mtp_primer_stocks</v>
      </c>
    </row>
    <row r="73" spans="1:6" x14ac:dyDescent="0.25">
      <c r="A73" s="3" t="str">
        <f>IF(C73="","",VLOOKUP(C73,Source_Plate!$E$2:$F$97,2,FALSE))</f>
        <v/>
      </c>
      <c r="B73" s="3" t="str">
        <f>IF(C73="","",'PM_info+'!B73)</f>
        <v/>
      </c>
      <c r="C73" s="2" t="str">
        <f>IF('PM_info+'!E73="","",'PM_info+'!E73)</f>
        <v/>
      </c>
      <c r="D73" s="3" t="str">
        <f>IF(C73="","",'Plate organization+'!$B$38)</f>
        <v/>
      </c>
      <c r="E73" s="3" t="str">
        <f>'Plate organization+'!$A$13</f>
        <v>mtp_source</v>
      </c>
      <c r="F73" t="str">
        <f>'Plate organization+'!$A$1</f>
        <v>mtp_primer_stocks</v>
      </c>
    </row>
    <row r="74" spans="1:6" x14ac:dyDescent="0.25">
      <c r="A74" s="3" t="str">
        <f>IF(C74="","",VLOOKUP(C74,Source_Plate!$E$2:$F$97,2,FALSE))</f>
        <v/>
      </c>
      <c r="B74" s="3" t="str">
        <f>IF(C74="","",'PM_info+'!B74)</f>
        <v/>
      </c>
      <c r="C74" s="2" t="str">
        <f>IF('PM_info+'!E74="","",'PM_info+'!E74)</f>
        <v/>
      </c>
      <c r="D74" s="3" t="str">
        <f>IF(C74="","",'Plate organization+'!$B$38)</f>
        <v/>
      </c>
      <c r="E74" s="3" t="str">
        <f>'Plate organization+'!$A$13</f>
        <v>mtp_source</v>
      </c>
      <c r="F74" t="str">
        <f>'Plate organization+'!$A$1</f>
        <v>mtp_primer_stocks</v>
      </c>
    </row>
    <row r="75" spans="1:6" x14ac:dyDescent="0.25">
      <c r="A75" s="3" t="str">
        <f>IF(C75="","",VLOOKUP(C75,Source_Plate!$E$2:$F$97,2,FALSE))</f>
        <v/>
      </c>
      <c r="B75" s="3" t="str">
        <f>IF(C75="","",'PM_info+'!B75)</f>
        <v/>
      </c>
      <c r="C75" s="2" t="str">
        <f>IF('PM_info+'!E75="","",'PM_info+'!E75)</f>
        <v/>
      </c>
      <c r="D75" s="3" t="str">
        <f>IF(C75="","",'Plate organization+'!$B$38)</f>
        <v/>
      </c>
      <c r="E75" s="3" t="str">
        <f>'Plate organization+'!$A$13</f>
        <v>mtp_source</v>
      </c>
      <c r="F75" t="str">
        <f>'Plate organization+'!$A$1</f>
        <v>mtp_primer_stocks</v>
      </c>
    </row>
    <row r="76" spans="1:6" x14ac:dyDescent="0.25">
      <c r="A76" s="3" t="str">
        <f>IF(C76="","",VLOOKUP(C76,Source_Plate!$E$2:$F$97,2,FALSE))</f>
        <v/>
      </c>
      <c r="B76" s="3" t="str">
        <f>IF(C76="","",'PM_info+'!B76)</f>
        <v/>
      </c>
      <c r="C76" s="2" t="str">
        <f>IF('PM_info+'!E76="","",'PM_info+'!E76)</f>
        <v/>
      </c>
      <c r="D76" s="3" t="str">
        <f>IF(C76="","",'Plate organization+'!$B$38)</f>
        <v/>
      </c>
      <c r="E76" s="3" t="str">
        <f>'Plate organization+'!$A$13</f>
        <v>mtp_source</v>
      </c>
      <c r="F76" t="str">
        <f>'Plate organization+'!$A$1</f>
        <v>mtp_primer_stocks</v>
      </c>
    </row>
    <row r="77" spans="1:6" x14ac:dyDescent="0.25">
      <c r="A77" s="3" t="str">
        <f>IF(C77="","",VLOOKUP(C77,Source_Plate!$E$2:$F$97,2,FALSE))</f>
        <v/>
      </c>
      <c r="B77" s="3" t="str">
        <f>IF(C77="","",'PM_info+'!B77)</f>
        <v/>
      </c>
      <c r="C77" s="2" t="str">
        <f>IF('PM_info+'!E77="","",'PM_info+'!E77)</f>
        <v/>
      </c>
      <c r="D77" s="3" t="str">
        <f>IF(C77="","",'Plate organization+'!$B$38)</f>
        <v/>
      </c>
      <c r="E77" s="3" t="str">
        <f>'Plate organization+'!$A$13</f>
        <v>mtp_source</v>
      </c>
      <c r="F77" t="str">
        <f>'Plate organization+'!$A$1</f>
        <v>mtp_primer_stocks</v>
      </c>
    </row>
    <row r="78" spans="1:6" x14ac:dyDescent="0.25">
      <c r="A78" s="3" t="str">
        <f>IF(C78="","",VLOOKUP(C78,Source_Plate!$E$2:$F$97,2,FALSE))</f>
        <v/>
      </c>
      <c r="B78" s="3" t="str">
        <f>IF(C78="","",'PM_info+'!B78)</f>
        <v/>
      </c>
      <c r="C78" s="2" t="str">
        <f>IF('PM_info+'!E78="","",'PM_info+'!E78)</f>
        <v/>
      </c>
      <c r="D78" s="3" t="str">
        <f>IF(C78="","",'Plate organization+'!$B$38)</f>
        <v/>
      </c>
      <c r="E78" s="3" t="str">
        <f>'Plate organization+'!$A$13</f>
        <v>mtp_source</v>
      </c>
      <c r="F78" t="str">
        <f>'Plate organization+'!$A$1</f>
        <v>mtp_primer_stocks</v>
      </c>
    </row>
    <row r="79" spans="1:6" x14ac:dyDescent="0.25">
      <c r="A79" s="3" t="str">
        <f>IF(C79="","",VLOOKUP(C79,Source_Plate!$E$2:$F$97,2,FALSE))</f>
        <v/>
      </c>
      <c r="B79" s="3" t="str">
        <f>IF(C79="","",'PM_info+'!B79)</f>
        <v/>
      </c>
      <c r="C79" s="2" t="str">
        <f>IF('PM_info+'!E79="","",'PM_info+'!E79)</f>
        <v/>
      </c>
      <c r="D79" s="3" t="str">
        <f>IF(C79="","",'Plate organization+'!$B$38)</f>
        <v/>
      </c>
      <c r="E79" s="3" t="str">
        <f>'Plate organization+'!$A$13</f>
        <v>mtp_source</v>
      </c>
      <c r="F79" t="str">
        <f>'Plate organization+'!$A$1</f>
        <v>mtp_primer_stocks</v>
      </c>
    </row>
    <row r="80" spans="1:6" x14ac:dyDescent="0.25">
      <c r="A80" s="3" t="str">
        <f>IF(C80="","",VLOOKUP(C80,Source_Plate!$E$2:$F$97,2,FALSE))</f>
        <v/>
      </c>
      <c r="B80" s="3" t="str">
        <f>IF(C80="","",'PM_info+'!B80)</f>
        <v/>
      </c>
      <c r="C80" s="2" t="str">
        <f>IF('PM_info+'!E80="","",'PM_info+'!E80)</f>
        <v/>
      </c>
      <c r="D80" s="3" t="str">
        <f>IF(C80="","",'Plate organization+'!$B$38)</f>
        <v/>
      </c>
      <c r="E80" s="3" t="str">
        <f>'Plate organization+'!$A$13</f>
        <v>mtp_source</v>
      </c>
      <c r="F80" t="str">
        <f>'Plate organization+'!$A$1</f>
        <v>mtp_primer_stocks</v>
      </c>
    </row>
    <row r="81" spans="1:6" x14ac:dyDescent="0.25">
      <c r="A81" s="3" t="str">
        <f>IF(C81="","",VLOOKUP(C81,Source_Plate!$E$2:$F$97,2,FALSE))</f>
        <v/>
      </c>
      <c r="B81" s="3" t="str">
        <f>IF(C81="","",'PM_info+'!B81)</f>
        <v/>
      </c>
      <c r="C81" s="2" t="str">
        <f>IF('PM_info+'!E81="","",'PM_info+'!E81)</f>
        <v/>
      </c>
      <c r="D81" s="3" t="str">
        <f>IF(C81="","",'Plate organization+'!$B$38)</f>
        <v/>
      </c>
      <c r="E81" s="3" t="str">
        <f>'Plate organization+'!$A$13</f>
        <v>mtp_source</v>
      </c>
      <c r="F81" t="str">
        <f>'Plate organization+'!$A$1</f>
        <v>mtp_primer_stocks</v>
      </c>
    </row>
    <row r="82" spans="1:6" x14ac:dyDescent="0.25">
      <c r="A82" s="3" t="str">
        <f>IF(C82="","",VLOOKUP(C82,Source_Plate!$E$2:$F$97,2,FALSE))</f>
        <v/>
      </c>
      <c r="B82" s="3" t="str">
        <f>IF(C82="","",'PM_info+'!B82)</f>
        <v/>
      </c>
      <c r="C82" s="2" t="str">
        <f>IF('PM_info+'!E82="","",'PM_info+'!E82)</f>
        <v/>
      </c>
      <c r="D82" s="3" t="str">
        <f>IF(C82="","",'Plate organization+'!$B$38)</f>
        <v/>
      </c>
      <c r="E82" s="3" t="str">
        <f>'Plate organization+'!$A$13</f>
        <v>mtp_source</v>
      </c>
      <c r="F82" t="str">
        <f>'Plate organization+'!$A$1</f>
        <v>mtp_primer_stocks</v>
      </c>
    </row>
    <row r="83" spans="1:6" x14ac:dyDescent="0.25">
      <c r="A83" s="3" t="str">
        <f>IF(C83="","",VLOOKUP(C83,Source_Plate!$E$2:$F$97,2,FALSE))</f>
        <v/>
      </c>
      <c r="B83" s="3" t="str">
        <f>IF(C83="","",'PM_info+'!B83)</f>
        <v/>
      </c>
      <c r="C83" s="2" t="str">
        <f>IF('PM_info+'!E83="","",'PM_info+'!E83)</f>
        <v/>
      </c>
      <c r="D83" s="3" t="str">
        <f>IF(C83="","",'Plate organization+'!$B$38)</f>
        <v/>
      </c>
      <c r="E83" s="3" t="str">
        <f>'Plate organization+'!$A$13</f>
        <v>mtp_source</v>
      </c>
      <c r="F83" t="str">
        <f>'Plate organization+'!$A$1</f>
        <v>mtp_primer_stocks</v>
      </c>
    </row>
    <row r="84" spans="1:6" x14ac:dyDescent="0.25">
      <c r="A84" s="3" t="str">
        <f>IF(C84="","",VLOOKUP(C84,Source_Plate!$E$2:$F$97,2,FALSE))</f>
        <v/>
      </c>
      <c r="B84" s="3" t="str">
        <f>IF(C84="","",'PM_info+'!B84)</f>
        <v/>
      </c>
      <c r="C84" s="2" t="str">
        <f>IF('PM_info+'!E84="","",'PM_info+'!E84)</f>
        <v/>
      </c>
      <c r="D84" s="3" t="str">
        <f>IF(C84="","",'Plate organization+'!$B$38)</f>
        <v/>
      </c>
      <c r="E84" s="3" t="str">
        <f>'Plate organization+'!$A$13</f>
        <v>mtp_source</v>
      </c>
      <c r="F84" t="str">
        <f>'Plate organization+'!$A$1</f>
        <v>mtp_primer_stocks</v>
      </c>
    </row>
    <row r="85" spans="1:6" x14ac:dyDescent="0.25">
      <c r="A85" s="3" t="str">
        <f>IF(C85="","",VLOOKUP(C85,Source_Plate!$E$2:$F$97,2,FALSE))</f>
        <v/>
      </c>
      <c r="B85" s="3" t="str">
        <f>IF(C85="","",'PM_info+'!B85)</f>
        <v/>
      </c>
      <c r="C85" s="2" t="str">
        <f>IF('PM_info+'!E85="","",'PM_info+'!E85)</f>
        <v/>
      </c>
      <c r="D85" s="3" t="str">
        <f>IF(C85="","",'Plate organization+'!$B$38)</f>
        <v/>
      </c>
      <c r="E85" s="3" t="str">
        <f>'Plate organization+'!$A$13</f>
        <v>mtp_source</v>
      </c>
      <c r="F85" t="str">
        <f>'Plate organization+'!$A$1</f>
        <v>mtp_primer_stocks</v>
      </c>
    </row>
    <row r="86" spans="1:6" x14ac:dyDescent="0.25">
      <c r="A86" s="3" t="str">
        <f>IF(C86="","",VLOOKUP(C86,Source_Plate!$E$2:$F$97,2,FALSE))</f>
        <v/>
      </c>
      <c r="B86" s="3" t="str">
        <f>IF(C86="","",'PM_info+'!B86)</f>
        <v/>
      </c>
      <c r="C86" s="2" t="str">
        <f>IF('PM_info+'!E86="","",'PM_info+'!E86)</f>
        <v/>
      </c>
      <c r="D86" s="3" t="str">
        <f>IF(C86="","",'Plate organization+'!$B$38)</f>
        <v/>
      </c>
      <c r="E86" s="3" t="str">
        <f>'Plate organization+'!$A$13</f>
        <v>mtp_source</v>
      </c>
      <c r="F86" t="str">
        <f>'Plate organization+'!$A$1</f>
        <v>mtp_primer_stocks</v>
      </c>
    </row>
    <row r="87" spans="1:6" x14ac:dyDescent="0.25">
      <c r="A87" s="3" t="str">
        <f>IF(C87="","",VLOOKUP(C87,Source_Plate!$E$2:$F$97,2,FALSE))</f>
        <v/>
      </c>
      <c r="B87" s="3" t="str">
        <f>IF(C87="","",'PM_info+'!B87)</f>
        <v/>
      </c>
      <c r="C87" s="2" t="str">
        <f>IF('PM_info+'!E87="","",'PM_info+'!E87)</f>
        <v/>
      </c>
      <c r="D87" s="3" t="str">
        <f>IF(C87="","",'Plate organization+'!$B$38)</f>
        <v/>
      </c>
      <c r="E87" s="3" t="str">
        <f>'Plate organization+'!$A$13</f>
        <v>mtp_source</v>
      </c>
      <c r="F87" t="str">
        <f>'Plate organization+'!$A$1</f>
        <v>mtp_primer_stocks</v>
      </c>
    </row>
    <row r="88" spans="1:6" x14ac:dyDescent="0.25">
      <c r="A88" s="3" t="str">
        <f>IF(C88="","",VLOOKUP(C88,Source_Plate!$E$2:$F$97,2,FALSE))</f>
        <v/>
      </c>
      <c r="B88" s="3" t="str">
        <f>IF(C88="","",'PM_info+'!B88)</f>
        <v/>
      </c>
      <c r="C88" s="2" t="str">
        <f>IF('PM_info+'!E88="","",'PM_info+'!E88)</f>
        <v/>
      </c>
      <c r="D88" s="3" t="str">
        <f>IF(C88="","",'Plate organization+'!$B$38)</f>
        <v/>
      </c>
      <c r="E88" s="3" t="str">
        <f>'Plate organization+'!$A$13</f>
        <v>mtp_source</v>
      </c>
      <c r="F88" t="str">
        <f>'Plate organization+'!$A$1</f>
        <v>mtp_primer_stocks</v>
      </c>
    </row>
    <row r="89" spans="1:6" x14ac:dyDescent="0.25">
      <c r="A89" s="3" t="str">
        <f>IF(C89="","",VLOOKUP(C89,Source_Plate!$E$2:$F$97,2,FALSE))</f>
        <v/>
      </c>
      <c r="B89" s="3" t="str">
        <f>IF(C89="","",'PM_info+'!B89)</f>
        <v/>
      </c>
      <c r="C89" s="2" t="str">
        <f>IF('PM_info+'!E89="","",'PM_info+'!E89)</f>
        <v/>
      </c>
      <c r="D89" s="3" t="str">
        <f>IF(C89="","",'Plate organization+'!$B$38)</f>
        <v/>
      </c>
      <c r="E89" s="3" t="str">
        <f>'Plate organization+'!$A$13</f>
        <v>mtp_source</v>
      </c>
      <c r="F89" t="str">
        <f>'Plate organization+'!$A$1</f>
        <v>mtp_primer_stocks</v>
      </c>
    </row>
    <row r="90" spans="1:6" x14ac:dyDescent="0.25">
      <c r="A90" s="3" t="str">
        <f>IF(C90="","",VLOOKUP(C90,Source_Plate!$E$2:$F$97,2,FALSE))</f>
        <v/>
      </c>
      <c r="B90" s="3" t="str">
        <f>IF(C90="","",'PM_info+'!B90)</f>
        <v/>
      </c>
      <c r="C90" s="2" t="str">
        <f>IF('PM_info+'!E90="","",'PM_info+'!E90)</f>
        <v/>
      </c>
      <c r="D90" s="3" t="str">
        <f>IF(C90="","",'Plate organization+'!$B$38)</f>
        <v/>
      </c>
      <c r="E90" s="3" t="str">
        <f>'Plate organization+'!$A$13</f>
        <v>mtp_source</v>
      </c>
      <c r="F90" t="str">
        <f>'Plate organization+'!$A$1</f>
        <v>mtp_primer_stocks</v>
      </c>
    </row>
    <row r="91" spans="1:6" x14ac:dyDescent="0.25">
      <c r="A91" s="3" t="str">
        <f>IF(C91="","",VLOOKUP(C91,Source_Plate!$E$2:$F$97,2,FALSE))</f>
        <v/>
      </c>
      <c r="B91" s="3" t="str">
        <f>IF(C91="","",'PM_info+'!B91)</f>
        <v/>
      </c>
      <c r="C91" s="2" t="str">
        <f>IF('PM_info+'!E91="","",'PM_info+'!E91)</f>
        <v/>
      </c>
      <c r="D91" s="3" t="str">
        <f>IF(C91="","",'Plate organization+'!$B$38)</f>
        <v/>
      </c>
      <c r="E91" s="3" t="str">
        <f>'Plate organization+'!$A$13</f>
        <v>mtp_source</v>
      </c>
      <c r="F91" t="str">
        <f>'Plate organization+'!$A$1</f>
        <v>mtp_primer_stocks</v>
      </c>
    </row>
    <row r="92" spans="1:6" x14ac:dyDescent="0.25">
      <c r="A92" s="3" t="str">
        <f>IF(C92="","",VLOOKUP(C92,Source_Plate!$E$2:$F$97,2,FALSE))</f>
        <v/>
      </c>
      <c r="B92" s="3" t="str">
        <f>IF(C92="","",'PM_info+'!B92)</f>
        <v/>
      </c>
      <c r="C92" s="2" t="str">
        <f>IF('PM_info+'!E92="","",'PM_info+'!E92)</f>
        <v/>
      </c>
      <c r="D92" s="3" t="str">
        <f>IF(C92="","",'Plate organization+'!$B$38)</f>
        <v/>
      </c>
      <c r="E92" s="3" t="str">
        <f>'Plate organization+'!$A$13</f>
        <v>mtp_source</v>
      </c>
      <c r="F92" t="str">
        <f>'Plate organization+'!$A$1</f>
        <v>mtp_primer_stocks</v>
      </c>
    </row>
    <row r="93" spans="1:6" x14ac:dyDescent="0.25">
      <c r="A93" s="3" t="str">
        <f>IF(C93="","",VLOOKUP(C93,Source_Plate!$E$2:$F$97,2,FALSE))</f>
        <v/>
      </c>
      <c r="B93" s="3" t="str">
        <f>IF(C93="","",'PM_info+'!B93)</f>
        <v/>
      </c>
      <c r="C93" s="2" t="str">
        <f>IF('PM_info+'!E93="","",'PM_info+'!E93)</f>
        <v/>
      </c>
      <c r="D93" s="3" t="str">
        <f>IF(C93="","",'Plate organization+'!$B$38)</f>
        <v/>
      </c>
      <c r="E93" s="3" t="str">
        <f>'Plate organization+'!$A$13</f>
        <v>mtp_source</v>
      </c>
      <c r="F93" t="str">
        <f>'Plate organization+'!$A$1</f>
        <v>mtp_primer_stocks</v>
      </c>
    </row>
    <row r="94" spans="1:6" x14ac:dyDescent="0.25">
      <c r="A94" s="3" t="str">
        <f>IF(C94="","",VLOOKUP(C94,Source_Plate!$E$2:$F$97,2,FALSE))</f>
        <v/>
      </c>
      <c r="B94" s="3" t="str">
        <f>IF(C94="","",'PM_info+'!B94)</f>
        <v/>
      </c>
      <c r="C94" s="2" t="str">
        <f>IF('PM_info+'!E94="","",'PM_info+'!E94)</f>
        <v/>
      </c>
      <c r="D94" s="3" t="str">
        <f>IF(C94="","",'Plate organization+'!$B$38)</f>
        <v/>
      </c>
      <c r="E94" s="3" t="str">
        <f>'Plate organization+'!$A$13</f>
        <v>mtp_source</v>
      </c>
      <c r="F94" t="str">
        <f>'Plate organization+'!$A$1</f>
        <v>mtp_primer_stocks</v>
      </c>
    </row>
    <row r="95" spans="1:6" x14ac:dyDescent="0.25">
      <c r="A95" s="3" t="str">
        <f>IF(C95="","",VLOOKUP(C95,Source_Plate!$E$2:$F$97,2,FALSE))</f>
        <v/>
      </c>
      <c r="B95" s="3" t="str">
        <f>IF(C95="","",'PM_info+'!B95)</f>
        <v/>
      </c>
      <c r="C95" s="2" t="str">
        <f>IF('PM_info+'!E95="","",'PM_info+'!E95)</f>
        <v/>
      </c>
      <c r="D95" s="3" t="str">
        <f>IF(C95="","",'Plate organization+'!$B$38)</f>
        <v/>
      </c>
      <c r="E95" s="3" t="str">
        <f>'Plate organization+'!$A$13</f>
        <v>mtp_source</v>
      </c>
      <c r="F95" t="str">
        <f>'Plate organization+'!$A$1</f>
        <v>mtp_primer_stocks</v>
      </c>
    </row>
    <row r="96" spans="1:6" x14ac:dyDescent="0.25">
      <c r="A96" s="3" t="str">
        <f>IF(C96="","",VLOOKUP(C96,Source_Plate!$E$2:$F$97,2,FALSE))</f>
        <v/>
      </c>
      <c r="B96" s="3" t="str">
        <f>IF(C96="","",'PM_info+'!B96)</f>
        <v/>
      </c>
      <c r="C96" s="2" t="str">
        <f>IF('PM_info+'!E96="","",'PM_info+'!E96)</f>
        <v/>
      </c>
      <c r="D96" s="3" t="str">
        <f>IF(C96="","",'Plate organization+'!$B$38)</f>
        <v/>
      </c>
      <c r="E96" s="3" t="str">
        <f>'Plate organization+'!$A$13</f>
        <v>mtp_source</v>
      </c>
      <c r="F96" t="str">
        <f>'Plate organization+'!$A$1</f>
        <v>mtp_primer_stocks</v>
      </c>
    </row>
    <row r="97" spans="1:6" x14ac:dyDescent="0.25">
      <c r="A97" s="3" t="str">
        <f>IF(C97="","",VLOOKUP(C97,Source_Plate!$E$2:$F$97,2,FALSE))</f>
        <v/>
      </c>
      <c r="B97" s="3" t="str">
        <f>IF(C97="","",'PM_info+'!B97)</f>
        <v/>
      </c>
      <c r="C97" s="2" t="str">
        <f>IF('PM_info+'!E97="","",'PM_info+'!E97)</f>
        <v/>
      </c>
      <c r="D97" s="3" t="str">
        <f>IF(C97="","",'Plate organization+'!$B$38)</f>
        <v/>
      </c>
      <c r="E97" s="3" t="str">
        <f>'Plate organization+'!$A$13</f>
        <v>mtp_source</v>
      </c>
      <c r="F97" t="str">
        <f>'Plate organization+'!$A$1</f>
        <v>mtp_primer_stocks</v>
      </c>
    </row>
    <row r="98" spans="1:6" x14ac:dyDescent="0.25">
      <c r="A98" s="3"/>
      <c r="B98" s="3"/>
    </row>
    <row r="99" spans="1:6" x14ac:dyDescent="0.25">
      <c r="A99" s="3"/>
      <c r="B99" s="3"/>
    </row>
    <row r="100" spans="1:6" x14ac:dyDescent="0.25">
      <c r="A100" s="3"/>
      <c r="B100" s="3"/>
    </row>
    <row r="101" spans="1:6" x14ac:dyDescent="0.25">
      <c r="A101" s="3"/>
      <c r="B101" s="3"/>
    </row>
    <row r="102" spans="1:6" x14ac:dyDescent="0.25">
      <c r="A102" s="3"/>
      <c r="B10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1</vt:i4>
      </vt:variant>
    </vt:vector>
  </HeadingPairs>
  <TitlesOfParts>
    <vt:vector size="12" baseType="lpstr">
      <vt:lpstr>Infos+</vt:lpstr>
      <vt:lpstr>Plate organization+</vt:lpstr>
      <vt:lpstr>PM_info+</vt:lpstr>
      <vt:lpstr>Plan+</vt:lpstr>
      <vt:lpstr>Source_Plate</vt:lpstr>
      <vt:lpstr>Worklist_Water</vt:lpstr>
      <vt:lpstr>Worklist_Template</vt:lpstr>
      <vt:lpstr>Worklist_MM</vt:lpstr>
      <vt:lpstr>Worklist_PCR_Primer</vt:lpstr>
      <vt:lpstr>Worklist_Primer1</vt:lpstr>
      <vt:lpstr>Worklist_Primer2</vt:lpstr>
      <vt:lpstr>'Plan+'!Druckbereich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Matamouros, Susana</dc:creator>
  <cp:lastModifiedBy>Dominic Kösters</cp:lastModifiedBy>
  <cp:lastPrinted>2024-10-26T07:37:45Z</cp:lastPrinted>
  <dcterms:created xsi:type="dcterms:W3CDTF">2023-10-23T12:23:52Z</dcterms:created>
  <dcterms:modified xsi:type="dcterms:W3CDTF">2026-07-24T07:46:24Z</dcterms:modified>
</cp:coreProperties>
</file>