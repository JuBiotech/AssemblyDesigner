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1 Liquid Handling\01 Golden Gate Cloning\01 Basic_Example\"/>
    </mc:Choice>
  </mc:AlternateContent>
  <xr:revisionPtr revIDLastSave="0" documentId="13_ncr:1_{BC52CD33-0A63-41F3-8AC0-9C573414F4C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s+" sheetId="15" r:id="rId1"/>
    <sheet name="Plate organization+" sheetId="1" r:id="rId2"/>
    <sheet name="Plan+" sheetId="2" r:id="rId3"/>
    <sheet name="PM_info+" sheetId="19" r:id="rId4"/>
    <sheet name="DNA_dilution+" sheetId="11" r:id="rId5"/>
    <sheet name="Source_Plate" sheetId="4" r:id="rId6"/>
    <sheet name="Worklist_W" sheetId="18" r:id="rId7"/>
    <sheet name="Worklist_DNA" sheetId="6" r:id="rId8"/>
    <sheet name="Worklist_PM_parts" sheetId="20" r:id="rId9"/>
    <sheet name="Worklist_PM" sheetId="13" r:id="rId10"/>
    <sheet name="Worklist_MM" sheetId="12" r:id="rId11"/>
    <sheet name="Worklist_P" sheetId="8" r:id="rId12"/>
    <sheet name="Worklist_BB" sheetId="7" r:id="rId13"/>
    <sheet name="Worklist_SP" sheetId="3" r:id="rId14"/>
    <sheet name="Worklist_RBS" sheetId="9" r:id="rId15"/>
    <sheet name="Worklist_GoI" sheetId="5" r:id="rId16"/>
    <sheet name="Worklist_Tags" sheetId="14" r:id="rId17"/>
    <sheet name="Worklist_GG_water" sheetId="21" r:id="rId18"/>
  </sheets>
  <definedNames>
    <definedName name="_xlnm._FilterDatabase" localSheetId="2" hidden="1">'Plan+'!$A$1:$M$97</definedName>
    <definedName name="_xlnm._FilterDatabase" localSheetId="13" hidden="1">Worklist_SP!$A$1:$E$97</definedName>
    <definedName name="_xlnm.Print_Area" localSheetId="2">'Plan+'!$A$1:$M$97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F42" i="1"/>
  <c r="F41" i="1"/>
  <c r="F45" i="1" s="1"/>
  <c r="B40" i="1"/>
  <c r="B42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I38" i="1" a="1"/>
  <c r="J39" i="1" l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I38" i="1"/>
  <c r="J38" i="1" s="1" a="1"/>
  <c r="J38" i="1" s="1"/>
  <c r="A2" i="11"/>
  <c r="C40" i="1"/>
  <c r="C43" i="1"/>
  <c r="C45" i="1"/>
  <c r="C46" i="1"/>
  <c r="C38" i="1"/>
  <c r="A10" i="4"/>
  <c r="F46" i="1" l="1"/>
  <c r="C288" i="20"/>
  <c r="A288" i="20" s="1"/>
  <c r="C289" i="20"/>
  <c r="A289" i="20" s="1"/>
  <c r="C385" i="20"/>
  <c r="A385" i="20" s="1"/>
  <c r="C192" i="20"/>
  <c r="A192" i="20" s="1"/>
  <c r="C193" i="20"/>
  <c r="A193" i="20" s="1"/>
  <c r="C191" i="20"/>
  <c r="A191" i="20" s="1"/>
  <c r="C291" i="20"/>
  <c r="D291" i="20" s="1"/>
  <c r="C292" i="20"/>
  <c r="D292" i="20" s="1"/>
  <c r="C293" i="20"/>
  <c r="D293" i="20" s="1"/>
  <c r="C294" i="20"/>
  <c r="D294" i="20" s="1"/>
  <c r="C295" i="20"/>
  <c r="D295" i="20" s="1"/>
  <c r="C296" i="20"/>
  <c r="D296" i="20" s="1"/>
  <c r="C297" i="20"/>
  <c r="D297" i="20" s="1"/>
  <c r="C298" i="20"/>
  <c r="D298" i="20" s="1"/>
  <c r="C299" i="20"/>
  <c r="D299" i="20" s="1"/>
  <c r="C300" i="20"/>
  <c r="B300" i="20" s="1"/>
  <c r="C301" i="20"/>
  <c r="B301" i="20" s="1"/>
  <c r="C302" i="20"/>
  <c r="D302" i="20" s="1"/>
  <c r="C303" i="20"/>
  <c r="A303" i="20" s="1"/>
  <c r="C304" i="20"/>
  <c r="B304" i="20" s="1"/>
  <c r="C305" i="20"/>
  <c r="D305" i="20" s="1"/>
  <c r="C306" i="20"/>
  <c r="B306" i="20" s="1"/>
  <c r="C307" i="20"/>
  <c r="B307" i="20" s="1"/>
  <c r="C308" i="20"/>
  <c r="D308" i="20" s="1"/>
  <c r="C309" i="20"/>
  <c r="D309" i="20" s="1"/>
  <c r="C310" i="20"/>
  <c r="B310" i="20" s="1"/>
  <c r="C311" i="20"/>
  <c r="B311" i="20" s="1"/>
  <c r="C312" i="20"/>
  <c r="B312" i="20" s="1"/>
  <c r="C313" i="20"/>
  <c r="B313" i="20" s="1"/>
  <c r="C314" i="20"/>
  <c r="D314" i="20" s="1"/>
  <c r="C315" i="20"/>
  <c r="B315" i="20" s="1"/>
  <c r="C316" i="20"/>
  <c r="B316" i="20" s="1"/>
  <c r="C317" i="20"/>
  <c r="D317" i="20" s="1"/>
  <c r="C318" i="20"/>
  <c r="A318" i="20" s="1"/>
  <c r="C319" i="20"/>
  <c r="A319" i="20" s="1"/>
  <c r="C320" i="20"/>
  <c r="B320" i="20" s="1"/>
  <c r="C321" i="20"/>
  <c r="D321" i="20" s="1"/>
  <c r="C322" i="20"/>
  <c r="D322" i="20" s="1"/>
  <c r="C323" i="20"/>
  <c r="D323" i="20" s="1"/>
  <c r="C324" i="20"/>
  <c r="B324" i="20" s="1"/>
  <c r="C325" i="20"/>
  <c r="B325" i="20" s="1"/>
  <c r="C326" i="20"/>
  <c r="B326" i="20" s="1"/>
  <c r="C327" i="20"/>
  <c r="D327" i="20" s="1"/>
  <c r="C328" i="20"/>
  <c r="B328" i="20" s="1"/>
  <c r="C329" i="20"/>
  <c r="D329" i="20" s="1"/>
  <c r="C330" i="20"/>
  <c r="D330" i="20" s="1"/>
  <c r="C331" i="20"/>
  <c r="B331" i="20" s="1"/>
  <c r="C332" i="20"/>
  <c r="B332" i="20" s="1"/>
  <c r="C333" i="20"/>
  <c r="B333" i="20" s="1"/>
  <c r="C334" i="20"/>
  <c r="A334" i="20" s="1"/>
  <c r="C335" i="20"/>
  <c r="D335" i="20" s="1"/>
  <c r="C336" i="20"/>
  <c r="D336" i="20" s="1"/>
  <c r="C337" i="20"/>
  <c r="D337" i="20" s="1"/>
  <c r="C338" i="20"/>
  <c r="B338" i="20" s="1"/>
  <c r="C339" i="20"/>
  <c r="B339" i="20" s="1"/>
  <c r="C340" i="20"/>
  <c r="B340" i="20" s="1"/>
  <c r="C341" i="20"/>
  <c r="D341" i="20" s="1"/>
  <c r="C342" i="20"/>
  <c r="B342" i="20" s="1"/>
  <c r="C343" i="20"/>
  <c r="B343" i="20" s="1"/>
  <c r="C344" i="20"/>
  <c r="D344" i="20" s="1"/>
  <c r="C345" i="20"/>
  <c r="D345" i="20" s="1"/>
  <c r="C346" i="20"/>
  <c r="D346" i="20" s="1"/>
  <c r="C347" i="20"/>
  <c r="B347" i="20" s="1"/>
  <c r="C348" i="20"/>
  <c r="B348" i="20" s="1"/>
  <c r="C349" i="20"/>
  <c r="B349" i="20" s="1"/>
  <c r="C350" i="20"/>
  <c r="B350" i="20" s="1"/>
  <c r="C351" i="20"/>
  <c r="B351" i="20" s="1"/>
  <c r="C352" i="20"/>
  <c r="D352" i="20" s="1"/>
  <c r="C353" i="20"/>
  <c r="D353" i="20" s="1"/>
  <c r="C354" i="20"/>
  <c r="D354" i="20" s="1"/>
  <c r="C355" i="20"/>
  <c r="B355" i="20" s="1"/>
  <c r="C356" i="20"/>
  <c r="D356" i="20" s="1"/>
  <c r="C357" i="20"/>
  <c r="D357" i="20" s="1"/>
  <c r="C358" i="20"/>
  <c r="B358" i="20" s="1"/>
  <c r="C359" i="20"/>
  <c r="D359" i="20" s="1"/>
  <c r="C360" i="20"/>
  <c r="B360" i="20" s="1"/>
  <c r="C361" i="20"/>
  <c r="D361" i="20" s="1"/>
  <c r="C362" i="20"/>
  <c r="D362" i="20" s="1"/>
  <c r="C363" i="20"/>
  <c r="B363" i="20" s="1"/>
  <c r="C364" i="20"/>
  <c r="B364" i="20" s="1"/>
  <c r="C365" i="20"/>
  <c r="B365" i="20" s="1"/>
  <c r="C366" i="20"/>
  <c r="B366" i="20" s="1"/>
  <c r="C367" i="20"/>
  <c r="A367" i="20" s="1"/>
  <c r="C368" i="20"/>
  <c r="D368" i="20" s="1"/>
  <c r="C369" i="20"/>
  <c r="D369" i="20" s="1"/>
  <c r="C370" i="20"/>
  <c r="B370" i="20" s="1"/>
  <c r="C371" i="20"/>
  <c r="B371" i="20" s="1"/>
  <c r="C372" i="20"/>
  <c r="B372" i="20" s="1"/>
  <c r="C373" i="20"/>
  <c r="B373" i="20" s="1"/>
  <c r="C374" i="20"/>
  <c r="B374" i="20" s="1"/>
  <c r="C375" i="20"/>
  <c r="B375" i="20" s="1"/>
  <c r="C376" i="20"/>
  <c r="B376" i="20" s="1"/>
  <c r="C377" i="20"/>
  <c r="D377" i="20" s="1"/>
  <c r="C378" i="20"/>
  <c r="B378" i="20" s="1"/>
  <c r="C379" i="20"/>
  <c r="B379" i="20" s="1"/>
  <c r="C380" i="20"/>
  <c r="B380" i="20" s="1"/>
  <c r="C381" i="20"/>
  <c r="D381" i="20" s="1"/>
  <c r="C382" i="20"/>
  <c r="D382" i="20" s="1"/>
  <c r="C383" i="20"/>
  <c r="A383" i="20" s="1"/>
  <c r="C384" i="20"/>
  <c r="D384" i="20" s="1"/>
  <c r="C290" i="20"/>
  <c r="D290" i="20" s="1"/>
  <c r="D365" i="20"/>
  <c r="D306" i="20" l="1"/>
  <c r="D310" i="20"/>
  <c r="D349" i="20"/>
  <c r="D304" i="20"/>
  <c r="D333" i="20"/>
  <c r="D301" i="20"/>
  <c r="B317" i="20"/>
  <c r="D320" i="20"/>
  <c r="D342" i="20"/>
  <c r="D288" i="20"/>
  <c r="D289" i="20"/>
  <c r="B289" i="20"/>
  <c r="B288" i="20"/>
  <c r="D363" i="20"/>
  <c r="A315" i="20"/>
  <c r="D313" i="20"/>
  <c r="D315" i="20"/>
  <c r="A331" i="20"/>
  <c r="D385" i="20"/>
  <c r="B385" i="20"/>
  <c r="D316" i="20"/>
  <c r="B353" i="20"/>
  <c r="B337" i="20"/>
  <c r="A363" i="20"/>
  <c r="B318" i="20"/>
  <c r="D350" i="20"/>
  <c r="D326" i="20"/>
  <c r="D193" i="20"/>
  <c r="B193" i="20"/>
  <c r="D192" i="20"/>
  <c r="B192" i="20"/>
  <c r="D191" i="20"/>
  <c r="B191" i="20"/>
  <c r="B367" i="20"/>
  <c r="D318" i="20"/>
  <c r="D366" i="20"/>
  <c r="D334" i="20"/>
  <c r="D319" i="20"/>
  <c r="B335" i="20"/>
  <c r="D348" i="20"/>
  <c r="B334" i="20"/>
  <c r="D332" i="20"/>
  <c r="D364" i="20"/>
  <c r="B321" i="20"/>
  <c r="B319" i="20"/>
  <c r="D380" i="20"/>
  <c r="B383" i="20"/>
  <c r="B305" i="20"/>
  <c r="D367" i="20"/>
  <c r="A382" i="20"/>
  <c r="D311" i="20"/>
  <c r="B381" i="20"/>
  <c r="B303" i="20"/>
  <c r="D300" i="20"/>
  <c r="D372" i="20"/>
  <c r="B369" i="20"/>
  <c r="B302" i="20"/>
  <c r="B290" i="20"/>
  <c r="B368" i="20"/>
  <c r="B352" i="20"/>
  <c r="B336" i="20"/>
  <c r="B382" i="20"/>
  <c r="A371" i="20"/>
  <c r="D374" i="20"/>
  <c r="B299" i="20"/>
  <c r="A290" i="20"/>
  <c r="B362" i="20"/>
  <c r="B346" i="20"/>
  <c r="B330" i="20"/>
  <c r="B314" i="20"/>
  <c r="B298" i="20"/>
  <c r="A339" i="20"/>
  <c r="A355" i="20"/>
  <c r="B377" i="20"/>
  <c r="B361" i="20"/>
  <c r="B345" i="20"/>
  <c r="B329" i="20"/>
  <c r="B297" i="20"/>
  <c r="B344" i="20"/>
  <c r="B296" i="20"/>
  <c r="D338" i="20"/>
  <c r="D339" i="20"/>
  <c r="B359" i="20"/>
  <c r="B327" i="20"/>
  <c r="B295" i="20"/>
  <c r="D373" i="20"/>
  <c r="A354" i="20"/>
  <c r="D303" i="20"/>
  <c r="A307" i="20"/>
  <c r="B294" i="20"/>
  <c r="D371" i="20"/>
  <c r="D307" i="20"/>
  <c r="D325" i="20"/>
  <c r="B357" i="20"/>
  <c r="B341" i="20"/>
  <c r="B309" i="20"/>
  <c r="B293" i="20"/>
  <c r="A370" i="20"/>
  <c r="B356" i="20"/>
  <c r="B308" i="20"/>
  <c r="B292" i="20"/>
  <c r="B323" i="20"/>
  <c r="B291" i="20"/>
  <c r="B354" i="20"/>
  <c r="B322" i="20"/>
  <c r="B384" i="20"/>
  <c r="D331" i="20"/>
  <c r="A347" i="20"/>
  <c r="A379" i="20"/>
  <c r="D347" i="20"/>
  <c r="D379" i="20"/>
  <c r="D383" i="20"/>
  <c r="A299" i="20"/>
  <c r="D355" i="20"/>
  <c r="D340" i="20"/>
  <c r="D324" i="20"/>
  <c r="A311" i="20"/>
  <c r="D328" i="20"/>
  <c r="D375" i="20"/>
  <c r="A291" i="20"/>
  <c r="A298" i="20"/>
  <c r="D312" i="20"/>
  <c r="D360" i="20"/>
  <c r="A314" i="20"/>
  <c r="D370" i="20"/>
  <c r="A346" i="20"/>
  <c r="D378" i="20"/>
  <c r="A362" i="20"/>
  <c r="A350" i="20"/>
  <c r="A330" i="20"/>
  <c r="A378" i="20"/>
  <c r="A294" i="20"/>
  <c r="A306" i="20"/>
  <c r="D376" i="20"/>
  <c r="A342" i="20"/>
  <c r="A335" i="20"/>
  <c r="A358" i="20"/>
  <c r="D343" i="20"/>
  <c r="D358" i="20"/>
  <c r="A366" i="20"/>
  <c r="A295" i="20"/>
  <c r="A338" i="20"/>
  <c r="D351" i="20"/>
  <c r="A359" i="20"/>
  <c r="A343" i="20"/>
  <c r="A351" i="20"/>
  <c r="A302" i="20"/>
  <c r="A310" i="20"/>
  <c r="A374" i="20"/>
  <c r="A375" i="20"/>
  <c r="A293" i="20"/>
  <c r="A297" i="20"/>
  <c r="A301" i="20"/>
  <c r="A305" i="20"/>
  <c r="A309" i="20"/>
  <c r="A313" i="20"/>
  <c r="A317" i="20"/>
  <c r="A321" i="20"/>
  <c r="A333" i="20"/>
  <c r="A337" i="20"/>
  <c r="A341" i="20"/>
  <c r="A345" i="20"/>
  <c r="A349" i="20"/>
  <c r="A353" i="20"/>
  <c r="A357" i="20"/>
  <c r="A361" i="20"/>
  <c r="A365" i="20"/>
  <c r="A369" i="20"/>
  <c r="A373" i="20"/>
  <c r="A377" i="20"/>
  <c r="A381" i="20"/>
  <c r="A292" i="20"/>
  <c r="A296" i="20"/>
  <c r="A300" i="20"/>
  <c r="A304" i="20"/>
  <c r="A308" i="20"/>
  <c r="A312" i="20"/>
  <c r="A316" i="20"/>
  <c r="A320" i="20"/>
  <c r="A332" i="20"/>
  <c r="A336" i="20"/>
  <c r="A340" i="20"/>
  <c r="A344" i="20"/>
  <c r="A348" i="20"/>
  <c r="A356" i="20"/>
  <c r="A360" i="20"/>
  <c r="A364" i="20"/>
  <c r="A368" i="20"/>
  <c r="A372" i="20"/>
  <c r="A376" i="20"/>
  <c r="A380" i="20"/>
  <c r="A384" i="2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2" i="7"/>
  <c r="B2" i="7" s="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C3" i="21"/>
  <c r="A3" i="21" s="1"/>
  <c r="C4" i="21"/>
  <c r="A4" i="21" s="1"/>
  <c r="C5" i="21"/>
  <c r="A5" i="21" s="1"/>
  <c r="C6" i="21"/>
  <c r="A6" i="21" s="1"/>
  <c r="C7" i="21"/>
  <c r="B7" i="21" s="1"/>
  <c r="C8" i="21"/>
  <c r="A8" i="21" s="1"/>
  <c r="C9" i="21"/>
  <c r="B9" i="21" s="1"/>
  <c r="C10" i="21"/>
  <c r="A10" i="21" s="1"/>
  <c r="C11" i="21"/>
  <c r="A11" i="21" s="1"/>
  <c r="C12" i="21"/>
  <c r="A12" i="21" s="1"/>
  <c r="C13" i="21"/>
  <c r="B13" i="21" s="1"/>
  <c r="C14" i="21"/>
  <c r="B14" i="21" s="1"/>
  <c r="C15" i="21"/>
  <c r="B15" i="21" s="1"/>
  <c r="C16" i="21"/>
  <c r="B16" i="21" s="1"/>
  <c r="C17" i="21"/>
  <c r="B17" i="21" s="1"/>
  <c r="C18" i="21"/>
  <c r="A18" i="21" s="1"/>
  <c r="C19" i="21"/>
  <c r="A19" i="21" s="1"/>
  <c r="C20" i="21"/>
  <c r="A20" i="21" s="1"/>
  <c r="C21" i="21"/>
  <c r="A21" i="21" s="1"/>
  <c r="C22" i="21"/>
  <c r="A22" i="21" s="1"/>
  <c r="C23" i="21"/>
  <c r="A23" i="21" s="1"/>
  <c r="C24" i="21"/>
  <c r="B24" i="21" s="1"/>
  <c r="C25" i="21"/>
  <c r="A25" i="21" s="1"/>
  <c r="C26" i="21"/>
  <c r="B26" i="21" s="1"/>
  <c r="C27" i="21"/>
  <c r="B27" i="21" s="1"/>
  <c r="C28" i="21"/>
  <c r="A28" i="21" s="1"/>
  <c r="C29" i="21"/>
  <c r="A29" i="21" s="1"/>
  <c r="C30" i="21"/>
  <c r="B30" i="21" s="1"/>
  <c r="C31" i="21"/>
  <c r="A31" i="21" s="1"/>
  <c r="C32" i="21"/>
  <c r="C33" i="21"/>
  <c r="C34" i="21"/>
  <c r="C35" i="21"/>
  <c r="A35" i="21" s="1"/>
  <c r="C36" i="21"/>
  <c r="A36" i="21" s="1"/>
  <c r="C37" i="21"/>
  <c r="C38" i="21"/>
  <c r="A38" i="21" s="1"/>
  <c r="C39" i="21"/>
  <c r="B39" i="21" s="1"/>
  <c r="C40" i="21"/>
  <c r="A40" i="21" s="1"/>
  <c r="C41" i="21"/>
  <c r="C42" i="21"/>
  <c r="A42" i="21" s="1"/>
  <c r="C43" i="21"/>
  <c r="A43" i="21" s="1"/>
  <c r="C44" i="21"/>
  <c r="A44" i="21" s="1"/>
  <c r="C45" i="21"/>
  <c r="A45" i="21" s="1"/>
  <c r="C46" i="21"/>
  <c r="B46" i="21" s="1"/>
  <c r="C47" i="21"/>
  <c r="D47" i="21" s="1"/>
  <c r="C48" i="21"/>
  <c r="B48" i="21" s="1"/>
  <c r="C49" i="21"/>
  <c r="A49" i="21" s="1"/>
  <c r="C50" i="21"/>
  <c r="D50" i="21" s="1"/>
  <c r="C51" i="21"/>
  <c r="A51" i="21" s="1"/>
  <c r="C52" i="21"/>
  <c r="A52" i="21" s="1"/>
  <c r="C53" i="21"/>
  <c r="B53" i="21" s="1"/>
  <c r="C54" i="21"/>
  <c r="A54" i="21" s="1"/>
  <c r="C55" i="21"/>
  <c r="A55" i="21" s="1"/>
  <c r="C56" i="21"/>
  <c r="D56" i="21" s="1"/>
  <c r="C57" i="21"/>
  <c r="A57" i="21" s="1"/>
  <c r="C58" i="21"/>
  <c r="A58" i="21" s="1"/>
  <c r="C59" i="21"/>
  <c r="A59" i="21" s="1"/>
  <c r="C60" i="21"/>
  <c r="A60" i="21" s="1"/>
  <c r="C61" i="21"/>
  <c r="A61" i="21" s="1"/>
  <c r="C62" i="21"/>
  <c r="B62" i="21" s="1"/>
  <c r="C63" i="21"/>
  <c r="A63" i="21" s="1"/>
  <c r="C64" i="21"/>
  <c r="D64" i="21" s="1"/>
  <c r="C65" i="21"/>
  <c r="D65" i="21" s="1"/>
  <c r="C66" i="21"/>
  <c r="D66" i="21" s="1"/>
  <c r="C67" i="21"/>
  <c r="A67" i="21" s="1"/>
  <c r="C68" i="21"/>
  <c r="A68" i="21" s="1"/>
  <c r="C69" i="21"/>
  <c r="A69" i="21" s="1"/>
  <c r="C70" i="21"/>
  <c r="B70" i="21" s="1"/>
  <c r="C71" i="21"/>
  <c r="A71" i="21" s="1"/>
  <c r="C72" i="21"/>
  <c r="B72" i="21" s="1"/>
  <c r="C73" i="21"/>
  <c r="A73" i="21" s="1"/>
  <c r="C74" i="21"/>
  <c r="D74" i="21" s="1"/>
  <c r="C75" i="21"/>
  <c r="A75" i="21" s="1"/>
  <c r="C76" i="21"/>
  <c r="A76" i="21" s="1"/>
  <c r="C77" i="21"/>
  <c r="A77" i="21" s="1"/>
  <c r="C78" i="21"/>
  <c r="B78" i="21" s="1"/>
  <c r="C79" i="21"/>
  <c r="A79" i="21" s="1"/>
  <c r="C80" i="21"/>
  <c r="D80" i="21" s="1"/>
  <c r="C81" i="21"/>
  <c r="D81" i="21" s="1"/>
  <c r="C82" i="21"/>
  <c r="D82" i="21" s="1"/>
  <c r="C83" i="21"/>
  <c r="A83" i="21" s="1"/>
  <c r="C84" i="21"/>
  <c r="A84" i="21" s="1"/>
  <c r="C85" i="21"/>
  <c r="D85" i="21" s="1"/>
  <c r="C86" i="21"/>
  <c r="B86" i="21" s="1"/>
  <c r="C87" i="21"/>
  <c r="B87" i="21" s="1"/>
  <c r="C88" i="21"/>
  <c r="B88" i="21" s="1"/>
  <c r="C89" i="21"/>
  <c r="A89" i="21" s="1"/>
  <c r="C90" i="21"/>
  <c r="D90" i="21" s="1"/>
  <c r="C91" i="21"/>
  <c r="D91" i="21" s="1"/>
  <c r="C92" i="21"/>
  <c r="A92" i="21" s="1"/>
  <c r="C93" i="21"/>
  <c r="D93" i="21" s="1"/>
  <c r="C94" i="21"/>
  <c r="D94" i="21" s="1"/>
  <c r="C95" i="21"/>
  <c r="D95" i="21" s="1"/>
  <c r="C96" i="21"/>
  <c r="D96" i="21" s="1"/>
  <c r="C97" i="21"/>
  <c r="D97" i="21" s="1"/>
  <c r="C2" i="21"/>
  <c r="A2" i="21" s="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B29" i="21" l="1"/>
  <c r="D67" i="21"/>
  <c r="D44" i="21"/>
  <c r="B25" i="21"/>
  <c r="D62" i="21"/>
  <c r="D45" i="21"/>
  <c r="D89" i="21"/>
  <c r="D73" i="21"/>
  <c r="D71" i="21"/>
  <c r="D70" i="21"/>
  <c r="D68" i="21"/>
  <c r="B52" i="21"/>
  <c r="D51" i="21"/>
  <c r="B71" i="21"/>
  <c r="D92" i="21"/>
  <c r="B12" i="21"/>
  <c r="B8" i="21"/>
  <c r="A7" i="21"/>
  <c r="B6" i="21"/>
  <c r="B5" i="21"/>
  <c r="B4" i="21"/>
  <c r="B3" i="21"/>
  <c r="D57" i="21"/>
  <c r="A24" i="21"/>
  <c r="D77" i="21"/>
  <c r="D76" i="21"/>
  <c r="D61" i="21"/>
  <c r="D60" i="21"/>
  <c r="D59" i="21"/>
  <c r="A9" i="21"/>
  <c r="B77" i="21"/>
  <c r="D55" i="21"/>
  <c r="D78" i="21"/>
  <c r="B79" i="21"/>
  <c r="D54" i="21"/>
  <c r="B55" i="21"/>
  <c r="B57" i="21"/>
  <c r="D52" i="21"/>
  <c r="B40" i="21"/>
  <c r="B38" i="21"/>
  <c r="A86" i="21"/>
  <c r="D83" i="21"/>
  <c r="D75" i="21"/>
  <c r="D53" i="21"/>
  <c r="B36" i="21"/>
  <c r="A37" i="21"/>
  <c r="B41" i="21"/>
  <c r="A39" i="21"/>
  <c r="A41" i="21"/>
  <c r="A26" i="21"/>
  <c r="A27" i="21"/>
  <c r="B23" i="21"/>
  <c r="B22" i="21"/>
  <c r="B21" i="21"/>
  <c r="B20" i="21"/>
  <c r="B19" i="21"/>
  <c r="B18" i="21"/>
  <c r="B11" i="21"/>
  <c r="B10" i="21"/>
  <c r="A13" i="21"/>
  <c r="A14" i="21"/>
  <c r="A15" i="21"/>
  <c r="A16" i="21"/>
  <c r="A17" i="21"/>
  <c r="A90" i="21"/>
  <c r="A91" i="21"/>
  <c r="A93" i="21"/>
  <c r="A94" i="21"/>
  <c r="B90" i="21"/>
  <c r="A95" i="21"/>
  <c r="A96" i="21"/>
  <c r="A97" i="21"/>
  <c r="A87" i="21"/>
  <c r="A88" i="21"/>
  <c r="D88" i="21"/>
  <c r="D87" i="21"/>
  <c r="B84" i="21"/>
  <c r="D86" i="21"/>
  <c r="A85" i="21"/>
  <c r="D84" i="21"/>
  <c r="A82" i="21"/>
  <c r="A56" i="21"/>
  <c r="A72" i="21"/>
  <c r="D72" i="21"/>
  <c r="A70" i="21"/>
  <c r="D69" i="21"/>
  <c r="B42" i="21"/>
  <c r="B56" i="21"/>
  <c r="A46" i="21"/>
  <c r="A62" i="21"/>
  <c r="A78" i="21"/>
  <c r="B58" i="21"/>
  <c r="A47" i="21"/>
  <c r="A74" i="21"/>
  <c r="D58" i="21"/>
  <c r="A48" i="21"/>
  <c r="A64" i="21"/>
  <c r="A80" i="21"/>
  <c r="A65" i="21"/>
  <c r="A81" i="21"/>
  <c r="A50" i="21"/>
  <c r="A66" i="21"/>
  <c r="B74" i="21"/>
  <c r="A53" i="21"/>
  <c r="A32" i="21"/>
  <c r="A33" i="21"/>
  <c r="A30" i="21"/>
  <c r="A34" i="21"/>
  <c r="D49" i="21"/>
  <c r="D48" i="21"/>
  <c r="B37" i="21"/>
  <c r="D79" i="21"/>
  <c r="D63" i="21"/>
  <c r="B31" i="21"/>
  <c r="D46" i="21"/>
  <c r="B54" i="21"/>
  <c r="B63" i="21"/>
  <c r="B73" i="21"/>
  <c r="B47" i="21"/>
  <c r="B68" i="21"/>
  <c r="B89" i="21"/>
  <c r="B32" i="21"/>
  <c r="B97" i="21"/>
  <c r="B64" i="21"/>
  <c r="B33" i="21"/>
  <c r="B49" i="21"/>
  <c r="B94" i="21"/>
  <c r="B82" i="21"/>
  <c r="B93" i="21"/>
  <c r="B34" i="21"/>
  <c r="B45" i="21"/>
  <c r="B69" i="21"/>
  <c r="B50" i="21"/>
  <c r="B65" i="21"/>
  <c r="B61" i="21"/>
  <c r="B80" i="21"/>
  <c r="B85" i="21"/>
  <c r="B95" i="21"/>
  <c r="B66" i="21"/>
  <c r="B81" i="21"/>
  <c r="B96" i="21"/>
  <c r="B2" i="21"/>
  <c r="B43" i="21"/>
  <c r="B59" i="21"/>
  <c r="B75" i="21"/>
  <c r="B91" i="21"/>
  <c r="B28" i="21"/>
  <c r="B44" i="21"/>
  <c r="B60" i="21"/>
  <c r="B76" i="21"/>
  <c r="B92" i="21"/>
  <c r="B35" i="21"/>
  <c r="B51" i="21"/>
  <c r="B67" i="21"/>
  <c r="B83" i="21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A28" i="3" s="1"/>
  <c r="C29" i="3"/>
  <c r="A29" i="3" s="1"/>
  <c r="C30" i="3"/>
  <c r="A30" i="3" s="1"/>
  <c r="C31" i="3"/>
  <c r="A31" i="3" s="1"/>
  <c r="C32" i="3"/>
  <c r="A32" i="3" s="1"/>
  <c r="C33" i="3"/>
  <c r="A33" i="3" s="1"/>
  <c r="C34" i="3"/>
  <c r="A34" i="3" s="1"/>
  <c r="C35" i="3"/>
  <c r="A35" i="3" s="1"/>
  <c r="C36" i="3"/>
  <c r="A36" i="3" s="1"/>
  <c r="C37" i="3"/>
  <c r="A37" i="3" s="1"/>
  <c r="C38" i="3"/>
  <c r="A38" i="3" s="1"/>
  <c r="C39" i="3"/>
  <c r="A39" i="3" s="1"/>
  <c r="C40" i="3"/>
  <c r="A40" i="3" s="1"/>
  <c r="C41" i="3"/>
  <c r="A41" i="3" s="1"/>
  <c r="C42" i="3"/>
  <c r="A42" i="3" s="1"/>
  <c r="C43" i="3"/>
  <c r="A43" i="3" s="1"/>
  <c r="C44" i="3"/>
  <c r="A44" i="3" s="1"/>
  <c r="C45" i="3"/>
  <c r="A45" i="3" s="1"/>
  <c r="C46" i="3"/>
  <c r="A46" i="3" s="1"/>
  <c r="C47" i="3"/>
  <c r="A47" i="3" s="1"/>
  <c r="C48" i="3"/>
  <c r="A48" i="3" s="1"/>
  <c r="C49" i="3"/>
  <c r="A49" i="3" s="1"/>
  <c r="C50" i="3"/>
  <c r="A50" i="3" s="1"/>
  <c r="C51" i="3"/>
  <c r="A51" i="3" s="1"/>
  <c r="C52" i="3"/>
  <c r="A52" i="3" s="1"/>
  <c r="C53" i="3"/>
  <c r="A53" i="3" s="1"/>
  <c r="C54" i="3"/>
  <c r="A54" i="3" s="1"/>
  <c r="C55" i="3"/>
  <c r="A55" i="3" s="1"/>
  <c r="C56" i="3"/>
  <c r="A56" i="3" s="1"/>
  <c r="C57" i="3"/>
  <c r="A57" i="3" s="1"/>
  <c r="C58" i="3"/>
  <c r="A58" i="3" s="1"/>
  <c r="C59" i="3"/>
  <c r="A59" i="3" s="1"/>
  <c r="C60" i="3"/>
  <c r="A60" i="3" s="1"/>
  <c r="C61" i="3"/>
  <c r="A61" i="3" s="1"/>
  <c r="C62" i="3"/>
  <c r="A62" i="3" s="1"/>
  <c r="C63" i="3"/>
  <c r="A63" i="3" s="1"/>
  <c r="C64" i="3"/>
  <c r="A64" i="3" s="1"/>
  <c r="C65" i="3"/>
  <c r="A65" i="3" s="1"/>
  <c r="C66" i="3"/>
  <c r="A66" i="3" s="1"/>
  <c r="C67" i="3"/>
  <c r="A67" i="3" s="1"/>
  <c r="C68" i="3"/>
  <c r="A68" i="3" s="1"/>
  <c r="C69" i="3"/>
  <c r="A69" i="3" s="1"/>
  <c r="C70" i="3"/>
  <c r="A70" i="3" s="1"/>
  <c r="C71" i="3"/>
  <c r="A71" i="3" s="1"/>
  <c r="C72" i="3"/>
  <c r="A72" i="3" s="1"/>
  <c r="C73" i="3"/>
  <c r="A73" i="3" s="1"/>
  <c r="C74" i="3"/>
  <c r="A74" i="3" s="1"/>
  <c r="C75" i="3"/>
  <c r="A75" i="3" s="1"/>
  <c r="C76" i="3"/>
  <c r="A76" i="3" s="1"/>
  <c r="C77" i="3"/>
  <c r="A77" i="3" s="1"/>
  <c r="C78" i="3"/>
  <c r="A78" i="3" s="1"/>
  <c r="C79" i="3"/>
  <c r="A79" i="3" s="1"/>
  <c r="C80" i="3"/>
  <c r="A80" i="3" s="1"/>
  <c r="C81" i="3"/>
  <c r="A81" i="3" s="1"/>
  <c r="C82" i="3"/>
  <c r="A82" i="3" s="1"/>
  <c r="C83" i="3"/>
  <c r="A83" i="3" s="1"/>
  <c r="C84" i="3"/>
  <c r="A84" i="3" s="1"/>
  <c r="C85" i="3"/>
  <c r="A85" i="3" s="1"/>
  <c r="C86" i="3"/>
  <c r="A86" i="3" s="1"/>
  <c r="C87" i="3"/>
  <c r="A87" i="3" s="1"/>
  <c r="C88" i="3"/>
  <c r="A88" i="3" s="1"/>
  <c r="C89" i="3"/>
  <c r="A89" i="3" s="1"/>
  <c r="C90" i="3"/>
  <c r="A90" i="3" s="1"/>
  <c r="C91" i="3"/>
  <c r="A91" i="3" s="1"/>
  <c r="C92" i="3"/>
  <c r="A92" i="3" s="1"/>
  <c r="C93" i="3"/>
  <c r="A93" i="3" s="1"/>
  <c r="C94" i="3"/>
  <c r="A94" i="3" s="1"/>
  <c r="C95" i="3"/>
  <c r="A95" i="3" s="1"/>
  <c r="C96" i="3"/>
  <c r="A96" i="3" s="1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8" i="7"/>
  <c r="A29" i="7"/>
  <c r="A30" i="7"/>
  <c r="A31" i="7"/>
  <c r="A32" i="7"/>
  <c r="A33" i="7"/>
  <c r="A34" i="7"/>
  <c r="A35" i="7"/>
  <c r="C195" i="20" l="1"/>
  <c r="D195" i="20" s="1"/>
  <c r="C196" i="20"/>
  <c r="C197" i="20"/>
  <c r="D197" i="20" s="1"/>
  <c r="C198" i="20"/>
  <c r="D198" i="20" s="1"/>
  <c r="C199" i="20"/>
  <c r="C200" i="20"/>
  <c r="C201" i="20"/>
  <c r="D201" i="20" s="1"/>
  <c r="C202" i="20"/>
  <c r="D202" i="20" s="1"/>
  <c r="C203" i="20"/>
  <c r="D203" i="20" s="1"/>
  <c r="C204" i="20"/>
  <c r="D204" i="20" s="1"/>
  <c r="C205" i="20"/>
  <c r="C206" i="20"/>
  <c r="D206" i="20" s="1"/>
  <c r="C207" i="20"/>
  <c r="C208" i="20"/>
  <c r="C209" i="20"/>
  <c r="D209" i="20" s="1"/>
  <c r="C210" i="20"/>
  <c r="C211" i="20"/>
  <c r="D211" i="20" s="1"/>
  <c r="C212" i="20"/>
  <c r="C213" i="20"/>
  <c r="D213" i="20" s="1"/>
  <c r="C214" i="20"/>
  <c r="D214" i="20" s="1"/>
  <c r="C215" i="20"/>
  <c r="C216" i="20"/>
  <c r="C217" i="20"/>
  <c r="D217" i="20" s="1"/>
  <c r="C218" i="20"/>
  <c r="D218" i="20" s="1"/>
  <c r="C219" i="20"/>
  <c r="D219" i="20" s="1"/>
  <c r="C220" i="20"/>
  <c r="D220" i="20" s="1"/>
  <c r="C221" i="20"/>
  <c r="C222" i="20"/>
  <c r="C223" i="20"/>
  <c r="C224" i="20"/>
  <c r="C225" i="20"/>
  <c r="C226" i="20"/>
  <c r="C227" i="20"/>
  <c r="D227" i="20" s="1"/>
  <c r="C228" i="20"/>
  <c r="C229" i="20"/>
  <c r="D229" i="20" s="1"/>
  <c r="C230" i="20"/>
  <c r="D230" i="20" s="1"/>
  <c r="C231" i="20"/>
  <c r="C232" i="20"/>
  <c r="C233" i="20"/>
  <c r="D233" i="20" s="1"/>
  <c r="C234" i="20"/>
  <c r="D234" i="20" s="1"/>
  <c r="C235" i="20"/>
  <c r="D235" i="20" s="1"/>
  <c r="C236" i="20"/>
  <c r="C237" i="20"/>
  <c r="C238" i="20"/>
  <c r="D238" i="20" s="1"/>
  <c r="C239" i="20"/>
  <c r="C240" i="20"/>
  <c r="C241" i="20"/>
  <c r="D241" i="20" s="1"/>
  <c r="C242" i="20"/>
  <c r="D242" i="20" s="1"/>
  <c r="C243" i="20"/>
  <c r="D243" i="20" s="1"/>
  <c r="C244" i="20"/>
  <c r="C245" i="20"/>
  <c r="D245" i="20" s="1"/>
  <c r="C246" i="20"/>
  <c r="D246" i="20" s="1"/>
  <c r="C247" i="20"/>
  <c r="C248" i="20"/>
  <c r="C249" i="20"/>
  <c r="D249" i="20" s="1"/>
  <c r="C250" i="20"/>
  <c r="D250" i="20" s="1"/>
  <c r="C251" i="20"/>
  <c r="C252" i="20"/>
  <c r="C253" i="20"/>
  <c r="C254" i="20"/>
  <c r="C255" i="20"/>
  <c r="C256" i="20"/>
  <c r="C257" i="20"/>
  <c r="C258" i="20"/>
  <c r="C259" i="20"/>
  <c r="D259" i="20" s="1"/>
  <c r="C260" i="20"/>
  <c r="C261" i="20"/>
  <c r="D261" i="20" s="1"/>
  <c r="C262" i="20"/>
  <c r="D262" i="20" s="1"/>
  <c r="C263" i="20"/>
  <c r="C264" i="20"/>
  <c r="C265" i="20"/>
  <c r="D265" i="20" s="1"/>
  <c r="C266" i="20"/>
  <c r="D266" i="20" s="1"/>
  <c r="C267" i="20"/>
  <c r="D267" i="20" s="1"/>
  <c r="C268" i="20"/>
  <c r="C269" i="20"/>
  <c r="C270" i="20"/>
  <c r="C271" i="20"/>
  <c r="C272" i="20"/>
  <c r="C273" i="20"/>
  <c r="C274" i="20"/>
  <c r="D274" i="20" s="1"/>
  <c r="C275" i="20"/>
  <c r="D275" i="20" s="1"/>
  <c r="C276" i="20"/>
  <c r="C277" i="20"/>
  <c r="D277" i="20" s="1"/>
  <c r="C278" i="20"/>
  <c r="D278" i="20" s="1"/>
  <c r="C279" i="20"/>
  <c r="C280" i="20"/>
  <c r="C281" i="20"/>
  <c r="C282" i="20"/>
  <c r="C283" i="20"/>
  <c r="C284" i="20"/>
  <c r="C285" i="20"/>
  <c r="C286" i="20"/>
  <c r="D286" i="20" s="1"/>
  <c r="C287" i="20"/>
  <c r="C194" i="20"/>
  <c r="C99" i="20"/>
  <c r="D99" i="20" s="1"/>
  <c r="C100" i="20"/>
  <c r="D100" i="20" s="1"/>
  <c r="C101" i="20"/>
  <c r="C102" i="20"/>
  <c r="D102" i="20" s="1"/>
  <c r="C103" i="20"/>
  <c r="C104" i="20"/>
  <c r="C105" i="20"/>
  <c r="D105" i="20" s="1"/>
  <c r="C106" i="20"/>
  <c r="C107" i="20"/>
  <c r="C108" i="20"/>
  <c r="C109" i="20"/>
  <c r="D109" i="20" s="1"/>
  <c r="C110" i="20"/>
  <c r="C111" i="20"/>
  <c r="C112" i="20"/>
  <c r="C113" i="20"/>
  <c r="D113" i="20" s="1"/>
  <c r="C114" i="20"/>
  <c r="C115" i="20"/>
  <c r="D115" i="20" s="1"/>
  <c r="C116" i="20"/>
  <c r="C117" i="20"/>
  <c r="C118" i="20"/>
  <c r="D118" i="20" s="1"/>
  <c r="C119" i="20"/>
  <c r="C120" i="20"/>
  <c r="C121" i="20"/>
  <c r="C122" i="20"/>
  <c r="C123" i="20"/>
  <c r="C124" i="20"/>
  <c r="C125" i="20"/>
  <c r="C126" i="20"/>
  <c r="D126" i="20" s="1"/>
  <c r="C127" i="20"/>
  <c r="D127" i="20" s="1"/>
  <c r="C128" i="20"/>
  <c r="D128" i="20" s="1"/>
  <c r="C129" i="20"/>
  <c r="D129" i="20" s="1"/>
  <c r="C130" i="20"/>
  <c r="C131" i="20"/>
  <c r="D131" i="20" s="1"/>
  <c r="C132" i="20"/>
  <c r="D132" i="20" s="1"/>
  <c r="C133" i="20"/>
  <c r="D133" i="20" s="1"/>
  <c r="C134" i="20"/>
  <c r="D134" i="20" s="1"/>
  <c r="C135" i="20"/>
  <c r="C136" i="20"/>
  <c r="C137" i="20"/>
  <c r="D137" i="20" s="1"/>
  <c r="C138" i="20"/>
  <c r="D138" i="20" s="1"/>
  <c r="C139" i="20"/>
  <c r="C140" i="20"/>
  <c r="C141" i="20"/>
  <c r="D141" i="20" s="1"/>
  <c r="C142" i="20"/>
  <c r="C143" i="20"/>
  <c r="D143" i="20" s="1"/>
  <c r="C144" i="20"/>
  <c r="C145" i="20"/>
  <c r="D145" i="20" s="1"/>
  <c r="C146" i="20"/>
  <c r="C147" i="20"/>
  <c r="D147" i="20" s="1"/>
  <c r="C148" i="20"/>
  <c r="C149" i="20"/>
  <c r="C150" i="20"/>
  <c r="D150" i="20" s="1"/>
  <c r="C151" i="20"/>
  <c r="C152" i="20"/>
  <c r="C153" i="20"/>
  <c r="D153" i="20" s="1"/>
  <c r="C154" i="20"/>
  <c r="C155" i="20"/>
  <c r="C156" i="20"/>
  <c r="C157" i="20"/>
  <c r="C158" i="20"/>
  <c r="C159" i="20"/>
  <c r="D159" i="20" s="1"/>
  <c r="C160" i="20"/>
  <c r="C161" i="20"/>
  <c r="D161" i="20" s="1"/>
  <c r="C162" i="20"/>
  <c r="C163" i="20"/>
  <c r="D163" i="20" s="1"/>
  <c r="C164" i="20"/>
  <c r="D164" i="20" s="1"/>
  <c r="C165" i="20"/>
  <c r="C166" i="20"/>
  <c r="D166" i="20" s="1"/>
  <c r="C167" i="20"/>
  <c r="C168" i="20"/>
  <c r="C169" i="20"/>
  <c r="D169" i="20" s="1"/>
  <c r="C170" i="20"/>
  <c r="C171" i="20"/>
  <c r="C172" i="20"/>
  <c r="C173" i="20"/>
  <c r="C174" i="20"/>
  <c r="D174" i="20" s="1"/>
  <c r="C175" i="20"/>
  <c r="C176" i="20"/>
  <c r="C177" i="20"/>
  <c r="C178" i="20"/>
  <c r="C179" i="20"/>
  <c r="D179" i="20" s="1"/>
  <c r="C180" i="20"/>
  <c r="C181" i="20"/>
  <c r="C182" i="20"/>
  <c r="D182" i="20" s="1"/>
  <c r="C183" i="20"/>
  <c r="C184" i="20"/>
  <c r="C185" i="20"/>
  <c r="D185" i="20" s="1"/>
  <c r="C186" i="20"/>
  <c r="C187" i="20"/>
  <c r="C188" i="20"/>
  <c r="C189" i="20"/>
  <c r="C190" i="20"/>
  <c r="C98" i="20"/>
  <c r="D98" i="20" s="1"/>
  <c r="C3" i="20"/>
  <c r="D3" i="20" s="1"/>
  <c r="C4" i="20"/>
  <c r="A4" i="20" s="1"/>
  <c r="C5" i="20"/>
  <c r="C6" i="20"/>
  <c r="C7" i="20"/>
  <c r="C8" i="20"/>
  <c r="C9" i="20"/>
  <c r="C10" i="20"/>
  <c r="C11" i="20"/>
  <c r="B11" i="20" s="1"/>
  <c r="C12" i="20"/>
  <c r="C13" i="20"/>
  <c r="C14" i="20"/>
  <c r="A14" i="20" s="1"/>
  <c r="C15" i="20"/>
  <c r="B15" i="20" s="1"/>
  <c r="C16" i="20"/>
  <c r="D16" i="20" s="1"/>
  <c r="C17" i="20"/>
  <c r="C18" i="20"/>
  <c r="C19" i="20"/>
  <c r="A19" i="20" s="1"/>
  <c r="C20" i="20"/>
  <c r="D20" i="20" s="1"/>
  <c r="C21" i="20"/>
  <c r="C22" i="20"/>
  <c r="C23" i="20"/>
  <c r="C24" i="20"/>
  <c r="C25" i="20"/>
  <c r="C26" i="20"/>
  <c r="C27" i="20"/>
  <c r="B27" i="20" s="1"/>
  <c r="C28" i="20"/>
  <c r="C29" i="20"/>
  <c r="C30" i="20"/>
  <c r="A30" i="20" s="1"/>
  <c r="C31" i="20"/>
  <c r="C32" i="20"/>
  <c r="D32" i="20" s="1"/>
  <c r="C33" i="20"/>
  <c r="B33" i="20" s="1"/>
  <c r="C34" i="20"/>
  <c r="C35" i="20"/>
  <c r="C36" i="20"/>
  <c r="C37" i="20"/>
  <c r="C38" i="20"/>
  <c r="C39" i="20"/>
  <c r="C40" i="20"/>
  <c r="C41" i="20"/>
  <c r="C42" i="20"/>
  <c r="A42" i="20" s="1"/>
  <c r="C43" i="20"/>
  <c r="B43" i="20" s="1"/>
  <c r="C44" i="20"/>
  <c r="A44" i="20" s="1"/>
  <c r="C45" i="20"/>
  <c r="A45" i="20" s="1"/>
  <c r="C46" i="20"/>
  <c r="A46" i="20" s="1"/>
  <c r="C47" i="20"/>
  <c r="A47" i="20" s="1"/>
  <c r="C48" i="20"/>
  <c r="D48" i="20" s="1"/>
  <c r="C49" i="20"/>
  <c r="C50" i="20"/>
  <c r="C51" i="20"/>
  <c r="C52" i="20"/>
  <c r="D52" i="20" s="1"/>
  <c r="C53" i="20"/>
  <c r="C54" i="20"/>
  <c r="C55" i="20"/>
  <c r="C56" i="20"/>
  <c r="A56" i="20" s="1"/>
  <c r="C57" i="20"/>
  <c r="A57" i="20" s="1"/>
  <c r="C58" i="20"/>
  <c r="A58" i="20" s="1"/>
  <c r="C59" i="20"/>
  <c r="B59" i="20" s="1"/>
  <c r="C60" i="20"/>
  <c r="A60" i="20" s="1"/>
  <c r="C61" i="20"/>
  <c r="A61" i="20" s="1"/>
  <c r="C62" i="20"/>
  <c r="C63" i="20"/>
  <c r="A63" i="20" s="1"/>
  <c r="C64" i="20"/>
  <c r="D64" i="20" s="1"/>
  <c r="C65" i="20"/>
  <c r="A65" i="20" s="1"/>
  <c r="C66" i="20"/>
  <c r="C67" i="20"/>
  <c r="A67" i="20" s="1"/>
  <c r="C68" i="20"/>
  <c r="C69" i="20"/>
  <c r="C70" i="20"/>
  <c r="C71" i="20"/>
  <c r="C72" i="20"/>
  <c r="A72" i="20" s="1"/>
  <c r="C73" i="20"/>
  <c r="A73" i="20" s="1"/>
  <c r="C74" i="20"/>
  <c r="A74" i="20" s="1"/>
  <c r="C75" i="20"/>
  <c r="B75" i="20" s="1"/>
  <c r="C76" i="20"/>
  <c r="A76" i="20" s="1"/>
  <c r="C77" i="20"/>
  <c r="A77" i="20" s="1"/>
  <c r="C78" i="20"/>
  <c r="A78" i="20" s="1"/>
  <c r="C79" i="20"/>
  <c r="A79" i="20" s="1"/>
  <c r="C80" i="20"/>
  <c r="D80" i="20" s="1"/>
  <c r="C81" i="20"/>
  <c r="A81" i="20" s="1"/>
  <c r="C82" i="20"/>
  <c r="C83" i="20"/>
  <c r="A83" i="20" s="1"/>
  <c r="C84" i="20"/>
  <c r="D84" i="20" s="1"/>
  <c r="C85" i="20"/>
  <c r="C86" i="20"/>
  <c r="C87" i="20"/>
  <c r="C88" i="20"/>
  <c r="A88" i="20" s="1"/>
  <c r="C89" i="20"/>
  <c r="A89" i="20" s="1"/>
  <c r="C90" i="20"/>
  <c r="A90" i="20" s="1"/>
  <c r="C91" i="20"/>
  <c r="B91" i="20" s="1"/>
  <c r="C92" i="20"/>
  <c r="A92" i="20" s="1"/>
  <c r="C93" i="20"/>
  <c r="A93" i="20" s="1"/>
  <c r="C94" i="20"/>
  <c r="A94" i="20" s="1"/>
  <c r="C95" i="20"/>
  <c r="A95" i="20" s="1"/>
  <c r="C96" i="20"/>
  <c r="D96" i="20" s="1"/>
  <c r="C97" i="20"/>
  <c r="A97" i="20" s="1"/>
  <c r="C2" i="20"/>
  <c r="A2" i="20" s="1"/>
  <c r="B4" i="20" l="1"/>
  <c r="B95" i="20"/>
  <c r="B78" i="20"/>
  <c r="B67" i="20"/>
  <c r="B14" i="20"/>
  <c r="D67" i="20"/>
  <c r="D35" i="20"/>
  <c r="B258" i="20"/>
  <c r="A258" i="20"/>
  <c r="B190" i="20"/>
  <c r="A190" i="20"/>
  <c r="B226" i="20"/>
  <c r="A210" i="20"/>
  <c r="B210" i="20"/>
  <c r="D25" i="20"/>
  <c r="D9" i="20"/>
  <c r="A189" i="20"/>
  <c r="B189" i="20"/>
  <c r="A173" i="20"/>
  <c r="B173" i="20"/>
  <c r="D157" i="20"/>
  <c r="B157" i="20"/>
  <c r="A157" i="20"/>
  <c r="B141" i="20"/>
  <c r="A141" i="20"/>
  <c r="B125" i="20"/>
  <c r="A125" i="20"/>
  <c r="B109" i="20"/>
  <c r="A109" i="20"/>
  <c r="B273" i="20"/>
  <c r="A273" i="20"/>
  <c r="A257" i="20"/>
  <c r="B257" i="20"/>
  <c r="B241" i="20"/>
  <c r="A225" i="20"/>
  <c r="B225" i="20"/>
  <c r="A209" i="20"/>
  <c r="B209" i="20"/>
  <c r="D26" i="20"/>
  <c r="A26" i="20"/>
  <c r="B110" i="20"/>
  <c r="A110" i="20"/>
  <c r="D156" i="20"/>
  <c r="A156" i="20"/>
  <c r="B156" i="20"/>
  <c r="D256" i="20"/>
  <c r="B256" i="20"/>
  <c r="A256" i="20"/>
  <c r="D71" i="20"/>
  <c r="A71" i="20"/>
  <c r="D23" i="20"/>
  <c r="A23" i="20"/>
  <c r="B65" i="20"/>
  <c r="A187" i="20"/>
  <c r="B187" i="20"/>
  <c r="A171" i="20"/>
  <c r="B171" i="20"/>
  <c r="A155" i="20"/>
  <c r="B155" i="20"/>
  <c r="D139" i="20"/>
  <c r="B139" i="20"/>
  <c r="A139" i="20"/>
  <c r="B123" i="20"/>
  <c r="A123" i="20"/>
  <c r="D107" i="20"/>
  <c r="B107" i="20"/>
  <c r="A107" i="20"/>
  <c r="D287" i="20"/>
  <c r="A287" i="20"/>
  <c r="B287" i="20"/>
  <c r="D271" i="20"/>
  <c r="A271" i="20"/>
  <c r="B271" i="20"/>
  <c r="D255" i="20"/>
  <c r="A255" i="20"/>
  <c r="B255" i="20"/>
  <c r="D239" i="20"/>
  <c r="A239" i="20"/>
  <c r="B239" i="20"/>
  <c r="D223" i="20"/>
  <c r="A223" i="20"/>
  <c r="B223" i="20"/>
  <c r="D207" i="20"/>
  <c r="A207" i="20"/>
  <c r="B207" i="20"/>
  <c r="D10" i="20"/>
  <c r="A10" i="20"/>
  <c r="B24" i="20"/>
  <c r="A24" i="20"/>
  <c r="D140" i="20"/>
  <c r="B140" i="20"/>
  <c r="A140" i="20"/>
  <c r="D272" i="20"/>
  <c r="B272" i="20"/>
  <c r="A272" i="20"/>
  <c r="D208" i="20"/>
  <c r="A208" i="20"/>
  <c r="B208" i="20"/>
  <c r="D39" i="20"/>
  <c r="D70" i="20"/>
  <c r="A70" i="20"/>
  <c r="D38" i="20"/>
  <c r="D22" i="20"/>
  <c r="A22" i="20"/>
  <c r="B63" i="20"/>
  <c r="D88" i="20"/>
  <c r="D19" i="20"/>
  <c r="A186" i="20"/>
  <c r="B186" i="20"/>
  <c r="D170" i="20"/>
  <c r="A170" i="20"/>
  <c r="B170" i="20"/>
  <c r="D154" i="20"/>
  <c r="A154" i="20"/>
  <c r="B154" i="20"/>
  <c r="B138" i="20"/>
  <c r="A138" i="20"/>
  <c r="D122" i="20"/>
  <c r="B122" i="20"/>
  <c r="A122" i="20"/>
  <c r="D106" i="20"/>
  <c r="B106" i="20"/>
  <c r="A106" i="20"/>
  <c r="A286" i="20"/>
  <c r="B286" i="20"/>
  <c r="A270" i="20"/>
  <c r="B270" i="20"/>
  <c r="A254" i="20"/>
  <c r="B254" i="20"/>
  <c r="B238" i="20"/>
  <c r="A238" i="20"/>
  <c r="B222" i="20"/>
  <c r="A222" i="20"/>
  <c r="B206" i="20"/>
  <c r="A206" i="20"/>
  <c r="B142" i="20"/>
  <c r="A142" i="20"/>
  <c r="D24" i="20"/>
  <c r="D172" i="20"/>
  <c r="A172" i="20"/>
  <c r="B172" i="20"/>
  <c r="D108" i="20"/>
  <c r="B108" i="20"/>
  <c r="A108" i="20"/>
  <c r="D224" i="20"/>
  <c r="A224" i="20"/>
  <c r="B224" i="20"/>
  <c r="D87" i="20"/>
  <c r="A87" i="20"/>
  <c r="D86" i="20"/>
  <c r="A86" i="20"/>
  <c r="D85" i="20"/>
  <c r="A85" i="20"/>
  <c r="D69" i="20"/>
  <c r="A69" i="20"/>
  <c r="D37" i="20"/>
  <c r="D21" i="20"/>
  <c r="A21" i="20"/>
  <c r="A185" i="20"/>
  <c r="B185" i="20"/>
  <c r="A169" i="20"/>
  <c r="B169" i="20"/>
  <c r="A153" i="20"/>
  <c r="B153" i="20"/>
  <c r="B137" i="20"/>
  <c r="B121" i="20"/>
  <c r="B105" i="20"/>
  <c r="D210" i="20"/>
  <c r="D285" i="20"/>
  <c r="A285" i="20"/>
  <c r="B285" i="20"/>
  <c r="D269" i="20"/>
  <c r="A269" i="20"/>
  <c r="B269" i="20"/>
  <c r="D253" i="20"/>
  <c r="A253" i="20"/>
  <c r="B253" i="20"/>
  <c r="D237" i="20"/>
  <c r="B237" i="20"/>
  <c r="A237" i="20"/>
  <c r="D221" i="20"/>
  <c r="B221" i="20"/>
  <c r="A221" i="20"/>
  <c r="D205" i="20"/>
  <c r="B205" i="20"/>
  <c r="A205" i="20"/>
  <c r="B8" i="20"/>
  <c r="A8" i="20"/>
  <c r="D188" i="20"/>
  <c r="A188" i="20"/>
  <c r="B188" i="20"/>
  <c r="D124" i="20"/>
  <c r="B124" i="20"/>
  <c r="A124" i="20"/>
  <c r="D240" i="20"/>
  <c r="A240" i="20"/>
  <c r="B240" i="20"/>
  <c r="B84" i="20"/>
  <c r="A84" i="20"/>
  <c r="B68" i="20"/>
  <c r="A68" i="20"/>
  <c r="B36" i="20"/>
  <c r="B20" i="20"/>
  <c r="A20" i="20"/>
  <c r="B49" i="20"/>
  <c r="D83" i="20"/>
  <c r="D8" i="20"/>
  <c r="A184" i="20"/>
  <c r="B184" i="20"/>
  <c r="A168" i="20"/>
  <c r="B168" i="20"/>
  <c r="A152" i="20"/>
  <c r="B152" i="20"/>
  <c r="B136" i="20"/>
  <c r="A120" i="20"/>
  <c r="B120" i="20"/>
  <c r="A104" i="20"/>
  <c r="B104" i="20"/>
  <c r="D284" i="20"/>
  <c r="A284" i="20"/>
  <c r="B284" i="20"/>
  <c r="D268" i="20"/>
  <c r="A268" i="20"/>
  <c r="B268" i="20"/>
  <c r="D252" i="20"/>
  <c r="A252" i="20"/>
  <c r="B252" i="20"/>
  <c r="D236" i="20"/>
  <c r="B236" i="20"/>
  <c r="A236" i="20"/>
  <c r="B220" i="20"/>
  <c r="A220" i="20"/>
  <c r="B204" i="20"/>
  <c r="A204" i="20"/>
  <c r="B47" i="20"/>
  <c r="D183" i="20"/>
  <c r="A183" i="20"/>
  <c r="B183" i="20"/>
  <c r="D167" i="20"/>
  <c r="A167" i="20"/>
  <c r="B167" i="20"/>
  <c r="D135" i="20"/>
  <c r="B135" i="20"/>
  <c r="D119" i="20"/>
  <c r="A119" i="20"/>
  <c r="B119" i="20"/>
  <c r="D270" i="20"/>
  <c r="A283" i="20"/>
  <c r="B283" i="20"/>
  <c r="A267" i="20"/>
  <c r="B267" i="20"/>
  <c r="A251" i="20"/>
  <c r="B251" i="20"/>
  <c r="B235" i="20"/>
  <c r="A235" i="20"/>
  <c r="A219" i="20"/>
  <c r="B219" i="20"/>
  <c r="B203" i="20"/>
  <c r="A203" i="20"/>
  <c r="B18" i="20"/>
  <c r="A18" i="20"/>
  <c r="D72" i="20"/>
  <c r="B182" i="20"/>
  <c r="A182" i="20"/>
  <c r="B166" i="20"/>
  <c r="A166" i="20"/>
  <c r="B134" i="20"/>
  <c r="A118" i="20"/>
  <c r="B118" i="20"/>
  <c r="D273" i="20"/>
  <c r="A282" i="20"/>
  <c r="B282" i="20"/>
  <c r="A266" i="20"/>
  <c r="B266" i="20"/>
  <c r="A250" i="20"/>
  <c r="B250" i="20"/>
  <c r="B234" i="20"/>
  <c r="A234" i="20"/>
  <c r="B218" i="20"/>
  <c r="A218" i="20"/>
  <c r="B202" i="20"/>
  <c r="A202" i="20"/>
  <c r="D158" i="20"/>
  <c r="A158" i="20"/>
  <c r="B158" i="20"/>
  <c r="B82" i="20"/>
  <c r="A82" i="20"/>
  <c r="B66" i="20"/>
  <c r="A66" i="20"/>
  <c r="B34" i="20"/>
  <c r="D33" i="20"/>
  <c r="D17" i="20"/>
  <c r="B97" i="20"/>
  <c r="B35" i="20"/>
  <c r="D68" i="20"/>
  <c r="B181" i="20"/>
  <c r="A181" i="20"/>
  <c r="D165" i="20"/>
  <c r="B165" i="20"/>
  <c r="A165" i="20"/>
  <c r="B133" i="20"/>
  <c r="A117" i="20"/>
  <c r="B117" i="20"/>
  <c r="A281" i="20"/>
  <c r="B281" i="20"/>
  <c r="A265" i="20"/>
  <c r="B265" i="20"/>
  <c r="A249" i="20"/>
  <c r="B249" i="20"/>
  <c r="B233" i="20"/>
  <c r="A217" i="20"/>
  <c r="B217" i="20"/>
  <c r="A201" i="20"/>
  <c r="B201" i="20"/>
  <c r="B80" i="20"/>
  <c r="A80" i="20"/>
  <c r="B164" i="20"/>
  <c r="A164" i="20"/>
  <c r="D248" i="20"/>
  <c r="A248" i="20"/>
  <c r="B248" i="20"/>
  <c r="D31" i="20"/>
  <c r="A31" i="20"/>
  <c r="D15" i="20"/>
  <c r="A15" i="20"/>
  <c r="B94" i="20"/>
  <c r="B31" i="20"/>
  <c r="B179" i="20"/>
  <c r="A179" i="20"/>
  <c r="B163" i="20"/>
  <c r="A163" i="20"/>
  <c r="B131" i="20"/>
  <c r="A115" i="20"/>
  <c r="B115" i="20"/>
  <c r="D279" i="20"/>
  <c r="A279" i="20"/>
  <c r="B279" i="20"/>
  <c r="D263" i="20"/>
  <c r="A263" i="20"/>
  <c r="B263" i="20"/>
  <c r="D231" i="20"/>
  <c r="B231" i="20"/>
  <c r="D215" i="20"/>
  <c r="A215" i="20"/>
  <c r="B215" i="20"/>
  <c r="B174" i="20"/>
  <c r="A174" i="20"/>
  <c r="B274" i="20"/>
  <c r="A274" i="20"/>
  <c r="B32" i="20"/>
  <c r="A32" i="20"/>
  <c r="A116" i="20"/>
  <c r="B116" i="20"/>
  <c r="D264" i="20"/>
  <c r="A264" i="20"/>
  <c r="B264" i="20"/>
  <c r="B30" i="20"/>
  <c r="D56" i="20"/>
  <c r="D142" i="20"/>
  <c r="D186" i="20"/>
  <c r="D178" i="20"/>
  <c r="B178" i="20"/>
  <c r="A178" i="20"/>
  <c r="D162" i="20"/>
  <c r="B162" i="20"/>
  <c r="A162" i="20"/>
  <c r="D130" i="20"/>
  <c r="B130" i="20"/>
  <c r="D114" i="20"/>
  <c r="A114" i="20"/>
  <c r="B114" i="20"/>
  <c r="A278" i="20"/>
  <c r="B278" i="20"/>
  <c r="A262" i="20"/>
  <c r="B262" i="20"/>
  <c r="B230" i="20"/>
  <c r="A214" i="20"/>
  <c r="B214" i="20"/>
  <c r="D258" i="20"/>
  <c r="B64" i="20"/>
  <c r="A64" i="20"/>
  <c r="D280" i="20"/>
  <c r="A280" i="20"/>
  <c r="B280" i="20"/>
  <c r="D232" i="20"/>
  <c r="B232" i="20"/>
  <c r="B62" i="20"/>
  <c r="A62" i="20"/>
  <c r="D29" i="20"/>
  <c r="A29" i="20"/>
  <c r="D13" i="20"/>
  <c r="A13" i="20"/>
  <c r="B83" i="20"/>
  <c r="D110" i="20"/>
  <c r="D177" i="20"/>
  <c r="B177" i="20"/>
  <c r="A177" i="20"/>
  <c r="B161" i="20"/>
  <c r="A161" i="20"/>
  <c r="B145" i="20"/>
  <c r="B129" i="20"/>
  <c r="B113" i="20"/>
  <c r="D222" i="20"/>
  <c r="D251" i="20"/>
  <c r="D281" i="20"/>
  <c r="A277" i="20"/>
  <c r="B277" i="20"/>
  <c r="A261" i="20"/>
  <c r="B261" i="20"/>
  <c r="B229" i="20"/>
  <c r="A213" i="20"/>
  <c r="B213" i="20"/>
  <c r="B126" i="20"/>
  <c r="A126" i="20"/>
  <c r="B96" i="20"/>
  <c r="A96" i="20"/>
  <c r="B16" i="20"/>
  <c r="A16" i="20"/>
  <c r="D180" i="20"/>
  <c r="B180" i="20"/>
  <c r="A180" i="20"/>
  <c r="B132" i="20"/>
  <c r="D216" i="20"/>
  <c r="A216" i="20"/>
  <c r="B216" i="20"/>
  <c r="D28" i="20"/>
  <c r="A28" i="20"/>
  <c r="D12" i="20"/>
  <c r="A12" i="20"/>
  <c r="B81" i="20"/>
  <c r="B19" i="20"/>
  <c r="D40" i="20"/>
  <c r="B176" i="20"/>
  <c r="A176" i="20"/>
  <c r="D160" i="20"/>
  <c r="B160" i="20"/>
  <c r="A160" i="20"/>
  <c r="B144" i="20"/>
  <c r="A144" i="20"/>
  <c r="B128" i="20"/>
  <c r="A128" i="20"/>
  <c r="D112" i="20"/>
  <c r="B112" i="20"/>
  <c r="A112" i="20"/>
  <c r="D225" i="20"/>
  <c r="D254" i="20"/>
  <c r="D282" i="20"/>
  <c r="D276" i="20"/>
  <c r="B276" i="20"/>
  <c r="A276" i="20"/>
  <c r="D260" i="20"/>
  <c r="B260" i="20"/>
  <c r="A260" i="20"/>
  <c r="D228" i="20"/>
  <c r="B228" i="20"/>
  <c r="D212" i="20"/>
  <c r="A212" i="20"/>
  <c r="B212" i="20"/>
  <c r="B48" i="20"/>
  <c r="A48" i="20"/>
  <c r="D200" i="20"/>
  <c r="A200" i="20"/>
  <c r="B200" i="20"/>
  <c r="D91" i="20"/>
  <c r="A91" i="20"/>
  <c r="D75" i="20"/>
  <c r="A75" i="20"/>
  <c r="D59" i="20"/>
  <c r="A59" i="20"/>
  <c r="D43" i="20"/>
  <c r="A43" i="20"/>
  <c r="D27" i="20"/>
  <c r="A27" i="20"/>
  <c r="D11" i="20"/>
  <c r="A11" i="20"/>
  <c r="B79" i="20"/>
  <c r="B17" i="20"/>
  <c r="D36" i="20"/>
  <c r="D175" i="20"/>
  <c r="B175" i="20"/>
  <c r="A175" i="20"/>
  <c r="B159" i="20"/>
  <c r="A159" i="20"/>
  <c r="B143" i="20"/>
  <c r="A143" i="20"/>
  <c r="B127" i="20"/>
  <c r="A127" i="20"/>
  <c r="D111" i="20"/>
  <c r="B111" i="20"/>
  <c r="A111" i="20"/>
  <c r="D226" i="20"/>
  <c r="D257" i="20"/>
  <c r="D283" i="20"/>
  <c r="B275" i="20"/>
  <c r="A275" i="20"/>
  <c r="B259" i="20"/>
  <c r="A259" i="20"/>
  <c r="B227" i="20"/>
  <c r="A211" i="20"/>
  <c r="B211" i="20"/>
  <c r="D7" i="20"/>
  <c r="A7" i="20"/>
  <c r="D194" i="20"/>
  <c r="A194" i="20"/>
  <c r="B194" i="20"/>
  <c r="D6" i="20"/>
  <c r="D5" i="20"/>
  <c r="B3" i="20"/>
  <c r="A3" i="20"/>
  <c r="D4" i="20"/>
  <c r="D103" i="20"/>
  <c r="A103" i="20"/>
  <c r="B103" i="20"/>
  <c r="B102" i="20"/>
  <c r="B101" i="20"/>
  <c r="B100" i="20"/>
  <c r="A100" i="20"/>
  <c r="A99" i="20"/>
  <c r="B99" i="20"/>
  <c r="D199" i="20"/>
  <c r="B199" i="20"/>
  <c r="A199" i="20"/>
  <c r="B198" i="20"/>
  <c r="B2" i="20"/>
  <c r="B98" i="20"/>
  <c r="A98" i="20"/>
  <c r="B197" i="20"/>
  <c r="D196" i="20"/>
  <c r="B196" i="20"/>
  <c r="A196" i="20"/>
  <c r="B195" i="20"/>
  <c r="A195" i="20"/>
  <c r="D151" i="20"/>
  <c r="B151" i="20"/>
  <c r="D51" i="20"/>
  <c r="B150" i="20"/>
  <c r="B149" i="20"/>
  <c r="B242" i="20"/>
  <c r="B148" i="20"/>
  <c r="B147" i="20"/>
  <c r="D55" i="20"/>
  <c r="D146" i="20"/>
  <c r="B146" i="20"/>
  <c r="D247" i="20"/>
  <c r="B247" i="20"/>
  <c r="D54" i="20"/>
  <c r="B246" i="20"/>
  <c r="D53" i="20"/>
  <c r="D148" i="20"/>
  <c r="B245" i="20"/>
  <c r="B50" i="20"/>
  <c r="B52" i="20"/>
  <c r="B51" i="20"/>
  <c r="D149" i="20"/>
  <c r="D244" i="20"/>
  <c r="B244" i="20"/>
  <c r="B243" i="20"/>
  <c r="D176" i="20"/>
  <c r="D144" i="20"/>
  <c r="D189" i="20"/>
  <c r="B93" i="20"/>
  <c r="B77" i="20"/>
  <c r="B61" i="20"/>
  <c r="B45" i="20"/>
  <c r="B29" i="20"/>
  <c r="B13" i="20"/>
  <c r="D2" i="20"/>
  <c r="D82" i="20"/>
  <c r="D66" i="20"/>
  <c r="D50" i="20"/>
  <c r="D34" i="20"/>
  <c r="D18" i="20"/>
  <c r="D116" i="20"/>
  <c r="D121" i="20"/>
  <c r="D171" i="20"/>
  <c r="B92" i="20"/>
  <c r="B76" i="20"/>
  <c r="B60" i="20"/>
  <c r="B44" i="20"/>
  <c r="B28" i="20"/>
  <c r="B12" i="20"/>
  <c r="D97" i="20"/>
  <c r="D81" i="20"/>
  <c r="D65" i="20"/>
  <c r="D49" i="20"/>
  <c r="B46" i="20"/>
  <c r="B90" i="20"/>
  <c r="B74" i="20"/>
  <c r="B58" i="20"/>
  <c r="B42" i="20"/>
  <c r="B26" i="20"/>
  <c r="B10" i="20"/>
  <c r="D95" i="20"/>
  <c r="D79" i="20"/>
  <c r="D63" i="20"/>
  <c r="D47" i="20"/>
  <c r="D190" i="20"/>
  <c r="B89" i="20"/>
  <c r="B73" i="20"/>
  <c r="B57" i="20"/>
  <c r="B41" i="20"/>
  <c r="B25" i="20"/>
  <c r="B9" i="20"/>
  <c r="D94" i="20"/>
  <c r="D78" i="20"/>
  <c r="D62" i="20"/>
  <c r="D46" i="20"/>
  <c r="D30" i="20"/>
  <c r="D14" i="20"/>
  <c r="D117" i="20"/>
  <c r="B88" i="20"/>
  <c r="B72" i="20"/>
  <c r="B56" i="20"/>
  <c r="B40" i="20"/>
  <c r="D93" i="20"/>
  <c r="D77" i="20"/>
  <c r="D61" i="20"/>
  <c r="D45" i="20"/>
  <c r="B87" i="20"/>
  <c r="B71" i="20"/>
  <c r="B55" i="20"/>
  <c r="B39" i="20"/>
  <c r="B23" i="20"/>
  <c r="D92" i="20"/>
  <c r="D76" i="20"/>
  <c r="D60" i="20"/>
  <c r="D44" i="20"/>
  <c r="D123" i="20"/>
  <c r="B7" i="20"/>
  <c r="B86" i="20"/>
  <c r="B70" i="20"/>
  <c r="B54" i="20"/>
  <c r="B38" i="20"/>
  <c r="B22" i="20"/>
  <c r="D155" i="20"/>
  <c r="D173" i="20"/>
  <c r="D181" i="20"/>
  <c r="B6" i="20"/>
  <c r="B85" i="20"/>
  <c r="B69" i="20"/>
  <c r="B53" i="20"/>
  <c r="B37" i="20"/>
  <c r="B21" i="20"/>
  <c r="D90" i="20"/>
  <c r="D74" i="20"/>
  <c r="D58" i="20"/>
  <c r="D42" i="20"/>
  <c r="D187" i="20"/>
  <c r="B5" i="20"/>
  <c r="D89" i="20"/>
  <c r="D73" i="20"/>
  <c r="D57" i="20"/>
  <c r="D41" i="20"/>
  <c r="D101" i="20"/>
  <c r="D125" i="20"/>
  <c r="D104" i="20"/>
  <c r="D120" i="20"/>
  <c r="D136" i="20"/>
  <c r="D152" i="20"/>
  <c r="D168" i="20"/>
  <c r="D184" i="20"/>
  <c r="E188" i="6" l="1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2" i="18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100" i="6"/>
  <c r="A119" i="6"/>
  <c r="A120" i="6"/>
  <c r="A123" i="6"/>
  <c r="A139" i="6"/>
  <c r="A148" i="6"/>
  <c r="A151" i="6"/>
  <c r="A152" i="6"/>
  <c r="A180" i="6"/>
  <c r="C9" i="6"/>
  <c r="A9" i="6" s="1"/>
  <c r="C25" i="6"/>
  <c r="A25" i="6" s="1"/>
  <c r="C41" i="6"/>
  <c r="A41" i="6" s="1"/>
  <c r="C49" i="6"/>
  <c r="B49" i="6" s="1"/>
  <c r="C51" i="6"/>
  <c r="A51" i="6" s="1"/>
  <c r="C52" i="6"/>
  <c r="B52" i="6" s="1"/>
  <c r="C53" i="6"/>
  <c r="A53" i="6" s="1"/>
  <c r="C54" i="6"/>
  <c r="B54" i="6" s="1"/>
  <c r="C55" i="6"/>
  <c r="A55" i="6" s="1"/>
  <c r="C56" i="6"/>
  <c r="D56" i="6" s="1"/>
  <c r="C57" i="6"/>
  <c r="A57" i="6" s="1"/>
  <c r="C58" i="6"/>
  <c r="A58" i="6" s="1"/>
  <c r="C59" i="6"/>
  <c r="A59" i="6" s="1"/>
  <c r="C60" i="6"/>
  <c r="A60" i="6" s="1"/>
  <c r="C61" i="6"/>
  <c r="D61" i="6" s="1"/>
  <c r="C62" i="6"/>
  <c r="D62" i="6" s="1"/>
  <c r="C63" i="6"/>
  <c r="A63" i="6" s="1"/>
  <c r="C64" i="6"/>
  <c r="B64" i="6" s="1"/>
  <c r="C65" i="6"/>
  <c r="A65" i="6" s="1"/>
  <c r="C66" i="6"/>
  <c r="B66" i="6" s="1"/>
  <c r="C67" i="6"/>
  <c r="A67" i="6" s="1"/>
  <c r="C68" i="6"/>
  <c r="A68" i="6" s="1"/>
  <c r="C69" i="6"/>
  <c r="A69" i="6" s="1"/>
  <c r="C70" i="6"/>
  <c r="B70" i="6" s="1"/>
  <c r="C71" i="6"/>
  <c r="A71" i="6" s="1"/>
  <c r="C72" i="6"/>
  <c r="A72" i="6" s="1"/>
  <c r="C73" i="6"/>
  <c r="A73" i="6" s="1"/>
  <c r="C74" i="6"/>
  <c r="A74" i="6" s="1"/>
  <c r="C75" i="6"/>
  <c r="B75" i="6" s="1"/>
  <c r="C76" i="6"/>
  <c r="A76" i="6" s="1"/>
  <c r="C77" i="6"/>
  <c r="B77" i="6" s="1"/>
  <c r="C78" i="6"/>
  <c r="D78" i="6" s="1"/>
  <c r="C79" i="6"/>
  <c r="A79" i="6" s="1"/>
  <c r="C80" i="6"/>
  <c r="D80" i="6" s="1"/>
  <c r="C81" i="6"/>
  <c r="D81" i="6" s="1"/>
  <c r="C82" i="6"/>
  <c r="B82" i="6" s="1"/>
  <c r="C83" i="6"/>
  <c r="A83" i="6" s="1"/>
  <c r="C84" i="6"/>
  <c r="D84" i="6" s="1"/>
  <c r="C85" i="6"/>
  <c r="A85" i="6" s="1"/>
  <c r="C86" i="6"/>
  <c r="B86" i="6" s="1"/>
  <c r="C87" i="6"/>
  <c r="A87" i="6" s="1"/>
  <c r="C88" i="6"/>
  <c r="A88" i="6" s="1"/>
  <c r="C89" i="6"/>
  <c r="A89" i="6" s="1"/>
  <c r="C90" i="6"/>
  <c r="A90" i="6" s="1"/>
  <c r="C91" i="6"/>
  <c r="D91" i="6" s="1"/>
  <c r="C92" i="6"/>
  <c r="A92" i="6" s="1"/>
  <c r="C93" i="6"/>
  <c r="D93" i="6" s="1"/>
  <c r="C94" i="6"/>
  <c r="D94" i="6" s="1"/>
  <c r="C95" i="6"/>
  <c r="A95" i="6" s="1"/>
  <c r="C96" i="6"/>
  <c r="D96" i="6" s="1"/>
  <c r="C97" i="6"/>
  <c r="B97" i="6" s="1"/>
  <c r="C98" i="6"/>
  <c r="B98" i="6" s="1"/>
  <c r="C99" i="6"/>
  <c r="A99" i="6" s="1"/>
  <c r="C100" i="6"/>
  <c r="D100" i="6" s="1"/>
  <c r="C101" i="6"/>
  <c r="A101" i="6" s="1"/>
  <c r="C102" i="6"/>
  <c r="B102" i="6" s="1"/>
  <c r="C103" i="6"/>
  <c r="D103" i="6" s="1"/>
  <c r="C104" i="6"/>
  <c r="D104" i="6" s="1"/>
  <c r="C105" i="6"/>
  <c r="A105" i="6" s="1"/>
  <c r="C106" i="6"/>
  <c r="A106" i="6" s="1"/>
  <c r="C107" i="6"/>
  <c r="D107" i="6" s="1"/>
  <c r="C108" i="6"/>
  <c r="A108" i="6" s="1"/>
  <c r="C109" i="6"/>
  <c r="D109" i="6" s="1"/>
  <c r="C110" i="6"/>
  <c r="D110" i="6" s="1"/>
  <c r="C111" i="6"/>
  <c r="A111" i="6" s="1"/>
  <c r="C112" i="6"/>
  <c r="B112" i="6" s="1"/>
  <c r="C113" i="6"/>
  <c r="B113" i="6" s="1"/>
  <c r="C114" i="6"/>
  <c r="D114" i="6" s="1"/>
  <c r="C115" i="6"/>
  <c r="A115" i="6" s="1"/>
  <c r="C116" i="6"/>
  <c r="B116" i="6" s="1"/>
  <c r="C117" i="6"/>
  <c r="A117" i="6" s="1"/>
  <c r="C118" i="6"/>
  <c r="B118" i="6" s="1"/>
  <c r="C119" i="6"/>
  <c r="C120" i="6"/>
  <c r="C121" i="6"/>
  <c r="A121" i="6" s="1"/>
  <c r="C122" i="6"/>
  <c r="A122" i="6" s="1"/>
  <c r="C123" i="6"/>
  <c r="B123" i="6" s="1"/>
  <c r="C124" i="6"/>
  <c r="A124" i="6" s="1"/>
  <c r="C125" i="6"/>
  <c r="D125" i="6" s="1"/>
  <c r="C126" i="6"/>
  <c r="D126" i="6" s="1"/>
  <c r="C127" i="6"/>
  <c r="A127" i="6" s="1"/>
  <c r="C128" i="6"/>
  <c r="D128" i="6" s="1"/>
  <c r="C129" i="6"/>
  <c r="D129" i="6" s="1"/>
  <c r="C130" i="6"/>
  <c r="B130" i="6" s="1"/>
  <c r="C131" i="6"/>
  <c r="A131" i="6" s="1"/>
  <c r="C132" i="6"/>
  <c r="A132" i="6" s="1"/>
  <c r="C133" i="6"/>
  <c r="A133" i="6" s="1"/>
  <c r="C134" i="6"/>
  <c r="A134" i="6" s="1"/>
  <c r="C135" i="6"/>
  <c r="D135" i="6" s="1"/>
  <c r="C136" i="6"/>
  <c r="D136" i="6" s="1"/>
  <c r="C137" i="6"/>
  <c r="A137" i="6" s="1"/>
  <c r="C138" i="6"/>
  <c r="A138" i="6" s="1"/>
  <c r="C139" i="6"/>
  <c r="C140" i="6"/>
  <c r="A140" i="6" s="1"/>
  <c r="C141" i="6"/>
  <c r="D141" i="6" s="1"/>
  <c r="C142" i="6"/>
  <c r="D142" i="6" s="1"/>
  <c r="C143" i="6"/>
  <c r="A143" i="6" s="1"/>
  <c r="C144" i="6"/>
  <c r="B144" i="6" s="1"/>
  <c r="C145" i="6"/>
  <c r="B145" i="6" s="1"/>
  <c r="C146" i="6"/>
  <c r="B146" i="6" s="1"/>
  <c r="C147" i="6"/>
  <c r="A147" i="6" s="1"/>
  <c r="C148" i="6"/>
  <c r="D148" i="6" s="1"/>
  <c r="C149" i="6"/>
  <c r="A149" i="6" s="1"/>
  <c r="C150" i="6"/>
  <c r="A150" i="6" s="1"/>
  <c r="C151" i="6"/>
  <c r="D151" i="6" s="1"/>
  <c r="C152" i="6"/>
  <c r="B152" i="6" s="1"/>
  <c r="C153" i="6"/>
  <c r="A153" i="6" s="1"/>
  <c r="C154" i="6"/>
  <c r="A154" i="6" s="1"/>
  <c r="C155" i="6"/>
  <c r="A155" i="6" s="1"/>
  <c r="C156" i="6"/>
  <c r="A156" i="6" s="1"/>
  <c r="C157" i="6"/>
  <c r="D157" i="6" s="1"/>
  <c r="C158" i="6"/>
  <c r="D158" i="6" s="1"/>
  <c r="C159" i="6"/>
  <c r="A159" i="6" s="1"/>
  <c r="C160" i="6"/>
  <c r="B160" i="6" s="1"/>
  <c r="C161" i="6"/>
  <c r="B161" i="6" s="1"/>
  <c r="C162" i="6"/>
  <c r="B162" i="6" s="1"/>
  <c r="C163" i="6"/>
  <c r="A163" i="6" s="1"/>
  <c r="C164" i="6"/>
  <c r="A164" i="6" s="1"/>
  <c r="C165" i="6"/>
  <c r="A165" i="6" s="1"/>
  <c r="C166" i="6"/>
  <c r="A166" i="6" s="1"/>
  <c r="C167" i="6"/>
  <c r="A167" i="6" s="1"/>
  <c r="C168" i="6"/>
  <c r="A168" i="6" s="1"/>
  <c r="C169" i="6"/>
  <c r="A169" i="6" s="1"/>
  <c r="C170" i="6"/>
  <c r="A170" i="6" s="1"/>
  <c r="C171" i="6"/>
  <c r="A171" i="6" s="1"/>
  <c r="C172" i="6"/>
  <c r="A172" i="6" s="1"/>
  <c r="C173" i="6"/>
  <c r="D173" i="6" s="1"/>
  <c r="C174" i="6"/>
  <c r="A174" i="6" s="1"/>
  <c r="C175" i="6"/>
  <c r="A175" i="6" s="1"/>
  <c r="C176" i="6"/>
  <c r="D176" i="6" s="1"/>
  <c r="C177" i="6"/>
  <c r="D177" i="6" s="1"/>
  <c r="C178" i="6"/>
  <c r="D178" i="6" s="1"/>
  <c r="C179" i="6"/>
  <c r="A179" i="6" s="1"/>
  <c r="C180" i="6"/>
  <c r="B180" i="6" s="1"/>
  <c r="C181" i="6"/>
  <c r="A181" i="6" s="1"/>
  <c r="C182" i="6"/>
  <c r="A182" i="6" s="1"/>
  <c r="C183" i="6"/>
  <c r="A183" i="6" s="1"/>
  <c r="C184" i="6"/>
  <c r="A184" i="6" s="1"/>
  <c r="C185" i="6"/>
  <c r="A185" i="6" s="1"/>
  <c r="C186" i="6"/>
  <c r="A186" i="6" s="1"/>
  <c r="C187" i="6"/>
  <c r="A187" i="6" s="1"/>
  <c r="C188" i="6"/>
  <c r="A188" i="6" s="1"/>
  <c r="D57" i="6"/>
  <c r="D69" i="6"/>
  <c r="D70" i="6"/>
  <c r="D73" i="6"/>
  <c r="D99" i="6"/>
  <c r="D117" i="6"/>
  <c r="D118" i="6"/>
  <c r="D119" i="6"/>
  <c r="D120" i="6"/>
  <c r="D121" i="6"/>
  <c r="D123" i="6"/>
  <c r="D127" i="6"/>
  <c r="D131" i="6"/>
  <c r="D132" i="6"/>
  <c r="D133" i="6"/>
  <c r="D137" i="6"/>
  <c r="D138" i="6"/>
  <c r="D139" i="6"/>
  <c r="D140" i="6"/>
  <c r="D143" i="6"/>
  <c r="D159" i="6"/>
  <c r="D163" i="6"/>
  <c r="D164" i="6"/>
  <c r="D179" i="6"/>
  <c r="D180" i="6"/>
  <c r="D181" i="6"/>
  <c r="D182" i="6"/>
  <c r="D183" i="6"/>
  <c r="D184" i="6"/>
  <c r="D185" i="6"/>
  <c r="D186" i="6"/>
  <c r="D187" i="6"/>
  <c r="D188" i="6"/>
  <c r="B184" i="6"/>
  <c r="B183" i="6"/>
  <c r="B163" i="6"/>
  <c r="B159" i="6"/>
  <c r="B157" i="6"/>
  <c r="B148" i="6"/>
  <c r="B147" i="6"/>
  <c r="B143" i="6"/>
  <c r="B139" i="6"/>
  <c r="B138" i="6"/>
  <c r="B134" i="6"/>
  <c r="B132" i="6"/>
  <c r="B120" i="6"/>
  <c r="B104" i="6"/>
  <c r="B100" i="6"/>
  <c r="B99" i="6"/>
  <c r="C3" i="18"/>
  <c r="A3" i="18" s="1"/>
  <c r="C4" i="18"/>
  <c r="A4" i="18" s="1"/>
  <c r="C5" i="18"/>
  <c r="B5" i="18" s="1"/>
  <c r="C6" i="18"/>
  <c r="B6" i="18" s="1"/>
  <c r="C7" i="18"/>
  <c r="A7" i="18" s="1"/>
  <c r="C8" i="18"/>
  <c r="A8" i="18" s="1"/>
  <c r="C9" i="18"/>
  <c r="D9" i="18" s="1"/>
  <c r="C10" i="18"/>
  <c r="B10" i="18" s="1"/>
  <c r="C11" i="18"/>
  <c r="A11" i="18" s="1"/>
  <c r="C12" i="18"/>
  <c r="A12" i="18" s="1"/>
  <c r="C13" i="18"/>
  <c r="A13" i="18" s="1"/>
  <c r="C14" i="18"/>
  <c r="A14" i="18" s="1"/>
  <c r="C15" i="18"/>
  <c r="B15" i="18" s="1"/>
  <c r="C16" i="18"/>
  <c r="A16" i="18" s="1"/>
  <c r="C17" i="18"/>
  <c r="C18" i="18"/>
  <c r="B18" i="18" s="1"/>
  <c r="C19" i="18"/>
  <c r="C20" i="18"/>
  <c r="C21" i="18"/>
  <c r="A21" i="18" s="1"/>
  <c r="C22" i="18"/>
  <c r="B22" i="18" s="1"/>
  <c r="C23" i="18"/>
  <c r="C24" i="18"/>
  <c r="A24" i="18" s="1"/>
  <c r="C25" i="18"/>
  <c r="A25" i="18" s="1"/>
  <c r="C26" i="18"/>
  <c r="B26" i="18" s="1"/>
  <c r="C27" i="18"/>
  <c r="A27" i="18" s="1"/>
  <c r="C28" i="18"/>
  <c r="A28" i="18" s="1"/>
  <c r="C29" i="18"/>
  <c r="B29" i="18" s="1"/>
  <c r="C30" i="18"/>
  <c r="A30" i="18" s="1"/>
  <c r="C31" i="18"/>
  <c r="B31" i="18" s="1"/>
  <c r="C32" i="18"/>
  <c r="A32" i="18" s="1"/>
  <c r="C33" i="18"/>
  <c r="C34" i="18"/>
  <c r="B34" i="18" s="1"/>
  <c r="C35" i="18"/>
  <c r="C36" i="18"/>
  <c r="C37" i="18"/>
  <c r="B37" i="18" s="1"/>
  <c r="C38" i="18"/>
  <c r="A38" i="18" s="1"/>
  <c r="C39" i="18"/>
  <c r="C40" i="18"/>
  <c r="C41" i="18"/>
  <c r="A41" i="18" s="1"/>
  <c r="C42" i="18"/>
  <c r="B42" i="18" s="1"/>
  <c r="C43" i="18"/>
  <c r="A43" i="18" s="1"/>
  <c r="C44" i="18"/>
  <c r="B44" i="18" s="1"/>
  <c r="C45" i="18"/>
  <c r="B45" i="18" s="1"/>
  <c r="C46" i="18"/>
  <c r="A46" i="18" s="1"/>
  <c r="C47" i="18"/>
  <c r="C48" i="18"/>
  <c r="A48" i="18" s="1"/>
  <c r="C49" i="18"/>
  <c r="D49" i="18" s="1"/>
  <c r="C50" i="18"/>
  <c r="C51" i="18"/>
  <c r="D51" i="18" s="1"/>
  <c r="C52" i="18"/>
  <c r="D52" i="18" s="1"/>
  <c r="C53" i="18"/>
  <c r="A53" i="18" s="1"/>
  <c r="C54" i="18"/>
  <c r="D54" i="18" s="1"/>
  <c r="C55" i="18"/>
  <c r="D55" i="18" s="1"/>
  <c r="C56" i="18"/>
  <c r="A56" i="18" s="1"/>
  <c r="C57" i="18"/>
  <c r="D57" i="18" s="1"/>
  <c r="C58" i="18"/>
  <c r="D58" i="18" s="1"/>
  <c r="C59" i="18"/>
  <c r="A59" i="18" s="1"/>
  <c r="C60" i="18"/>
  <c r="A60" i="18" s="1"/>
  <c r="C61" i="18"/>
  <c r="B61" i="18" s="1"/>
  <c r="C62" i="18"/>
  <c r="D62" i="18" s="1"/>
  <c r="C63" i="18"/>
  <c r="B63" i="18" s="1"/>
  <c r="C64" i="18"/>
  <c r="A64" i="18" s="1"/>
  <c r="C65" i="18"/>
  <c r="D65" i="18" s="1"/>
  <c r="C66" i="18"/>
  <c r="A66" i="18" s="1"/>
  <c r="C67" i="18"/>
  <c r="D67" i="18" s="1"/>
  <c r="C68" i="18"/>
  <c r="D68" i="18" s="1"/>
  <c r="C69" i="18"/>
  <c r="A69" i="18" s="1"/>
  <c r="C70" i="18"/>
  <c r="B70" i="18" s="1"/>
  <c r="C71" i="18"/>
  <c r="A71" i="18" s="1"/>
  <c r="C72" i="18"/>
  <c r="D72" i="18" s="1"/>
  <c r="C73" i="18"/>
  <c r="A73" i="18" s="1"/>
  <c r="C74" i="18"/>
  <c r="D74" i="18" s="1"/>
  <c r="C75" i="18"/>
  <c r="D75" i="18" s="1"/>
  <c r="C76" i="18"/>
  <c r="D76" i="18" s="1"/>
  <c r="C77" i="18"/>
  <c r="A77" i="18" s="1"/>
  <c r="C78" i="18"/>
  <c r="D78" i="18" s="1"/>
  <c r="C79" i="18"/>
  <c r="A79" i="18" s="1"/>
  <c r="C80" i="18"/>
  <c r="D80" i="18" s="1"/>
  <c r="C81" i="18"/>
  <c r="D81" i="18" s="1"/>
  <c r="C82" i="18"/>
  <c r="B82" i="18" s="1"/>
  <c r="C83" i="18"/>
  <c r="D83" i="18" s="1"/>
  <c r="C84" i="18"/>
  <c r="B84" i="18" s="1"/>
  <c r="C85" i="18"/>
  <c r="B85" i="18" s="1"/>
  <c r="C86" i="18"/>
  <c r="D86" i="18" s="1"/>
  <c r="C87" i="18"/>
  <c r="A87" i="18" s="1"/>
  <c r="C88" i="18"/>
  <c r="A88" i="18" s="1"/>
  <c r="C89" i="18"/>
  <c r="D89" i="18" s="1"/>
  <c r="C90" i="18"/>
  <c r="D90" i="18" s="1"/>
  <c r="C91" i="18"/>
  <c r="D91" i="18" s="1"/>
  <c r="C92" i="18"/>
  <c r="B92" i="18" s="1"/>
  <c r="C93" i="18"/>
  <c r="A93" i="18" s="1"/>
  <c r="C94" i="18"/>
  <c r="D94" i="18" s="1"/>
  <c r="C95" i="18"/>
  <c r="A95" i="18" s="1"/>
  <c r="C96" i="18"/>
  <c r="D96" i="18" s="1"/>
  <c r="C97" i="18"/>
  <c r="D97" i="18" s="1"/>
  <c r="C98" i="18"/>
  <c r="B98" i="18" s="1"/>
  <c r="C99" i="18"/>
  <c r="D99" i="18" s="1"/>
  <c r="C100" i="18"/>
  <c r="D100" i="18" s="1"/>
  <c r="C101" i="18"/>
  <c r="D101" i="18" s="1"/>
  <c r="C102" i="18"/>
  <c r="B102" i="18" s="1"/>
  <c r="C103" i="18"/>
  <c r="D103" i="18" s="1"/>
  <c r="C104" i="18"/>
  <c r="A104" i="18" s="1"/>
  <c r="C105" i="18"/>
  <c r="D105" i="18" s="1"/>
  <c r="C106" i="18"/>
  <c r="D106" i="18" s="1"/>
  <c r="C107" i="18"/>
  <c r="B107" i="18" s="1"/>
  <c r="C108" i="18"/>
  <c r="B108" i="18" s="1"/>
  <c r="C109" i="18"/>
  <c r="A109" i="18" s="1"/>
  <c r="C110" i="18"/>
  <c r="D110" i="18" s="1"/>
  <c r="C111" i="18"/>
  <c r="A111" i="18" s="1"/>
  <c r="C112" i="18"/>
  <c r="A112" i="18" s="1"/>
  <c r="C113" i="18"/>
  <c r="D113" i="18" s="1"/>
  <c r="C114" i="18"/>
  <c r="A114" i="18" s="1"/>
  <c r="C115" i="18"/>
  <c r="D115" i="18" s="1"/>
  <c r="C116" i="18"/>
  <c r="D116" i="18" s="1"/>
  <c r="C117" i="18"/>
  <c r="B117" i="18" s="1"/>
  <c r="C118" i="18"/>
  <c r="D118" i="18" s="1"/>
  <c r="C119" i="18"/>
  <c r="B119" i="18" s="1"/>
  <c r="C120" i="18"/>
  <c r="A120" i="18" s="1"/>
  <c r="C121" i="18"/>
  <c r="D121" i="18" s="1"/>
  <c r="C122" i="18"/>
  <c r="D122" i="18" s="1"/>
  <c r="C123" i="18"/>
  <c r="D123" i="18" s="1"/>
  <c r="C124" i="18"/>
  <c r="D124" i="18" s="1"/>
  <c r="C125" i="18"/>
  <c r="A125" i="18" s="1"/>
  <c r="C126" i="18"/>
  <c r="D126" i="18" s="1"/>
  <c r="C127" i="18"/>
  <c r="D127" i="18" s="1"/>
  <c r="C128" i="18"/>
  <c r="D128" i="18" s="1"/>
  <c r="C129" i="18"/>
  <c r="D129" i="18" s="1"/>
  <c r="C130" i="18"/>
  <c r="B130" i="18" s="1"/>
  <c r="C131" i="18"/>
  <c r="D131" i="18" s="1"/>
  <c r="C132" i="18"/>
  <c r="A132" i="18" s="1"/>
  <c r="C133" i="18"/>
  <c r="D133" i="18" s="1"/>
  <c r="C134" i="18"/>
  <c r="D134" i="18" s="1"/>
  <c r="C135" i="18"/>
  <c r="A135" i="18" s="1"/>
  <c r="C136" i="18"/>
  <c r="A136" i="18" s="1"/>
  <c r="C137" i="18"/>
  <c r="A137" i="18" s="1"/>
  <c r="C138" i="18"/>
  <c r="D138" i="18" s="1"/>
  <c r="C139" i="18"/>
  <c r="A139" i="18" s="1"/>
  <c r="C140" i="18"/>
  <c r="B140" i="18" s="1"/>
  <c r="C141" i="18"/>
  <c r="A141" i="18" s="1"/>
  <c r="C142" i="18"/>
  <c r="D142" i="18" s="1"/>
  <c r="C143" i="18"/>
  <c r="B143" i="18" s="1"/>
  <c r="C144" i="18"/>
  <c r="D144" i="18" s="1"/>
  <c r="C145" i="18"/>
  <c r="D145" i="18" s="1"/>
  <c r="C146" i="18"/>
  <c r="A146" i="18" s="1"/>
  <c r="C147" i="18"/>
  <c r="D147" i="18" s="1"/>
  <c r="C148" i="18"/>
  <c r="B148" i="18" s="1"/>
  <c r="C149" i="18"/>
  <c r="B149" i="18" s="1"/>
  <c r="C150" i="18"/>
  <c r="D150" i="18" s="1"/>
  <c r="C151" i="18"/>
  <c r="A151" i="18" s="1"/>
  <c r="C152" i="18"/>
  <c r="D152" i="18" s="1"/>
  <c r="C153" i="18"/>
  <c r="A153" i="18" s="1"/>
  <c r="C154" i="18"/>
  <c r="D154" i="18" s="1"/>
  <c r="C155" i="18"/>
  <c r="D155" i="18" s="1"/>
  <c r="C156" i="18"/>
  <c r="A156" i="18" s="1"/>
  <c r="C157" i="18"/>
  <c r="B157" i="18" s="1"/>
  <c r="C158" i="18"/>
  <c r="D158" i="18" s="1"/>
  <c r="C159" i="18"/>
  <c r="D159" i="18" s="1"/>
  <c r="C160" i="18"/>
  <c r="B160" i="18" s="1"/>
  <c r="C161" i="18"/>
  <c r="D161" i="18" s="1"/>
  <c r="C162" i="18"/>
  <c r="B162" i="18" s="1"/>
  <c r="C163" i="18"/>
  <c r="D163" i="18" s="1"/>
  <c r="C164" i="18"/>
  <c r="D164" i="18" s="1"/>
  <c r="C165" i="18"/>
  <c r="B165" i="18" s="1"/>
  <c r="C166" i="18"/>
  <c r="A166" i="18" s="1"/>
  <c r="C167" i="18"/>
  <c r="A167" i="18" s="1"/>
  <c r="C168" i="18"/>
  <c r="B168" i="18" s="1"/>
  <c r="C169" i="18"/>
  <c r="A169" i="18" s="1"/>
  <c r="C170" i="18"/>
  <c r="D170" i="18" s="1"/>
  <c r="C171" i="18"/>
  <c r="A171" i="18" s="1"/>
  <c r="C172" i="18"/>
  <c r="A172" i="18" s="1"/>
  <c r="C173" i="18"/>
  <c r="B173" i="18" s="1"/>
  <c r="C174" i="18"/>
  <c r="D174" i="18" s="1"/>
  <c r="C175" i="18"/>
  <c r="B175" i="18" s="1"/>
  <c r="C176" i="18"/>
  <c r="D176" i="18" s="1"/>
  <c r="C177" i="18"/>
  <c r="A177" i="18" s="1"/>
  <c r="C178" i="18"/>
  <c r="B178" i="18" s="1"/>
  <c r="C179" i="18"/>
  <c r="D179" i="18" s="1"/>
  <c r="C180" i="18"/>
  <c r="D180" i="18" s="1"/>
  <c r="C181" i="18"/>
  <c r="B181" i="18" s="1"/>
  <c r="C182" i="18"/>
  <c r="A182" i="18" s="1"/>
  <c r="C183" i="18"/>
  <c r="B183" i="18" s="1"/>
  <c r="C184" i="18"/>
  <c r="D184" i="18" s="1"/>
  <c r="C185" i="18"/>
  <c r="B185" i="18" s="1"/>
  <c r="C186" i="18"/>
  <c r="D186" i="18" s="1"/>
  <c r="C187" i="18"/>
  <c r="D187" i="18" s="1"/>
  <c r="C188" i="18"/>
  <c r="B188" i="18" s="1"/>
  <c r="C2" i="18"/>
  <c r="B2" i="18" s="1"/>
  <c r="O9" i="4"/>
  <c r="O8" i="4"/>
  <c r="O7" i="4"/>
  <c r="O6" i="4"/>
  <c r="O5" i="4"/>
  <c r="O4" i="4"/>
  <c r="O3" i="4"/>
  <c r="O2" i="4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I35" i="4"/>
  <c r="K35" i="4" s="1"/>
  <c r="I34" i="4"/>
  <c r="K34" i="4" s="1"/>
  <c r="I33" i="4"/>
  <c r="K33" i="4" s="1"/>
  <c r="I32" i="4"/>
  <c r="K32" i="4" s="1"/>
  <c r="I31" i="4"/>
  <c r="K31" i="4" s="1"/>
  <c r="I30" i="4"/>
  <c r="I29" i="4"/>
  <c r="K29" i="4" s="1"/>
  <c r="I28" i="4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I9" i="4"/>
  <c r="I8" i="4"/>
  <c r="K8" i="4" s="1"/>
  <c r="I7" i="4"/>
  <c r="K7" i="4" s="1"/>
  <c r="I6" i="4"/>
  <c r="K6" i="4" s="1"/>
  <c r="I5" i="4"/>
  <c r="I4" i="4"/>
  <c r="K4" i="4" s="1"/>
  <c r="I3" i="4"/>
  <c r="K3" i="4" s="1"/>
  <c r="I2" i="4"/>
  <c r="E97" i="4"/>
  <c r="G97" i="4" s="1"/>
  <c r="E96" i="4"/>
  <c r="G96" i="4" s="1"/>
  <c r="E95" i="4"/>
  <c r="G95" i="4" s="1"/>
  <c r="E94" i="4"/>
  <c r="G94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81" i="4"/>
  <c r="G81" i="4" s="1"/>
  <c r="E80" i="4"/>
  <c r="G80" i="4" s="1"/>
  <c r="E79" i="4"/>
  <c r="G79" i="4" s="1"/>
  <c r="E78" i="4"/>
  <c r="G78" i="4" s="1"/>
  <c r="E77" i="4"/>
  <c r="G77" i="4" s="1"/>
  <c r="E76" i="4"/>
  <c r="G76" i="4" s="1"/>
  <c r="E75" i="4"/>
  <c r="G75" i="4" s="1"/>
  <c r="E74" i="4"/>
  <c r="G74" i="4" s="1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G29" i="4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E2" i="4"/>
  <c r="G2" i="4" s="1"/>
  <c r="A97" i="4"/>
  <c r="A96" i="4"/>
  <c r="C96" i="4" s="1"/>
  <c r="A95" i="4"/>
  <c r="C95" i="4" s="1"/>
  <c r="A94" i="4"/>
  <c r="C94" i="4" s="1"/>
  <c r="A93" i="4"/>
  <c r="A92" i="4"/>
  <c r="C92" i="4" s="1"/>
  <c r="A91" i="4"/>
  <c r="C91" i="4" s="1"/>
  <c r="A90" i="4"/>
  <c r="C90" i="4" s="1"/>
  <c r="A89" i="4"/>
  <c r="C89" i="4" s="1"/>
  <c r="A88" i="4"/>
  <c r="C88" i="4" s="1"/>
  <c r="A87" i="4"/>
  <c r="C87" i="4" s="1"/>
  <c r="A86" i="4"/>
  <c r="C86" i="4" s="1"/>
  <c r="A85" i="4"/>
  <c r="C85" i="4" s="1"/>
  <c r="A84" i="4"/>
  <c r="C84" i="4" s="1"/>
  <c r="A83" i="4"/>
  <c r="A82" i="4"/>
  <c r="C82" i="4" s="1"/>
  <c r="A81" i="4"/>
  <c r="A80" i="4"/>
  <c r="C80" i="4" s="1"/>
  <c r="A79" i="4"/>
  <c r="A78" i="4"/>
  <c r="C78" i="4" s="1"/>
  <c r="A77" i="4"/>
  <c r="C77" i="4" s="1"/>
  <c r="A76" i="4"/>
  <c r="C76" i="4" s="1"/>
  <c r="A75" i="4"/>
  <c r="C75" i="4" s="1"/>
  <c r="A74" i="4"/>
  <c r="C74" i="4" s="1"/>
  <c r="A73" i="4"/>
  <c r="A72" i="4"/>
  <c r="A71" i="4"/>
  <c r="A70" i="4"/>
  <c r="C70" i="4" s="1"/>
  <c r="A69" i="4"/>
  <c r="C69" i="4" s="1"/>
  <c r="A68" i="4"/>
  <c r="C68" i="4" s="1"/>
  <c r="A67" i="4"/>
  <c r="C67" i="4" s="1"/>
  <c r="A66" i="4"/>
  <c r="C66" i="4" s="1"/>
  <c r="A65" i="4"/>
  <c r="A64" i="4"/>
  <c r="C64" i="4" s="1"/>
  <c r="A63" i="4"/>
  <c r="A62" i="4"/>
  <c r="C62" i="4" s="1"/>
  <c r="A61" i="4"/>
  <c r="C61" i="4" s="1"/>
  <c r="A60" i="4"/>
  <c r="C60" i="4" s="1"/>
  <c r="A59" i="4"/>
  <c r="C59" i="4" s="1"/>
  <c r="A58" i="4"/>
  <c r="C58" i="4" s="1"/>
  <c r="A57" i="4"/>
  <c r="C57" i="4" s="1"/>
  <c r="A56" i="4"/>
  <c r="A55" i="4"/>
  <c r="C55" i="4" s="1"/>
  <c r="A54" i="4"/>
  <c r="C54" i="4" s="1"/>
  <c r="A53" i="4"/>
  <c r="C53" i="4" s="1"/>
  <c r="A52" i="4"/>
  <c r="C52" i="4" s="1"/>
  <c r="A51" i="4"/>
  <c r="C51" i="4" s="1"/>
  <c r="A50" i="4"/>
  <c r="C50" i="4" s="1"/>
  <c r="A49" i="4"/>
  <c r="C49" i="4" s="1"/>
  <c r="A48" i="4"/>
  <c r="C48" i="4" s="1"/>
  <c r="A47" i="4"/>
  <c r="A46" i="4"/>
  <c r="C46" i="4" s="1"/>
  <c r="A45" i="4"/>
  <c r="C45" i="4" s="1"/>
  <c r="A44" i="4"/>
  <c r="C44" i="4" s="1"/>
  <c r="A43" i="4"/>
  <c r="C43" i="4" s="1"/>
  <c r="A42" i="4"/>
  <c r="C42" i="4" s="1"/>
  <c r="A41" i="4"/>
  <c r="C41" i="4" s="1"/>
  <c r="A40" i="4"/>
  <c r="C40" i="4" s="1"/>
  <c r="A39" i="4"/>
  <c r="A38" i="4"/>
  <c r="C38" i="4" s="1"/>
  <c r="A37" i="4"/>
  <c r="C37" i="4" s="1"/>
  <c r="A36" i="4"/>
  <c r="C36" i="4" s="1"/>
  <c r="A35" i="4"/>
  <c r="C35" i="4" s="1"/>
  <c r="A34" i="4"/>
  <c r="C34" i="4" s="1"/>
  <c r="A33" i="4"/>
  <c r="C33" i="4" s="1"/>
  <c r="A32" i="4"/>
  <c r="C32" i="4" s="1"/>
  <c r="A31" i="4"/>
  <c r="C31" i="4" s="1"/>
  <c r="A30" i="4"/>
  <c r="A29" i="4"/>
  <c r="C29" i="4" s="1"/>
  <c r="A28" i="4"/>
  <c r="C28" i="4" s="1"/>
  <c r="A27" i="4"/>
  <c r="C27" i="4" s="1"/>
  <c r="A26" i="4"/>
  <c r="C26" i="4" s="1"/>
  <c r="A25" i="4"/>
  <c r="C25" i="4" s="1"/>
  <c r="A24" i="4"/>
  <c r="C24" i="4" s="1"/>
  <c r="A23" i="4"/>
  <c r="A22" i="4"/>
  <c r="C22" i="4" s="1"/>
  <c r="A21" i="4"/>
  <c r="C21" i="4" s="1"/>
  <c r="A20" i="4"/>
  <c r="C20" i="4" s="1"/>
  <c r="A19" i="4"/>
  <c r="C19" i="4" s="1"/>
  <c r="A18" i="4"/>
  <c r="C18" i="4" s="1"/>
  <c r="A17" i="4"/>
  <c r="A16" i="4"/>
  <c r="C16" i="4" s="1"/>
  <c r="A15" i="4"/>
  <c r="A14" i="4"/>
  <c r="A13" i="4"/>
  <c r="C13" i="4" s="1"/>
  <c r="A12" i="4"/>
  <c r="C12" i="4" s="1"/>
  <c r="A11" i="4"/>
  <c r="C11" i="4" s="1"/>
  <c r="C10" i="4"/>
  <c r="A9" i="4"/>
  <c r="C9" i="4" s="1"/>
  <c r="A8" i="4"/>
  <c r="C8" i="4" s="1"/>
  <c r="A7" i="4"/>
  <c r="A6" i="4"/>
  <c r="C6" i="4" s="1"/>
  <c r="A5" i="4"/>
  <c r="C5" i="4" s="1"/>
  <c r="A4" i="4"/>
  <c r="C4" i="4" s="1"/>
  <c r="A3" i="4"/>
  <c r="C3" i="4" s="1"/>
  <c r="A2" i="4"/>
  <c r="C2" i="4" s="1"/>
  <c r="B150" i="18"/>
  <c r="B111" i="18"/>
  <c r="B99" i="18"/>
  <c r="B54" i="18"/>
  <c r="C3" i="13"/>
  <c r="C2" i="13"/>
  <c r="K5" i="4" l="1"/>
  <c r="A105" i="20"/>
  <c r="A17" i="20"/>
  <c r="A9" i="20"/>
  <c r="K9" i="4"/>
  <c r="A49" i="20"/>
  <c r="A121" i="20"/>
  <c r="A25" i="20"/>
  <c r="A129" i="20"/>
  <c r="A33" i="20"/>
  <c r="A113" i="20"/>
  <c r="A145" i="20"/>
  <c r="A241" i="20"/>
  <c r="D89" i="6"/>
  <c r="D85" i="6"/>
  <c r="K36" i="4"/>
  <c r="A197" i="20"/>
  <c r="A198" i="20"/>
  <c r="D155" i="6"/>
  <c r="D153" i="6"/>
  <c r="A135" i="6"/>
  <c r="D152" i="6"/>
  <c r="D53" i="6"/>
  <c r="D150" i="6"/>
  <c r="B107" i="6"/>
  <c r="D116" i="6"/>
  <c r="A116" i="6"/>
  <c r="A107" i="6"/>
  <c r="B118" i="18"/>
  <c r="A121" i="18"/>
  <c r="D175" i="6"/>
  <c r="B137" i="18"/>
  <c r="A118" i="18"/>
  <c r="D172" i="6"/>
  <c r="B136" i="6"/>
  <c r="D156" i="6"/>
  <c r="A136" i="6"/>
  <c r="B155" i="6"/>
  <c r="D149" i="6"/>
  <c r="B108" i="6"/>
  <c r="D147" i="6"/>
  <c r="D115" i="6"/>
  <c r="B111" i="6"/>
  <c r="D111" i="6"/>
  <c r="A104" i="6"/>
  <c r="B115" i="6"/>
  <c r="B164" i="6"/>
  <c r="A103" i="6"/>
  <c r="B147" i="18"/>
  <c r="A117" i="18"/>
  <c r="B168" i="6"/>
  <c r="D171" i="6"/>
  <c r="D105" i="6"/>
  <c r="A115" i="18"/>
  <c r="B171" i="6"/>
  <c r="D169" i="6"/>
  <c r="A89" i="18"/>
  <c r="B175" i="6"/>
  <c r="D168" i="6"/>
  <c r="A54" i="18"/>
  <c r="B124" i="6"/>
  <c r="B176" i="6"/>
  <c r="D167" i="6"/>
  <c r="D102" i="6"/>
  <c r="A22" i="18"/>
  <c r="B127" i="6"/>
  <c r="B179" i="6"/>
  <c r="D166" i="6"/>
  <c r="D101" i="6"/>
  <c r="A15" i="18"/>
  <c r="B131" i="6"/>
  <c r="D165" i="6"/>
  <c r="D134" i="6"/>
  <c r="K28" i="4"/>
  <c r="A5" i="20"/>
  <c r="A6" i="20"/>
  <c r="A101" i="20"/>
  <c r="A102" i="20"/>
  <c r="A5" i="18"/>
  <c r="A352" i="20"/>
  <c r="K10" i="4"/>
  <c r="A322" i="20"/>
  <c r="A324" i="20"/>
  <c r="A328" i="20"/>
  <c r="A326" i="20"/>
  <c r="A325" i="20"/>
  <c r="A329" i="20"/>
  <c r="A323" i="20"/>
  <c r="A327" i="20"/>
  <c r="K30" i="4"/>
  <c r="A35" i="20"/>
  <c r="A41" i="20"/>
  <c r="A40" i="20"/>
  <c r="A137" i="20"/>
  <c r="A133" i="20"/>
  <c r="A230" i="20"/>
  <c r="A135" i="20"/>
  <c r="A131" i="20"/>
  <c r="A136" i="20"/>
  <c r="A34" i="20"/>
  <c r="A233" i="20"/>
  <c r="A132" i="20"/>
  <c r="A39" i="20"/>
  <c r="A37" i="20"/>
  <c r="A36" i="20"/>
  <c r="A229" i="20"/>
  <c r="A134" i="20"/>
  <c r="A130" i="20"/>
  <c r="A227" i="20"/>
  <c r="A228" i="20"/>
  <c r="A226" i="20"/>
  <c r="A38" i="20"/>
  <c r="A232" i="20"/>
  <c r="A231" i="20"/>
  <c r="A57" i="18"/>
  <c r="A6" i="18"/>
  <c r="A9" i="18"/>
  <c r="A3" i="13"/>
  <c r="A2" i="13"/>
  <c r="A20" i="7"/>
  <c r="A23" i="7"/>
  <c r="A21" i="7"/>
  <c r="A22" i="7"/>
  <c r="A27" i="7"/>
  <c r="A24" i="7"/>
  <c r="A25" i="7"/>
  <c r="A26" i="7"/>
  <c r="K58" i="4"/>
  <c r="B30" i="18"/>
  <c r="B46" i="18"/>
  <c r="B94" i="18"/>
  <c r="B14" i="18"/>
  <c r="B110" i="18"/>
  <c r="D25" i="6"/>
  <c r="B142" i="18"/>
  <c r="A110" i="18"/>
  <c r="A78" i="18"/>
  <c r="H73" i="11"/>
  <c r="C73" i="4"/>
  <c r="H93" i="11"/>
  <c r="C93" i="4"/>
  <c r="H30" i="11"/>
  <c r="C30" i="4"/>
  <c r="H47" i="11"/>
  <c r="C47" i="4"/>
  <c r="H63" i="11"/>
  <c r="C63" i="4"/>
  <c r="H79" i="11"/>
  <c r="C79" i="4"/>
  <c r="H15" i="11"/>
  <c r="C15" i="4"/>
  <c r="H17" i="11"/>
  <c r="C17" i="6" s="1"/>
  <c r="A17" i="6" s="1"/>
  <c r="C17" i="4"/>
  <c r="H65" i="11"/>
  <c r="C65" i="4"/>
  <c r="H81" i="11"/>
  <c r="C81" i="4"/>
  <c r="H97" i="11"/>
  <c r="C97" i="4"/>
  <c r="K2" i="4"/>
  <c r="A53" i="7"/>
  <c r="A52" i="7"/>
  <c r="A51" i="7"/>
  <c r="A50" i="7"/>
  <c r="A55" i="7"/>
  <c r="A54" i="7"/>
  <c r="A51" i="20"/>
  <c r="A246" i="20"/>
  <c r="A242" i="20"/>
  <c r="A243" i="20"/>
  <c r="A148" i="20"/>
  <c r="A53" i="20"/>
  <c r="A149" i="20"/>
  <c r="A54" i="20"/>
  <c r="A147" i="20"/>
  <c r="A245" i="20"/>
  <c r="A55" i="20"/>
  <c r="A50" i="20"/>
  <c r="A151" i="20"/>
  <c r="A146" i="20"/>
  <c r="A244" i="20"/>
  <c r="A52" i="20"/>
  <c r="A150" i="20"/>
  <c r="A247" i="20"/>
  <c r="H83" i="11"/>
  <c r="C83" i="4"/>
  <c r="H14" i="11"/>
  <c r="C14" i="4"/>
  <c r="H7" i="11"/>
  <c r="C7" i="4"/>
  <c r="H23" i="11"/>
  <c r="C23" i="4"/>
  <c r="H39" i="11"/>
  <c r="C39" i="4"/>
  <c r="H71" i="11"/>
  <c r="C71" i="4"/>
  <c r="H56" i="11"/>
  <c r="C56" i="4"/>
  <c r="H72" i="11"/>
  <c r="C72" i="4"/>
  <c r="B176" i="18"/>
  <c r="A144" i="18"/>
  <c r="A129" i="18"/>
  <c r="A128" i="18"/>
  <c r="A97" i="18"/>
  <c r="A65" i="18"/>
  <c r="A49" i="18"/>
  <c r="A96" i="18"/>
  <c r="A33" i="18"/>
  <c r="A161" i="18"/>
  <c r="A80" i="18"/>
  <c r="A176" i="18"/>
  <c r="A17" i="18"/>
  <c r="B128" i="18"/>
  <c r="A145" i="18"/>
  <c r="B144" i="18"/>
  <c r="D64" i="18"/>
  <c r="B122" i="18"/>
  <c r="B138" i="18"/>
  <c r="D41" i="6"/>
  <c r="B58" i="18"/>
  <c r="B60" i="18"/>
  <c r="B74" i="18"/>
  <c r="B90" i="18"/>
  <c r="B184" i="18"/>
  <c r="B174" i="18"/>
  <c r="B170" i="18"/>
  <c r="B93" i="18"/>
  <c r="B141" i="18"/>
  <c r="B186" i="18"/>
  <c r="B158" i="18"/>
  <c r="B134" i="18"/>
  <c r="B109" i="18"/>
  <c r="A122" i="18"/>
  <c r="B93" i="6"/>
  <c r="B13" i="18"/>
  <c r="A18" i="3"/>
  <c r="A17" i="3"/>
  <c r="A16" i="3"/>
  <c r="A15" i="3"/>
  <c r="A14" i="3"/>
  <c r="A13" i="3"/>
  <c r="A12" i="3"/>
  <c r="A27" i="3"/>
  <c r="A11" i="3"/>
  <c r="A26" i="3"/>
  <c r="A10" i="3"/>
  <c r="A25" i="3"/>
  <c r="A9" i="3"/>
  <c r="A24" i="3"/>
  <c r="A8" i="3"/>
  <c r="A23" i="3"/>
  <c r="A7" i="3"/>
  <c r="A22" i="3"/>
  <c r="A6" i="3"/>
  <c r="A21" i="3"/>
  <c r="A5" i="3"/>
  <c r="A3" i="3"/>
  <c r="A20" i="3"/>
  <c r="A4" i="3"/>
  <c r="A19" i="3"/>
  <c r="D2" i="13"/>
  <c r="D3" i="13"/>
  <c r="H91" i="11"/>
  <c r="H75" i="11"/>
  <c r="H59" i="11"/>
  <c r="H43" i="11"/>
  <c r="H27" i="11"/>
  <c r="H11" i="11"/>
  <c r="H90" i="11"/>
  <c r="H74" i="11"/>
  <c r="H58" i="11"/>
  <c r="H42" i="11"/>
  <c r="H26" i="11"/>
  <c r="H10" i="11"/>
  <c r="H89" i="11"/>
  <c r="H57" i="11"/>
  <c r="H41" i="11"/>
  <c r="H25" i="11"/>
  <c r="H9" i="11"/>
  <c r="H88" i="11"/>
  <c r="H40" i="11"/>
  <c r="H24" i="11"/>
  <c r="H8" i="11"/>
  <c r="H87" i="11"/>
  <c r="H55" i="11"/>
  <c r="H86" i="11"/>
  <c r="H70" i="11"/>
  <c r="H54" i="11"/>
  <c r="H38" i="11"/>
  <c r="H22" i="11"/>
  <c r="H6" i="11"/>
  <c r="H85" i="11"/>
  <c r="H69" i="11"/>
  <c r="H53" i="11"/>
  <c r="H37" i="11"/>
  <c r="H21" i="11"/>
  <c r="H5" i="11"/>
  <c r="H84" i="11"/>
  <c r="H68" i="11"/>
  <c r="H52" i="11"/>
  <c r="H36" i="11"/>
  <c r="H20" i="11"/>
  <c r="H4" i="11"/>
  <c r="H67" i="11"/>
  <c r="H51" i="11"/>
  <c r="H35" i="11"/>
  <c r="H19" i="11"/>
  <c r="H3" i="11"/>
  <c r="D74" i="6"/>
  <c r="H2" i="11"/>
  <c r="H82" i="11"/>
  <c r="H66" i="11"/>
  <c r="H50" i="11"/>
  <c r="C50" i="6" s="1"/>
  <c r="B50" i="6" s="1"/>
  <c r="H34" i="11"/>
  <c r="H18" i="11"/>
  <c r="H49" i="11"/>
  <c r="H33" i="11"/>
  <c r="C33" i="6" s="1"/>
  <c r="B33" i="6" s="1"/>
  <c r="D71" i="6"/>
  <c r="H96" i="11"/>
  <c r="H80" i="11"/>
  <c r="H64" i="11"/>
  <c r="H48" i="11"/>
  <c r="H32" i="11"/>
  <c r="H16" i="11"/>
  <c r="H95" i="11"/>
  <c r="H31" i="11"/>
  <c r="H94" i="11"/>
  <c r="H78" i="11"/>
  <c r="H62" i="11"/>
  <c r="H46" i="11"/>
  <c r="H77" i="11"/>
  <c r="H61" i="11"/>
  <c r="H45" i="11"/>
  <c r="H29" i="11"/>
  <c r="H13" i="11"/>
  <c r="D55" i="6"/>
  <c r="H92" i="11"/>
  <c r="H76" i="11"/>
  <c r="H60" i="11"/>
  <c r="H44" i="11"/>
  <c r="H28" i="11"/>
  <c r="H12" i="11"/>
  <c r="D60" i="6"/>
  <c r="B60" i="6"/>
  <c r="D54" i="6"/>
  <c r="B76" i="6"/>
  <c r="B92" i="6"/>
  <c r="D92" i="6"/>
  <c r="D9" i="6"/>
  <c r="D86" i="6"/>
  <c r="D76" i="6"/>
  <c r="A56" i="6"/>
  <c r="D87" i="6"/>
  <c r="A52" i="6"/>
  <c r="B67" i="6"/>
  <c r="D83" i="6"/>
  <c r="D88" i="6"/>
  <c r="B56" i="6"/>
  <c r="B72" i="6"/>
  <c r="B88" i="6"/>
  <c r="D72" i="6"/>
  <c r="D79" i="6"/>
  <c r="B79" i="6"/>
  <c r="B68" i="6"/>
  <c r="B91" i="6"/>
  <c r="D75" i="6"/>
  <c r="B80" i="6"/>
  <c r="D52" i="6"/>
  <c r="B59" i="6"/>
  <c r="D51" i="6"/>
  <c r="D95" i="6"/>
  <c r="A91" i="6"/>
  <c r="B83" i="6"/>
  <c r="B51" i="6"/>
  <c r="B84" i="6"/>
  <c r="B95" i="6"/>
  <c r="D68" i="6"/>
  <c r="A84" i="6"/>
  <c r="B63" i="6"/>
  <c r="D67" i="6"/>
  <c r="A75" i="6"/>
  <c r="D63" i="6"/>
  <c r="B65" i="6"/>
  <c r="D59" i="6"/>
  <c r="B170" i="6"/>
  <c r="D90" i="6"/>
  <c r="A118" i="6"/>
  <c r="A102" i="6"/>
  <c r="A86" i="6"/>
  <c r="A70" i="6"/>
  <c r="A54" i="6"/>
  <c r="B74" i="6"/>
  <c r="B106" i="6"/>
  <c r="D108" i="6"/>
  <c r="D154" i="6"/>
  <c r="A178" i="6"/>
  <c r="A162" i="6"/>
  <c r="A146" i="6"/>
  <c r="A130" i="6"/>
  <c r="A114" i="6"/>
  <c r="A98" i="6"/>
  <c r="A82" i="6"/>
  <c r="A66" i="6"/>
  <c r="D106" i="6"/>
  <c r="A177" i="6"/>
  <c r="A161" i="6"/>
  <c r="A145" i="6"/>
  <c r="A129" i="6"/>
  <c r="A113" i="6"/>
  <c r="A97" i="6"/>
  <c r="A81" i="6"/>
  <c r="A49" i="6"/>
  <c r="D58" i="6"/>
  <c r="A176" i="6"/>
  <c r="A160" i="6"/>
  <c r="A144" i="6"/>
  <c r="A128" i="6"/>
  <c r="A112" i="6"/>
  <c r="A96" i="6"/>
  <c r="A80" i="6"/>
  <c r="A64" i="6"/>
  <c r="B141" i="6"/>
  <c r="D124" i="6"/>
  <c r="A158" i="6"/>
  <c r="A142" i="6"/>
  <c r="A126" i="6"/>
  <c r="A110" i="6"/>
  <c r="A94" i="6"/>
  <c r="A78" i="6"/>
  <c r="A62" i="6"/>
  <c r="B125" i="6"/>
  <c r="B58" i="6"/>
  <c r="B90" i="6"/>
  <c r="B122" i="6"/>
  <c r="B154" i="6"/>
  <c r="D170" i="6"/>
  <c r="A173" i="6"/>
  <c r="A157" i="6"/>
  <c r="A141" i="6"/>
  <c r="A125" i="6"/>
  <c r="A109" i="6"/>
  <c r="A93" i="6"/>
  <c r="A77" i="6"/>
  <c r="A61" i="6"/>
  <c r="D122" i="6"/>
  <c r="B152" i="18"/>
  <c r="A92" i="18"/>
  <c r="A72" i="18"/>
  <c r="B120" i="18"/>
  <c r="A76" i="18"/>
  <c r="A188" i="18"/>
  <c r="B136" i="18"/>
  <c r="A44" i="18"/>
  <c r="A124" i="18"/>
  <c r="B28" i="18"/>
  <c r="B126" i="18"/>
  <c r="B166" i="18"/>
  <c r="A42" i="18"/>
  <c r="A123" i="18"/>
  <c r="A155" i="18"/>
  <c r="A26" i="18"/>
  <c r="B106" i="18"/>
  <c r="B154" i="18"/>
  <c r="A106" i="18"/>
  <c r="A10" i="18"/>
  <c r="B127" i="18"/>
  <c r="A186" i="18"/>
  <c r="B86" i="18"/>
  <c r="A90" i="18"/>
  <c r="A187" i="18"/>
  <c r="B27" i="18"/>
  <c r="A170" i="18"/>
  <c r="A184" i="18"/>
  <c r="B50" i="18"/>
  <c r="A154" i="18"/>
  <c r="A40" i="18"/>
  <c r="D82" i="18"/>
  <c r="A138" i="18"/>
  <c r="A74" i="18"/>
  <c r="B159" i="18"/>
  <c r="D63" i="18"/>
  <c r="B43" i="18"/>
  <c r="A134" i="18"/>
  <c r="A70" i="18"/>
  <c r="A58" i="18"/>
  <c r="A152" i="18"/>
  <c r="A163" i="18"/>
  <c r="A99" i="18"/>
  <c r="D120" i="18"/>
  <c r="D56" i="18"/>
  <c r="A35" i="18"/>
  <c r="A47" i="18"/>
  <c r="D178" i="18"/>
  <c r="D114" i="18"/>
  <c r="B163" i="18"/>
  <c r="A148" i="18"/>
  <c r="D112" i="18"/>
  <c r="B115" i="18"/>
  <c r="A147" i="18"/>
  <c r="D175" i="18"/>
  <c r="D111" i="18"/>
  <c r="B3" i="18"/>
  <c r="B51" i="18"/>
  <c r="B179" i="18"/>
  <c r="A20" i="18"/>
  <c r="D168" i="18"/>
  <c r="D104" i="18"/>
  <c r="A83" i="18"/>
  <c r="A19" i="18"/>
  <c r="D162" i="18"/>
  <c r="D98" i="18"/>
  <c r="B35" i="18"/>
  <c r="D160" i="18"/>
  <c r="A131" i="18"/>
  <c r="D95" i="18"/>
  <c r="B67" i="18"/>
  <c r="B131" i="18"/>
  <c r="D88" i="18"/>
  <c r="D146" i="18"/>
  <c r="B19" i="18"/>
  <c r="B68" i="18"/>
  <c r="A67" i="18"/>
  <c r="B121" i="18"/>
  <c r="B83" i="18"/>
  <c r="A105" i="18"/>
  <c r="D143" i="18"/>
  <c r="D79" i="18"/>
  <c r="A100" i="18"/>
  <c r="D136" i="18"/>
  <c r="A179" i="18"/>
  <c r="A51" i="18"/>
  <c r="D130" i="18"/>
  <c r="D66" i="18"/>
  <c r="B128" i="6"/>
  <c r="B177" i="6"/>
  <c r="B114" i="6"/>
  <c r="B81" i="6"/>
  <c r="B178" i="6"/>
  <c r="D162" i="6"/>
  <c r="D146" i="6"/>
  <c r="D130" i="6"/>
  <c r="D98" i="6"/>
  <c r="D82" i="6"/>
  <c r="D66" i="6"/>
  <c r="B61" i="6"/>
  <c r="B109" i="6"/>
  <c r="B129" i="6"/>
  <c r="D161" i="6"/>
  <c r="D145" i="6"/>
  <c r="D113" i="6"/>
  <c r="D97" i="6"/>
  <c r="D65" i="6"/>
  <c r="D49" i="6"/>
  <c r="B96" i="6"/>
  <c r="D160" i="6"/>
  <c r="D144" i="6"/>
  <c r="D112" i="6"/>
  <c r="D64" i="6"/>
  <c r="B173" i="6"/>
  <c r="D174" i="6"/>
  <c r="D77" i="6"/>
  <c r="B186" i="6"/>
  <c r="B55" i="6"/>
  <c r="B71" i="6"/>
  <c r="B87" i="6"/>
  <c r="B103" i="6"/>
  <c r="B119" i="6"/>
  <c r="B135" i="6"/>
  <c r="B151" i="6"/>
  <c r="B167" i="6"/>
  <c r="B62" i="6"/>
  <c r="B78" i="6"/>
  <c r="B94" i="6"/>
  <c r="B110" i="6"/>
  <c r="B126" i="6"/>
  <c r="B142" i="6"/>
  <c r="B158" i="6"/>
  <c r="B174" i="6"/>
  <c r="B187" i="6"/>
  <c r="B53" i="6"/>
  <c r="B69" i="6"/>
  <c r="B85" i="6"/>
  <c r="B101" i="6"/>
  <c r="B117" i="6"/>
  <c r="B133" i="6"/>
  <c r="B149" i="6"/>
  <c r="B165" i="6"/>
  <c r="B181" i="6"/>
  <c r="B140" i="6"/>
  <c r="B156" i="6"/>
  <c r="B172" i="6"/>
  <c r="B188" i="6"/>
  <c r="B9" i="6"/>
  <c r="B25" i="6"/>
  <c r="B41" i="6"/>
  <c r="B57" i="6"/>
  <c r="B73" i="6"/>
  <c r="B89" i="6"/>
  <c r="B105" i="6"/>
  <c r="B121" i="6"/>
  <c r="B137" i="6"/>
  <c r="B153" i="6"/>
  <c r="B169" i="6"/>
  <c r="B185" i="6"/>
  <c r="B150" i="6"/>
  <c r="B166" i="6"/>
  <c r="B182" i="6"/>
  <c r="A2" i="18"/>
  <c r="A149" i="18"/>
  <c r="A116" i="18"/>
  <c r="D177" i="18"/>
  <c r="B133" i="18"/>
  <c r="B167" i="18"/>
  <c r="A37" i="18"/>
  <c r="B52" i="18"/>
  <c r="A183" i="18"/>
  <c r="A108" i="18"/>
  <c r="B20" i="18"/>
  <c r="B76" i="18"/>
  <c r="B101" i="18"/>
  <c r="A180" i="18"/>
  <c r="A140" i="18"/>
  <c r="A68" i="18"/>
  <c r="D173" i="18"/>
  <c r="D157" i="18"/>
  <c r="D141" i="18"/>
  <c r="D125" i="18"/>
  <c r="D109" i="18"/>
  <c r="D93" i="18"/>
  <c r="D77" i="18"/>
  <c r="D61" i="18"/>
  <c r="A39" i="18"/>
  <c r="B53" i="18"/>
  <c r="B124" i="18"/>
  <c r="B156" i="18"/>
  <c r="A103" i="18"/>
  <c r="A29" i="18"/>
  <c r="A168" i="18"/>
  <c r="A91" i="18"/>
  <c r="A164" i="18"/>
  <c r="A36" i="18"/>
  <c r="D188" i="18"/>
  <c r="D172" i="18"/>
  <c r="D156" i="18"/>
  <c r="D140" i="18"/>
  <c r="D108" i="18"/>
  <c r="D92" i="18"/>
  <c r="D60" i="18"/>
  <c r="B21" i="18"/>
  <c r="B77" i="18"/>
  <c r="A101" i="18"/>
  <c r="A61" i="18"/>
  <c r="B164" i="18"/>
  <c r="D171" i="18"/>
  <c r="D139" i="18"/>
  <c r="D107" i="18"/>
  <c r="D59" i="18"/>
  <c r="B180" i="18"/>
  <c r="B12" i="18"/>
  <c r="B125" i="18"/>
  <c r="A173" i="18"/>
  <c r="A133" i="18"/>
  <c r="B151" i="18"/>
  <c r="B172" i="18"/>
  <c r="A23" i="18"/>
  <c r="A150" i="18"/>
  <c r="D185" i="18"/>
  <c r="D169" i="18"/>
  <c r="D153" i="18"/>
  <c r="D137" i="18"/>
  <c r="D73" i="18"/>
  <c r="D41" i="18"/>
  <c r="D25" i="18"/>
  <c r="A55" i="18"/>
  <c r="D183" i="18"/>
  <c r="D167" i="18"/>
  <c r="D151" i="18"/>
  <c r="D135" i="18"/>
  <c r="D119" i="18"/>
  <c r="D87" i="18"/>
  <c r="D71" i="18"/>
  <c r="B69" i="18"/>
  <c r="A165" i="18"/>
  <c r="A52" i="18"/>
  <c r="D182" i="18"/>
  <c r="D166" i="18"/>
  <c r="D102" i="18"/>
  <c r="D70" i="18"/>
  <c r="B4" i="18"/>
  <c r="B36" i="18"/>
  <c r="D181" i="18"/>
  <c r="D165" i="18"/>
  <c r="D149" i="18"/>
  <c r="D117" i="18"/>
  <c r="D85" i="18"/>
  <c r="D69" i="18"/>
  <c r="D53" i="18"/>
  <c r="A157" i="18"/>
  <c r="A119" i="18"/>
  <c r="A85" i="18"/>
  <c r="D148" i="18"/>
  <c r="D132" i="18"/>
  <c r="D84" i="18"/>
  <c r="A84" i="18"/>
  <c r="A45" i="18"/>
  <c r="B132" i="18"/>
  <c r="B135" i="18"/>
  <c r="B153" i="18"/>
  <c r="B38" i="18"/>
  <c r="B59" i="18"/>
  <c r="A160" i="18"/>
  <c r="A102" i="18"/>
  <c r="B95" i="18"/>
  <c r="B169" i="18"/>
  <c r="A185" i="18"/>
  <c r="B11" i="18"/>
  <c r="B182" i="18"/>
  <c r="A181" i="18"/>
  <c r="A86" i="18"/>
  <c r="B114" i="18"/>
  <c r="B129" i="18"/>
  <c r="B145" i="18"/>
  <c r="B161" i="18"/>
  <c r="B177" i="18"/>
  <c r="B146" i="18"/>
  <c r="B66" i="18"/>
  <c r="B78" i="18"/>
  <c r="B91" i="18"/>
  <c r="B116" i="18"/>
  <c r="A178" i="18"/>
  <c r="A162" i="18"/>
  <c r="A130" i="18"/>
  <c r="A98" i="18"/>
  <c r="A82" i="18"/>
  <c r="A50" i="18"/>
  <c r="A34" i="18"/>
  <c r="A18" i="18"/>
  <c r="B47" i="18"/>
  <c r="B123" i="18"/>
  <c r="B139" i="18"/>
  <c r="B155" i="18"/>
  <c r="B171" i="18"/>
  <c r="B187" i="18"/>
  <c r="A113" i="18"/>
  <c r="A81" i="18"/>
  <c r="B79" i="18"/>
  <c r="A175" i="18"/>
  <c r="A159" i="18"/>
  <c r="A143" i="18"/>
  <c r="A127" i="18"/>
  <c r="A63" i="18"/>
  <c r="A31" i="18"/>
  <c r="B24" i="18"/>
  <c r="A174" i="18"/>
  <c r="A158" i="18"/>
  <c r="A142" i="18"/>
  <c r="A126" i="18"/>
  <c r="A94" i="18"/>
  <c r="A62" i="18"/>
  <c r="B62" i="18"/>
  <c r="B75" i="18"/>
  <c r="B100" i="18"/>
  <c r="A107" i="18"/>
  <c r="A75" i="18"/>
  <c r="B8" i="18"/>
  <c r="B9" i="18"/>
  <c r="B25" i="18"/>
  <c r="B41" i="18"/>
  <c r="B57" i="18"/>
  <c r="B73" i="18"/>
  <c r="B89" i="18"/>
  <c r="B105" i="18"/>
  <c r="B16" i="18"/>
  <c r="B32" i="18"/>
  <c r="B48" i="18"/>
  <c r="B64" i="18"/>
  <c r="B80" i="18"/>
  <c r="B96" i="18"/>
  <c r="B112" i="18"/>
  <c r="B7" i="18"/>
  <c r="B23" i="18"/>
  <c r="B39" i="18"/>
  <c r="B55" i="18"/>
  <c r="B71" i="18"/>
  <c r="B87" i="18"/>
  <c r="B103" i="18"/>
  <c r="B17" i="18"/>
  <c r="B33" i="18"/>
  <c r="B49" i="18"/>
  <c r="B65" i="18"/>
  <c r="B81" i="18"/>
  <c r="B97" i="18"/>
  <c r="B113" i="18"/>
  <c r="B40" i="18"/>
  <c r="B56" i="18"/>
  <c r="B72" i="18"/>
  <c r="B88" i="18"/>
  <c r="B104" i="18"/>
  <c r="B17" i="6" l="1"/>
  <c r="A50" i="6"/>
  <c r="A33" i="6"/>
  <c r="B189" i="18"/>
  <c r="D22" i="7"/>
  <c r="B21" i="7"/>
  <c r="B22" i="7"/>
  <c r="D21" i="7"/>
  <c r="C2" i="6"/>
  <c r="A3" i="11"/>
  <c r="C3" i="6"/>
  <c r="A4" i="11"/>
  <c r="C4" i="6"/>
  <c r="A5" i="11"/>
  <c r="C5" i="6"/>
  <c r="A6" i="11"/>
  <c r="C6" i="6"/>
  <c r="A7" i="11"/>
  <c r="C7" i="6"/>
  <c r="A8" i="11"/>
  <c r="C8" i="6"/>
  <c r="A9" i="11"/>
  <c r="A10" i="11"/>
  <c r="C10" i="6"/>
  <c r="A11" i="11"/>
  <c r="C11" i="6"/>
  <c r="A12" i="11"/>
  <c r="C12" i="6"/>
  <c r="A13" i="11"/>
  <c r="C13" i="6"/>
  <c r="A14" i="11"/>
  <c r="C14" i="6"/>
  <c r="A15" i="11"/>
  <c r="C15" i="6"/>
  <c r="A16" i="11"/>
  <c r="C16" i="6"/>
  <c r="A17" i="11"/>
  <c r="A18" i="11"/>
  <c r="C18" i="6"/>
  <c r="A19" i="11"/>
  <c r="C19" i="6"/>
  <c r="A20" i="11"/>
  <c r="C20" i="6"/>
  <c r="A21" i="11"/>
  <c r="C21" i="6"/>
  <c r="A22" i="11"/>
  <c r="C22" i="6"/>
  <c r="A23" i="11"/>
  <c r="C23" i="6"/>
  <c r="A24" i="11"/>
  <c r="C24" i="6"/>
  <c r="A25" i="11"/>
  <c r="A26" i="11"/>
  <c r="C26" i="6"/>
  <c r="B5" i="6" l="1"/>
  <c r="A5" i="6"/>
  <c r="B4" i="6"/>
  <c r="A4" i="6"/>
  <c r="B13" i="6"/>
  <c r="A13" i="6"/>
  <c r="B11" i="6"/>
  <c r="A11" i="6"/>
  <c r="B3" i="6"/>
  <c r="A3" i="6"/>
  <c r="B10" i="6"/>
  <c r="A10" i="6"/>
  <c r="B2" i="6"/>
  <c r="A2" i="6"/>
  <c r="A14" i="6"/>
  <c r="B14" i="6"/>
  <c r="B26" i="6"/>
  <c r="A26" i="6"/>
  <c r="B6" i="6"/>
  <c r="A6" i="6"/>
  <c r="A18" i="6"/>
  <c r="B18" i="6"/>
  <c r="B12" i="6"/>
  <c r="A12" i="6"/>
  <c r="B16" i="6"/>
  <c r="A16" i="6"/>
  <c r="B8" i="6"/>
  <c r="A8" i="6"/>
  <c r="B21" i="6"/>
  <c r="A21" i="6"/>
  <c r="B22" i="6"/>
  <c r="A22" i="6"/>
  <c r="B20" i="6"/>
  <c r="A20" i="6"/>
  <c r="B24" i="6"/>
  <c r="A24" i="6"/>
  <c r="B23" i="6"/>
  <c r="A23" i="6"/>
  <c r="A7" i="6"/>
  <c r="B7" i="6"/>
  <c r="B19" i="6"/>
  <c r="A19" i="6"/>
  <c r="B15" i="6"/>
  <c r="A15" i="6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C3" i="14"/>
  <c r="A3" i="14" s="1"/>
  <c r="C4" i="14"/>
  <c r="A4" i="14" s="1"/>
  <c r="C5" i="14"/>
  <c r="A5" i="14" s="1"/>
  <c r="C6" i="14"/>
  <c r="A6" i="14" s="1"/>
  <c r="C7" i="14"/>
  <c r="A7" i="14" s="1"/>
  <c r="C8" i="14"/>
  <c r="A8" i="14" s="1"/>
  <c r="C9" i="14"/>
  <c r="A9" i="14" s="1"/>
  <c r="C10" i="14"/>
  <c r="A10" i="14" s="1"/>
  <c r="C11" i="14"/>
  <c r="A11" i="14" s="1"/>
  <c r="C12" i="14"/>
  <c r="A12" i="14" s="1"/>
  <c r="C13" i="14"/>
  <c r="A13" i="14" s="1"/>
  <c r="C14" i="14"/>
  <c r="A14" i="14" s="1"/>
  <c r="C15" i="14"/>
  <c r="A15" i="14" s="1"/>
  <c r="C16" i="14"/>
  <c r="A16" i="14" s="1"/>
  <c r="C17" i="14"/>
  <c r="A17" i="14" s="1"/>
  <c r="C18" i="14"/>
  <c r="A18" i="14" s="1"/>
  <c r="C19" i="14"/>
  <c r="A19" i="14" s="1"/>
  <c r="C20" i="14"/>
  <c r="A20" i="14" s="1"/>
  <c r="C21" i="14"/>
  <c r="A21" i="14" s="1"/>
  <c r="C22" i="14"/>
  <c r="A22" i="14" s="1"/>
  <c r="C23" i="14"/>
  <c r="A23" i="14" s="1"/>
  <c r="C24" i="14"/>
  <c r="A24" i="14" s="1"/>
  <c r="C25" i="14"/>
  <c r="A25" i="14" s="1"/>
  <c r="C26" i="14"/>
  <c r="A26" i="14" s="1"/>
  <c r="C27" i="14"/>
  <c r="A27" i="14" s="1"/>
  <c r="C28" i="14"/>
  <c r="A28" i="14" s="1"/>
  <c r="C29" i="14"/>
  <c r="A29" i="14" s="1"/>
  <c r="C30" i="14"/>
  <c r="A30" i="14" s="1"/>
  <c r="C31" i="14"/>
  <c r="A31" i="14" s="1"/>
  <c r="C32" i="14"/>
  <c r="A32" i="14" s="1"/>
  <c r="C33" i="14"/>
  <c r="A33" i="14" s="1"/>
  <c r="C34" i="14"/>
  <c r="A34" i="14" s="1"/>
  <c r="C35" i="14"/>
  <c r="A35" i="14" s="1"/>
  <c r="C36" i="14"/>
  <c r="A36" i="14" s="1"/>
  <c r="C37" i="14"/>
  <c r="A37" i="14" s="1"/>
  <c r="C38" i="14"/>
  <c r="A38" i="14" s="1"/>
  <c r="C39" i="14"/>
  <c r="A39" i="14" s="1"/>
  <c r="C40" i="14"/>
  <c r="A40" i="14" s="1"/>
  <c r="C41" i="14"/>
  <c r="A41" i="14" s="1"/>
  <c r="C42" i="14"/>
  <c r="A42" i="14" s="1"/>
  <c r="C43" i="14"/>
  <c r="A43" i="14" s="1"/>
  <c r="C44" i="14"/>
  <c r="A44" i="14" s="1"/>
  <c r="C45" i="14"/>
  <c r="A45" i="14" s="1"/>
  <c r="C46" i="14"/>
  <c r="A46" i="14" s="1"/>
  <c r="C47" i="14"/>
  <c r="C48" i="14"/>
  <c r="A48" i="14" s="1"/>
  <c r="C49" i="14"/>
  <c r="A49" i="14" s="1"/>
  <c r="C50" i="14"/>
  <c r="A50" i="14" s="1"/>
  <c r="C51" i="14"/>
  <c r="A51" i="14" s="1"/>
  <c r="C52" i="14"/>
  <c r="A52" i="14" s="1"/>
  <c r="C53" i="14"/>
  <c r="A53" i="14" s="1"/>
  <c r="C54" i="14"/>
  <c r="A54" i="14" s="1"/>
  <c r="C55" i="14"/>
  <c r="A55" i="14" s="1"/>
  <c r="C56" i="14"/>
  <c r="A56" i="14" s="1"/>
  <c r="C57" i="14"/>
  <c r="A57" i="14" s="1"/>
  <c r="C58" i="14"/>
  <c r="A58" i="14" s="1"/>
  <c r="C59" i="14"/>
  <c r="A59" i="14" s="1"/>
  <c r="C60" i="14"/>
  <c r="A60" i="14" s="1"/>
  <c r="C61" i="14"/>
  <c r="A61" i="14" s="1"/>
  <c r="C62" i="14"/>
  <c r="A62" i="14" s="1"/>
  <c r="C63" i="14"/>
  <c r="A63" i="14" s="1"/>
  <c r="C64" i="14"/>
  <c r="A64" i="14" s="1"/>
  <c r="C65" i="14"/>
  <c r="A65" i="14" s="1"/>
  <c r="C66" i="14"/>
  <c r="A66" i="14" s="1"/>
  <c r="C67" i="14"/>
  <c r="A67" i="14" s="1"/>
  <c r="C68" i="14"/>
  <c r="A68" i="14" s="1"/>
  <c r="C69" i="14"/>
  <c r="A69" i="14" s="1"/>
  <c r="C70" i="14"/>
  <c r="A70" i="14" s="1"/>
  <c r="C71" i="14"/>
  <c r="A71" i="14" s="1"/>
  <c r="C72" i="14"/>
  <c r="A72" i="14" s="1"/>
  <c r="C73" i="14"/>
  <c r="A73" i="14" s="1"/>
  <c r="C74" i="14"/>
  <c r="A74" i="14" s="1"/>
  <c r="C75" i="14"/>
  <c r="A75" i="14" s="1"/>
  <c r="C76" i="14"/>
  <c r="A76" i="14" s="1"/>
  <c r="C77" i="14"/>
  <c r="A77" i="14" s="1"/>
  <c r="C78" i="14"/>
  <c r="A78" i="14" s="1"/>
  <c r="C79" i="14"/>
  <c r="A79" i="14" s="1"/>
  <c r="C80" i="14"/>
  <c r="A80" i="14" s="1"/>
  <c r="C81" i="14"/>
  <c r="A81" i="14" s="1"/>
  <c r="C82" i="14"/>
  <c r="A82" i="14" s="1"/>
  <c r="C83" i="14"/>
  <c r="A83" i="14" s="1"/>
  <c r="C84" i="14"/>
  <c r="A84" i="14" s="1"/>
  <c r="C85" i="14"/>
  <c r="A85" i="14" s="1"/>
  <c r="C86" i="14"/>
  <c r="A86" i="14" s="1"/>
  <c r="C87" i="14"/>
  <c r="A87" i="14" s="1"/>
  <c r="C88" i="14"/>
  <c r="A88" i="14" s="1"/>
  <c r="C89" i="14"/>
  <c r="A89" i="14" s="1"/>
  <c r="C90" i="14"/>
  <c r="A90" i="14" s="1"/>
  <c r="C91" i="14"/>
  <c r="A91" i="14" s="1"/>
  <c r="C92" i="14"/>
  <c r="A92" i="14" s="1"/>
  <c r="C93" i="14"/>
  <c r="A93" i="14" s="1"/>
  <c r="C94" i="14"/>
  <c r="A94" i="14" s="1"/>
  <c r="C95" i="14"/>
  <c r="A95" i="14" s="1"/>
  <c r="C96" i="14"/>
  <c r="A96" i="14" s="1"/>
  <c r="C97" i="14"/>
  <c r="A97" i="14" s="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2" i="11"/>
  <c r="L2" i="11" s="1"/>
  <c r="D2" i="18" s="1"/>
  <c r="C2" i="12"/>
  <c r="A2" i="12" s="1"/>
  <c r="C27" i="6"/>
  <c r="C35" i="6"/>
  <c r="C43" i="6"/>
  <c r="C28" i="6"/>
  <c r="C36" i="6"/>
  <c r="C44" i="6"/>
  <c r="C29" i="6"/>
  <c r="C37" i="6"/>
  <c r="C45" i="6"/>
  <c r="C30" i="6"/>
  <c r="C38" i="6"/>
  <c r="C46" i="6"/>
  <c r="C31" i="6"/>
  <c r="C39" i="6"/>
  <c r="C47" i="6"/>
  <c r="C32" i="6"/>
  <c r="C40" i="6"/>
  <c r="C48" i="6"/>
  <c r="C34" i="6"/>
  <c r="C42" i="6"/>
  <c r="B47" i="14" l="1"/>
  <c r="A47" i="14"/>
  <c r="D81" i="8"/>
  <c r="D78" i="14"/>
  <c r="D59" i="8"/>
  <c r="D54" i="14"/>
  <c r="D2" i="6"/>
  <c r="B43" i="6"/>
  <c r="A43" i="6"/>
  <c r="B35" i="6"/>
  <c r="A35" i="6"/>
  <c r="B37" i="6"/>
  <c r="A37" i="6"/>
  <c r="B29" i="6"/>
  <c r="A29" i="6"/>
  <c r="B27" i="6"/>
  <c r="A27" i="6"/>
  <c r="B42" i="6"/>
  <c r="A42" i="6"/>
  <c r="B34" i="6"/>
  <c r="A34" i="6"/>
  <c r="B48" i="6"/>
  <c r="A48" i="6"/>
  <c r="B40" i="6"/>
  <c r="A40" i="6"/>
  <c r="A32" i="6"/>
  <c r="B32" i="6"/>
  <c r="A46" i="6"/>
  <c r="B46" i="6"/>
  <c r="B38" i="6"/>
  <c r="A38" i="6"/>
  <c r="B44" i="6"/>
  <c r="A44" i="6"/>
  <c r="B36" i="6"/>
  <c r="A36" i="6"/>
  <c r="A30" i="6"/>
  <c r="B30" i="6"/>
  <c r="B28" i="6"/>
  <c r="A28" i="6"/>
  <c r="B47" i="6"/>
  <c r="A47" i="6"/>
  <c r="A39" i="6"/>
  <c r="B39" i="6"/>
  <c r="B31" i="6"/>
  <c r="A31" i="6"/>
  <c r="B45" i="6"/>
  <c r="A45" i="6"/>
  <c r="D3" i="14"/>
  <c r="D90" i="14"/>
  <c r="D75" i="14"/>
  <c r="D59" i="14"/>
  <c r="B45" i="14"/>
  <c r="B29" i="14"/>
  <c r="B13" i="14"/>
  <c r="B62" i="8"/>
  <c r="B77" i="14"/>
  <c r="B58" i="14"/>
  <c r="D27" i="14"/>
  <c r="B73" i="14"/>
  <c r="B30" i="8"/>
  <c r="D97" i="7"/>
  <c r="B90" i="8"/>
  <c r="D15" i="14"/>
  <c r="B89" i="14"/>
  <c r="D87" i="14"/>
  <c r="D26" i="14"/>
  <c r="B96" i="7"/>
  <c r="D71" i="14"/>
  <c r="D55" i="14"/>
  <c r="B41" i="14"/>
  <c r="B25" i="14"/>
  <c r="B9" i="14"/>
  <c r="D31" i="14"/>
  <c r="D43" i="14"/>
  <c r="B85" i="14"/>
  <c r="B40" i="14"/>
  <c r="B76" i="14"/>
  <c r="B2" i="12"/>
  <c r="B57" i="14"/>
  <c r="D11" i="14"/>
  <c r="D46" i="8"/>
  <c r="B24" i="14"/>
  <c r="B8" i="14"/>
  <c r="B94" i="7"/>
  <c r="B84" i="14"/>
  <c r="B69" i="14"/>
  <c r="D39" i="14"/>
  <c r="D23" i="14"/>
  <c r="D7" i="14"/>
  <c r="B42" i="8"/>
  <c r="B26" i="8"/>
  <c r="D86" i="8"/>
  <c r="D19" i="14"/>
  <c r="B61" i="14"/>
  <c r="B34" i="8"/>
  <c r="D91" i="14"/>
  <c r="D30" i="14"/>
  <c r="D93" i="7"/>
  <c r="D83" i="14"/>
  <c r="B53" i="14"/>
  <c r="D67" i="14"/>
  <c r="B37" i="14"/>
  <c r="B21" i="14"/>
  <c r="B5" i="14"/>
  <c r="D70" i="8"/>
  <c r="D35" i="14"/>
  <c r="B97" i="14"/>
  <c r="B81" i="14"/>
  <c r="D51" i="14"/>
  <c r="D54" i="8"/>
  <c r="D95" i="14"/>
  <c r="D79" i="14"/>
  <c r="B64" i="14"/>
  <c r="B49" i="14"/>
  <c r="B34" i="14"/>
  <c r="D63" i="14"/>
  <c r="B33" i="14"/>
  <c r="B17" i="14"/>
  <c r="B65" i="14"/>
  <c r="D38" i="8"/>
  <c r="B82" i="8"/>
  <c r="B93" i="14"/>
  <c r="D62" i="14"/>
  <c r="D47" i="14"/>
  <c r="B32" i="14"/>
  <c r="B16" i="14"/>
  <c r="D10" i="8"/>
  <c r="B86" i="8"/>
  <c r="D71" i="8"/>
  <c r="B46" i="8"/>
  <c r="B87" i="14"/>
  <c r="D55" i="8"/>
  <c r="D42" i="8"/>
  <c r="D94" i="14"/>
  <c r="D62" i="8"/>
  <c r="D61" i="8"/>
  <c r="D73" i="8"/>
  <c r="B55" i="14"/>
  <c r="D86" i="14"/>
  <c r="D46" i="14"/>
  <c r="B86" i="14"/>
  <c r="D83" i="8"/>
  <c r="B54" i="14"/>
  <c r="B62" i="14"/>
  <c r="B30" i="14"/>
  <c r="D51" i="8"/>
  <c r="B70" i="8"/>
  <c r="D69" i="8"/>
  <c r="D58" i="8"/>
  <c r="D39" i="8"/>
  <c r="D78" i="8"/>
  <c r="B58" i="8"/>
  <c r="D47" i="8"/>
  <c r="D77" i="8"/>
  <c r="D66" i="8"/>
  <c r="D57" i="8"/>
  <c r="B79" i="14"/>
  <c r="D66" i="14"/>
  <c r="B23" i="14"/>
  <c r="B22" i="14"/>
  <c r="B15" i="14"/>
  <c r="D17" i="8"/>
  <c r="B19" i="14"/>
  <c r="B59" i="14"/>
  <c r="B78" i="14"/>
  <c r="B71" i="14"/>
  <c r="D58" i="14"/>
  <c r="B46" i="14"/>
  <c r="D38" i="14"/>
  <c r="D82" i="8"/>
  <c r="D75" i="8"/>
  <c r="B54" i="8"/>
  <c r="B66" i="14"/>
  <c r="B11" i="14"/>
  <c r="B83" i="14"/>
  <c r="D70" i="14"/>
  <c r="B51" i="14"/>
  <c r="D89" i="8"/>
  <c r="D74" i="8"/>
  <c r="D67" i="8"/>
  <c r="B14" i="8"/>
  <c r="D53" i="8"/>
  <c r="D82" i="14"/>
  <c r="B70" i="14"/>
  <c r="B63" i="14"/>
  <c r="D50" i="14"/>
  <c r="B26" i="14"/>
  <c r="B18" i="14"/>
  <c r="B74" i="8"/>
  <c r="D87" i="8"/>
  <c r="D45" i="8"/>
  <c r="D23" i="8"/>
  <c r="B82" i="14"/>
  <c r="B75" i="14"/>
  <c r="B50" i="14"/>
  <c r="B43" i="14"/>
  <c r="B66" i="8"/>
  <c r="D97" i="8"/>
  <c r="D79" i="8"/>
  <c r="B10" i="8"/>
  <c r="D74" i="14"/>
  <c r="D42" i="14"/>
  <c r="D65" i="8"/>
  <c r="D50" i="8"/>
  <c r="D43" i="8"/>
  <c r="D21" i="8"/>
  <c r="B74" i="14"/>
  <c r="B42" i="14"/>
  <c r="B50" i="8"/>
  <c r="B67" i="14"/>
  <c r="D85" i="8"/>
  <c r="B78" i="8"/>
  <c r="D63" i="8"/>
  <c r="D30" i="8"/>
  <c r="D93" i="8"/>
  <c r="D49" i="8"/>
  <c r="D6" i="14"/>
  <c r="D6" i="8"/>
  <c r="B38" i="8"/>
  <c r="B38" i="14"/>
  <c r="B31" i="14"/>
  <c r="D18" i="14"/>
  <c r="B6" i="14"/>
  <c r="D9" i="8"/>
  <c r="D37" i="8"/>
  <c r="D22" i="8"/>
  <c r="D15" i="8"/>
  <c r="D29" i="8"/>
  <c r="B22" i="8"/>
  <c r="D14" i="8"/>
  <c r="D7" i="8"/>
  <c r="D10" i="14"/>
  <c r="D35" i="8"/>
  <c r="B35" i="14"/>
  <c r="D22" i="14"/>
  <c r="B10" i="14"/>
  <c r="B3" i="14"/>
  <c r="D34" i="8"/>
  <c r="D27" i="8"/>
  <c r="D13" i="8"/>
  <c r="B6" i="8"/>
  <c r="D34" i="14"/>
  <c r="D41" i="8"/>
  <c r="D26" i="8"/>
  <c r="D19" i="8"/>
  <c r="D5" i="8"/>
  <c r="B27" i="14"/>
  <c r="D14" i="14"/>
  <c r="D33" i="8"/>
  <c r="D18" i="8"/>
  <c r="D11" i="8"/>
  <c r="B39" i="14"/>
  <c r="B14" i="14"/>
  <c r="B7" i="14"/>
  <c r="D25" i="8"/>
  <c r="B18" i="8"/>
  <c r="D3" i="8"/>
  <c r="D31" i="8"/>
  <c r="B90" i="14"/>
  <c r="D94" i="8"/>
  <c r="B95" i="14"/>
  <c r="B94" i="8"/>
  <c r="B94" i="14"/>
  <c r="D91" i="8"/>
  <c r="D90" i="8"/>
  <c r="B91" i="14"/>
  <c r="D95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D96" i="8"/>
  <c r="D92" i="8"/>
  <c r="D88" i="8"/>
  <c r="D84" i="8"/>
  <c r="D80" i="8"/>
  <c r="D76" i="8"/>
  <c r="D72" i="8"/>
  <c r="D68" i="8"/>
  <c r="D64" i="8"/>
  <c r="D60" i="8"/>
  <c r="D56" i="8"/>
  <c r="D52" i="8"/>
  <c r="D48" i="8"/>
  <c r="D44" i="8"/>
  <c r="D40" i="8"/>
  <c r="D36" i="8"/>
  <c r="D32" i="8"/>
  <c r="D28" i="8"/>
  <c r="D24" i="8"/>
  <c r="D20" i="8"/>
  <c r="D16" i="8"/>
  <c r="D12" i="8"/>
  <c r="D8" i="8"/>
  <c r="D4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D97" i="14"/>
  <c r="D93" i="14"/>
  <c r="D89" i="14"/>
  <c r="D85" i="14"/>
  <c r="D81" i="14"/>
  <c r="D77" i="14"/>
  <c r="D73" i="14"/>
  <c r="D69" i="14"/>
  <c r="D65" i="14"/>
  <c r="D61" i="14"/>
  <c r="D57" i="14"/>
  <c r="D53" i="14"/>
  <c r="D49" i="14"/>
  <c r="D45" i="14"/>
  <c r="D41" i="14"/>
  <c r="D37" i="14"/>
  <c r="D33" i="14"/>
  <c r="D29" i="14"/>
  <c r="D25" i="14"/>
  <c r="D21" i="14"/>
  <c r="D17" i="14"/>
  <c r="D13" i="14"/>
  <c r="D9" i="14"/>
  <c r="D5" i="14"/>
  <c r="D96" i="14"/>
  <c r="D92" i="14"/>
  <c r="D88" i="14"/>
  <c r="D84" i="14"/>
  <c r="D80" i="14"/>
  <c r="D76" i="14"/>
  <c r="D72" i="14"/>
  <c r="D68" i="14"/>
  <c r="D64" i="14"/>
  <c r="D60" i="14"/>
  <c r="D56" i="14"/>
  <c r="D52" i="14"/>
  <c r="D48" i="14"/>
  <c r="D44" i="14"/>
  <c r="D40" i="14"/>
  <c r="D36" i="14"/>
  <c r="D32" i="14"/>
  <c r="D28" i="14"/>
  <c r="D24" i="14"/>
  <c r="D20" i="14"/>
  <c r="D16" i="14"/>
  <c r="D12" i="14"/>
  <c r="D8" i="14"/>
  <c r="D4" i="14"/>
  <c r="B96" i="14"/>
  <c r="B88" i="14"/>
  <c r="B80" i="14"/>
  <c r="B72" i="14"/>
  <c r="B68" i="14"/>
  <c r="B60" i="14"/>
  <c r="B56" i="14"/>
  <c r="B52" i="14"/>
  <c r="B48" i="14"/>
  <c r="B44" i="14"/>
  <c r="B36" i="14"/>
  <c r="B28" i="14"/>
  <c r="B20" i="14"/>
  <c r="B12" i="14"/>
  <c r="B4" i="14"/>
  <c r="B92" i="14"/>
  <c r="B97" i="7"/>
  <c r="D95" i="7"/>
  <c r="B95" i="7"/>
  <c r="D94" i="7"/>
  <c r="D92" i="7"/>
  <c r="B93" i="7"/>
  <c r="D96" i="7"/>
  <c r="B92" i="7"/>
  <c r="E89" i="8"/>
  <c r="E90" i="8"/>
  <c r="E91" i="8"/>
  <c r="E92" i="8"/>
  <c r="E93" i="8"/>
  <c r="E94" i="8"/>
  <c r="E95" i="8"/>
  <c r="E96" i="8"/>
  <c r="E97" i="8"/>
  <c r="L97" i="11"/>
  <c r="A97" i="11"/>
  <c r="L96" i="11"/>
  <c r="A96" i="11"/>
  <c r="L95" i="11"/>
  <c r="A95" i="11"/>
  <c r="L94" i="11"/>
  <c r="A94" i="11"/>
  <c r="L93" i="11"/>
  <c r="A93" i="11"/>
  <c r="L92" i="11"/>
  <c r="A92" i="11"/>
  <c r="L91" i="11"/>
  <c r="A91" i="11"/>
  <c r="L90" i="11"/>
  <c r="A90" i="11"/>
  <c r="L89" i="11"/>
  <c r="A89" i="11"/>
  <c r="L88" i="11"/>
  <c r="A88" i="11"/>
  <c r="L87" i="11"/>
  <c r="A87" i="11"/>
  <c r="L86" i="11"/>
  <c r="A86" i="11"/>
  <c r="L85" i="11"/>
  <c r="A85" i="11"/>
  <c r="L84" i="11"/>
  <c r="A84" i="11"/>
  <c r="L83" i="11"/>
  <c r="A83" i="11"/>
  <c r="L82" i="11"/>
  <c r="A82" i="11"/>
  <c r="L81" i="11"/>
  <c r="A81" i="11"/>
  <c r="L80" i="11"/>
  <c r="A80" i="11"/>
  <c r="L79" i="11"/>
  <c r="A79" i="11"/>
  <c r="L78" i="11"/>
  <c r="A78" i="11"/>
  <c r="L77" i="11"/>
  <c r="A77" i="11"/>
  <c r="L76" i="11"/>
  <c r="A76" i="11"/>
  <c r="L75" i="11"/>
  <c r="A75" i="11"/>
  <c r="L74" i="11"/>
  <c r="A74" i="11"/>
  <c r="L73" i="11"/>
  <c r="A73" i="11"/>
  <c r="L72" i="11"/>
  <c r="A72" i="11"/>
  <c r="L71" i="11"/>
  <c r="A71" i="11"/>
  <c r="L70" i="11"/>
  <c r="A70" i="11"/>
  <c r="L69" i="11"/>
  <c r="A69" i="11"/>
  <c r="L68" i="11"/>
  <c r="A68" i="11"/>
  <c r="L67" i="11"/>
  <c r="A67" i="11"/>
  <c r="L66" i="11"/>
  <c r="A66" i="11"/>
  <c r="L65" i="11"/>
  <c r="A65" i="11"/>
  <c r="L64" i="11"/>
  <c r="A64" i="11"/>
  <c r="L63" i="11"/>
  <c r="A63" i="11"/>
  <c r="L62" i="11"/>
  <c r="A62" i="11"/>
  <c r="L61" i="11"/>
  <c r="A61" i="11"/>
  <c r="L60" i="11"/>
  <c r="A60" i="11"/>
  <c r="L59" i="11"/>
  <c r="A59" i="11"/>
  <c r="L58" i="11"/>
  <c r="A58" i="11"/>
  <c r="L57" i="11"/>
  <c r="A57" i="11"/>
  <c r="L56" i="11"/>
  <c r="A56" i="11"/>
  <c r="L55" i="11"/>
  <c r="A55" i="11"/>
  <c r="L54" i="11"/>
  <c r="A54" i="11"/>
  <c r="L53" i="11"/>
  <c r="A53" i="11"/>
  <c r="L52" i="11"/>
  <c r="A52" i="11"/>
  <c r="L51" i="11"/>
  <c r="A51" i="11"/>
  <c r="L50" i="11"/>
  <c r="A50" i="11"/>
  <c r="L49" i="11"/>
  <c r="A49" i="11"/>
  <c r="L48" i="11"/>
  <c r="D48" i="18" s="1"/>
  <c r="A48" i="11"/>
  <c r="L47" i="11"/>
  <c r="D47" i="18" s="1"/>
  <c r="A47" i="11"/>
  <c r="L46" i="11"/>
  <c r="D46" i="18" s="1"/>
  <c r="A46" i="11"/>
  <c r="L45" i="11"/>
  <c r="D45" i="18" s="1"/>
  <c r="A45" i="11"/>
  <c r="L44" i="11"/>
  <c r="D44" i="18" s="1"/>
  <c r="A44" i="11"/>
  <c r="L43" i="11"/>
  <c r="D43" i="18" s="1"/>
  <c r="A43" i="11"/>
  <c r="L42" i="11"/>
  <c r="D42" i="18" s="1"/>
  <c r="A42" i="11"/>
  <c r="L41" i="11"/>
  <c r="A41" i="11"/>
  <c r="L40" i="11"/>
  <c r="D40" i="18" s="1"/>
  <c r="A40" i="11"/>
  <c r="L39" i="11"/>
  <c r="D39" i="18" s="1"/>
  <c r="A39" i="11"/>
  <c r="L38" i="11"/>
  <c r="D38" i="18" s="1"/>
  <c r="A38" i="11"/>
  <c r="L37" i="11"/>
  <c r="D37" i="18" s="1"/>
  <c r="A37" i="11"/>
  <c r="L36" i="11"/>
  <c r="D36" i="18" s="1"/>
  <c r="A36" i="11"/>
  <c r="L35" i="11"/>
  <c r="D35" i="18" s="1"/>
  <c r="A35" i="11"/>
  <c r="L34" i="11"/>
  <c r="D34" i="18" s="1"/>
  <c r="A34" i="11"/>
  <c r="L33" i="11"/>
  <c r="A33" i="11"/>
  <c r="L32" i="11"/>
  <c r="D32" i="18" s="1"/>
  <c r="A32" i="11"/>
  <c r="L31" i="11"/>
  <c r="D31" i="18" s="1"/>
  <c r="A31" i="11"/>
  <c r="L30" i="11"/>
  <c r="D30" i="18" s="1"/>
  <c r="A30" i="11"/>
  <c r="L29" i="11"/>
  <c r="D29" i="18" s="1"/>
  <c r="A29" i="11"/>
  <c r="L28" i="11"/>
  <c r="D28" i="18" s="1"/>
  <c r="A28" i="11"/>
  <c r="L27" i="11"/>
  <c r="D27" i="18" s="1"/>
  <c r="A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D44" i="6" l="1"/>
  <c r="D50" i="18"/>
  <c r="D50" i="6"/>
  <c r="D33" i="18"/>
  <c r="D33" i="6"/>
  <c r="D17" i="6"/>
  <c r="D17" i="18"/>
  <c r="D28" i="6"/>
  <c r="D34" i="6"/>
  <c r="D46" i="6"/>
  <c r="D32" i="6"/>
  <c r="D3" i="18"/>
  <c r="D3" i="6"/>
  <c r="D19" i="18"/>
  <c r="D19" i="6"/>
  <c r="D27" i="6"/>
  <c r="D30" i="6"/>
  <c r="D20" i="18"/>
  <c r="D20" i="6"/>
  <c r="D21" i="18"/>
  <c r="D21" i="6"/>
  <c r="D6" i="18"/>
  <c r="D6" i="6"/>
  <c r="D45" i="6"/>
  <c r="D29" i="6"/>
  <c r="D18" i="18"/>
  <c r="D18" i="6"/>
  <c r="D4" i="18"/>
  <c r="D4" i="6"/>
  <c r="D5" i="18"/>
  <c r="D5" i="6"/>
  <c r="D22" i="18"/>
  <c r="D22" i="6"/>
  <c r="D7" i="18"/>
  <c r="D7" i="6"/>
  <c r="D23" i="18"/>
  <c r="D23" i="6"/>
  <c r="D40" i="6"/>
  <c r="D8" i="18"/>
  <c r="D8" i="6"/>
  <c r="D31" i="6"/>
  <c r="D36" i="6"/>
  <c r="D48" i="6"/>
  <c r="D37" i="6"/>
  <c r="D24" i="18"/>
  <c r="D24" i="6"/>
  <c r="D10" i="18"/>
  <c r="D10" i="6"/>
  <c r="D26" i="18"/>
  <c r="D26" i="6"/>
  <c r="D35" i="6"/>
  <c r="D11" i="18"/>
  <c r="D11" i="6"/>
  <c r="D13" i="18"/>
  <c r="D13" i="6"/>
  <c r="D39" i="6"/>
  <c r="D38" i="6"/>
  <c r="D43" i="6"/>
  <c r="D14" i="18"/>
  <c r="D14" i="6"/>
  <c r="D15" i="18"/>
  <c r="D15" i="6"/>
  <c r="D47" i="6"/>
  <c r="D12" i="18"/>
  <c r="D12" i="6"/>
  <c r="D16" i="18"/>
  <c r="D16" i="6"/>
  <c r="D42" i="6"/>
  <c r="B189" i="6"/>
  <c r="A2" i="9"/>
  <c r="C55" i="12"/>
  <c r="A55" i="12" s="1"/>
  <c r="C56" i="12"/>
  <c r="A56" i="12" s="1"/>
  <c r="C57" i="12"/>
  <c r="A57" i="12" s="1"/>
  <c r="C58" i="12"/>
  <c r="A58" i="12" s="1"/>
  <c r="C59" i="12"/>
  <c r="A59" i="12" s="1"/>
  <c r="C60" i="12"/>
  <c r="A60" i="12" s="1"/>
  <c r="C61" i="12"/>
  <c r="A61" i="12" s="1"/>
  <c r="C62" i="12"/>
  <c r="A62" i="12" s="1"/>
  <c r="C63" i="12"/>
  <c r="A63" i="12" s="1"/>
  <c r="C64" i="12"/>
  <c r="A64" i="12" s="1"/>
  <c r="C65" i="12"/>
  <c r="A65" i="12" s="1"/>
  <c r="C66" i="12"/>
  <c r="A66" i="12" s="1"/>
  <c r="C67" i="12"/>
  <c r="A67" i="12" s="1"/>
  <c r="C68" i="12"/>
  <c r="A68" i="12" s="1"/>
  <c r="C69" i="12"/>
  <c r="A69" i="12" s="1"/>
  <c r="C70" i="12"/>
  <c r="A70" i="12" s="1"/>
  <c r="C71" i="12"/>
  <c r="A71" i="12" s="1"/>
  <c r="C72" i="12"/>
  <c r="A72" i="12" s="1"/>
  <c r="C73" i="12"/>
  <c r="A73" i="12" s="1"/>
  <c r="C74" i="12"/>
  <c r="A74" i="12" s="1"/>
  <c r="C75" i="12"/>
  <c r="A75" i="12" s="1"/>
  <c r="C76" i="12"/>
  <c r="A76" i="12" s="1"/>
  <c r="C77" i="12"/>
  <c r="A77" i="12" s="1"/>
  <c r="C78" i="12"/>
  <c r="A78" i="12" s="1"/>
  <c r="C79" i="12"/>
  <c r="A79" i="12" s="1"/>
  <c r="C80" i="12"/>
  <c r="A80" i="12" s="1"/>
  <c r="C81" i="12"/>
  <c r="A81" i="12" s="1"/>
  <c r="C82" i="12"/>
  <c r="A82" i="12" s="1"/>
  <c r="C83" i="12"/>
  <c r="A83" i="12" s="1"/>
  <c r="C84" i="12"/>
  <c r="A84" i="12" s="1"/>
  <c r="C85" i="12"/>
  <c r="A85" i="12" s="1"/>
  <c r="C86" i="12"/>
  <c r="A86" i="12" s="1"/>
  <c r="C87" i="12"/>
  <c r="A87" i="12" s="1"/>
  <c r="C88" i="12"/>
  <c r="A88" i="12" s="1"/>
  <c r="C89" i="12"/>
  <c r="A89" i="12" s="1"/>
  <c r="C90" i="12"/>
  <c r="A90" i="12" s="1"/>
  <c r="C91" i="12"/>
  <c r="A91" i="12" s="1"/>
  <c r="C92" i="12"/>
  <c r="A92" i="12" s="1"/>
  <c r="C93" i="12"/>
  <c r="A93" i="12" s="1"/>
  <c r="C94" i="12"/>
  <c r="A94" i="12" s="1"/>
  <c r="C95" i="12"/>
  <c r="A95" i="12" s="1"/>
  <c r="C96" i="12"/>
  <c r="A96" i="12" s="1"/>
  <c r="C97" i="12"/>
  <c r="A97" i="12" s="1"/>
  <c r="D2" i="9" l="1"/>
  <c r="B2" i="9"/>
  <c r="C2" i="14"/>
  <c r="A2" i="14" s="1"/>
  <c r="B2" i="14" l="1"/>
  <c r="D2" i="14"/>
  <c r="B3" i="13"/>
  <c r="C4" i="13"/>
  <c r="A4" i="13" s="1"/>
  <c r="C5" i="13"/>
  <c r="A5" i="13" s="1"/>
  <c r="C6" i="13"/>
  <c r="A6" i="13" s="1"/>
  <c r="C7" i="13"/>
  <c r="A7" i="13" s="1"/>
  <c r="C8" i="13"/>
  <c r="A8" i="13" s="1"/>
  <c r="C9" i="13"/>
  <c r="A9" i="13" s="1"/>
  <c r="C10" i="13"/>
  <c r="A10" i="13" s="1"/>
  <c r="C11" i="13"/>
  <c r="A11" i="13" s="1"/>
  <c r="C12" i="13"/>
  <c r="A12" i="13" s="1"/>
  <c r="C13" i="13"/>
  <c r="A13" i="13" s="1"/>
  <c r="C14" i="13"/>
  <c r="A14" i="13" s="1"/>
  <c r="C15" i="13"/>
  <c r="A15" i="13" s="1"/>
  <c r="C16" i="13"/>
  <c r="A16" i="13" s="1"/>
  <c r="C17" i="13"/>
  <c r="A17" i="13" s="1"/>
  <c r="C18" i="13"/>
  <c r="A18" i="13" s="1"/>
  <c r="C19" i="13"/>
  <c r="A19" i="13" s="1"/>
  <c r="C20" i="13"/>
  <c r="A20" i="13" s="1"/>
  <c r="C21" i="13"/>
  <c r="A21" i="13" s="1"/>
  <c r="C22" i="13"/>
  <c r="A22" i="13" s="1"/>
  <c r="C23" i="13"/>
  <c r="A23" i="13" s="1"/>
  <c r="C24" i="13"/>
  <c r="A24" i="13" s="1"/>
  <c r="C25" i="13"/>
  <c r="A25" i="13" s="1"/>
  <c r="C26" i="13"/>
  <c r="A26" i="13" s="1"/>
  <c r="C27" i="13"/>
  <c r="A27" i="13" s="1"/>
  <c r="C28" i="13"/>
  <c r="A28" i="13" s="1"/>
  <c r="C29" i="13"/>
  <c r="A29" i="13" s="1"/>
  <c r="C30" i="13"/>
  <c r="A30" i="13" s="1"/>
  <c r="C31" i="13"/>
  <c r="A31" i="13" s="1"/>
  <c r="C32" i="13"/>
  <c r="A32" i="13" s="1"/>
  <c r="C33" i="13"/>
  <c r="A33" i="13" s="1"/>
  <c r="C34" i="13"/>
  <c r="A34" i="13" s="1"/>
  <c r="C35" i="13"/>
  <c r="A35" i="13" s="1"/>
  <c r="C36" i="13"/>
  <c r="A36" i="13" s="1"/>
  <c r="C37" i="13"/>
  <c r="A37" i="13" s="1"/>
  <c r="C38" i="13"/>
  <c r="A38" i="13" s="1"/>
  <c r="C39" i="13"/>
  <c r="A39" i="13" s="1"/>
  <c r="C40" i="13"/>
  <c r="A40" i="13" s="1"/>
  <c r="C41" i="13"/>
  <c r="A41" i="13" s="1"/>
  <c r="C42" i="13"/>
  <c r="A42" i="13" s="1"/>
  <c r="C43" i="13"/>
  <c r="A43" i="13" s="1"/>
  <c r="C44" i="13"/>
  <c r="A44" i="13" s="1"/>
  <c r="C45" i="13"/>
  <c r="A45" i="13" s="1"/>
  <c r="C46" i="13"/>
  <c r="A46" i="13" s="1"/>
  <c r="C47" i="13"/>
  <c r="A47" i="13" s="1"/>
  <c r="C48" i="13"/>
  <c r="A48" i="13" s="1"/>
  <c r="C49" i="13"/>
  <c r="A49" i="13" s="1"/>
  <c r="C50" i="13"/>
  <c r="A50" i="13" s="1"/>
  <c r="C51" i="13"/>
  <c r="A51" i="13" s="1"/>
  <c r="C52" i="13"/>
  <c r="A52" i="13" s="1"/>
  <c r="C53" i="13"/>
  <c r="A53" i="13" s="1"/>
  <c r="C54" i="13"/>
  <c r="A54" i="13" s="1"/>
  <c r="C55" i="13"/>
  <c r="A55" i="13" s="1"/>
  <c r="C56" i="13"/>
  <c r="A56" i="13" s="1"/>
  <c r="C57" i="13"/>
  <c r="A57" i="13" s="1"/>
  <c r="C58" i="13"/>
  <c r="A58" i="13" s="1"/>
  <c r="C59" i="13"/>
  <c r="A59" i="13" s="1"/>
  <c r="C60" i="13"/>
  <c r="A60" i="13" s="1"/>
  <c r="C61" i="13"/>
  <c r="A61" i="13" s="1"/>
  <c r="C62" i="13"/>
  <c r="A62" i="13" s="1"/>
  <c r="C63" i="13"/>
  <c r="A63" i="13" s="1"/>
  <c r="C64" i="13"/>
  <c r="A64" i="13" s="1"/>
  <c r="C65" i="13"/>
  <c r="A65" i="13" s="1"/>
  <c r="C66" i="13"/>
  <c r="A66" i="13" s="1"/>
  <c r="C67" i="13"/>
  <c r="A67" i="13" s="1"/>
  <c r="C68" i="13"/>
  <c r="A68" i="13" s="1"/>
  <c r="C69" i="13"/>
  <c r="A69" i="13" s="1"/>
  <c r="C70" i="13"/>
  <c r="A70" i="13" s="1"/>
  <c r="C71" i="13"/>
  <c r="A71" i="13" s="1"/>
  <c r="C72" i="13"/>
  <c r="A72" i="13" s="1"/>
  <c r="C73" i="13"/>
  <c r="A73" i="13" s="1"/>
  <c r="C74" i="13"/>
  <c r="A74" i="13" s="1"/>
  <c r="C75" i="13"/>
  <c r="A75" i="13" s="1"/>
  <c r="C76" i="13"/>
  <c r="A76" i="13" s="1"/>
  <c r="C77" i="13"/>
  <c r="A77" i="13" s="1"/>
  <c r="C78" i="13"/>
  <c r="A78" i="13" s="1"/>
  <c r="C79" i="13"/>
  <c r="A79" i="13" s="1"/>
  <c r="C80" i="13"/>
  <c r="A80" i="13" s="1"/>
  <c r="C81" i="13"/>
  <c r="A81" i="13" s="1"/>
  <c r="C82" i="13"/>
  <c r="A82" i="13" s="1"/>
  <c r="C83" i="13"/>
  <c r="A83" i="13" s="1"/>
  <c r="C84" i="13"/>
  <c r="A84" i="13" s="1"/>
  <c r="C85" i="13"/>
  <c r="A85" i="13" s="1"/>
  <c r="C86" i="13"/>
  <c r="A86" i="13" s="1"/>
  <c r="C87" i="13"/>
  <c r="A87" i="13" s="1"/>
  <c r="C88" i="13"/>
  <c r="A88" i="13" s="1"/>
  <c r="C89" i="13"/>
  <c r="A89" i="13" s="1"/>
  <c r="C90" i="13"/>
  <c r="A90" i="13" s="1"/>
  <c r="C91" i="13"/>
  <c r="A91" i="13" s="1"/>
  <c r="C92" i="13"/>
  <c r="A92" i="13" s="1"/>
  <c r="C93" i="13"/>
  <c r="A93" i="13" s="1"/>
  <c r="C94" i="13"/>
  <c r="A94" i="13" s="1"/>
  <c r="C95" i="13"/>
  <c r="A95" i="13" s="1"/>
  <c r="C96" i="13"/>
  <c r="A96" i="13" s="1"/>
  <c r="C97" i="13"/>
  <c r="A97" i="13" s="1"/>
  <c r="C3" i="12"/>
  <c r="A3" i="12" s="1"/>
  <c r="C4" i="12"/>
  <c r="A4" i="12" s="1"/>
  <c r="C5" i="12"/>
  <c r="A5" i="12" s="1"/>
  <c r="C6" i="12"/>
  <c r="A6" i="12" s="1"/>
  <c r="C7" i="12"/>
  <c r="A7" i="12" s="1"/>
  <c r="C8" i="12"/>
  <c r="A8" i="12" s="1"/>
  <c r="C9" i="12"/>
  <c r="A9" i="12" s="1"/>
  <c r="C10" i="12"/>
  <c r="A10" i="12" s="1"/>
  <c r="C11" i="12"/>
  <c r="A11" i="12" s="1"/>
  <c r="C12" i="12"/>
  <c r="A12" i="12" s="1"/>
  <c r="C13" i="12"/>
  <c r="A13" i="12" s="1"/>
  <c r="C14" i="12"/>
  <c r="A14" i="12" s="1"/>
  <c r="C15" i="12"/>
  <c r="A15" i="12" s="1"/>
  <c r="C16" i="12"/>
  <c r="A16" i="12" s="1"/>
  <c r="C17" i="12"/>
  <c r="A17" i="12" s="1"/>
  <c r="C18" i="12"/>
  <c r="A18" i="12" s="1"/>
  <c r="C19" i="12"/>
  <c r="A19" i="12" s="1"/>
  <c r="C20" i="12"/>
  <c r="A20" i="12" s="1"/>
  <c r="C21" i="12"/>
  <c r="A21" i="12" s="1"/>
  <c r="C22" i="12"/>
  <c r="A22" i="12" s="1"/>
  <c r="C23" i="12"/>
  <c r="A23" i="12" s="1"/>
  <c r="C24" i="12"/>
  <c r="A24" i="12" s="1"/>
  <c r="C25" i="12"/>
  <c r="A25" i="12" s="1"/>
  <c r="C26" i="12"/>
  <c r="A26" i="12" s="1"/>
  <c r="C27" i="12"/>
  <c r="A27" i="12" s="1"/>
  <c r="C28" i="12"/>
  <c r="A28" i="12" s="1"/>
  <c r="C29" i="12"/>
  <c r="A29" i="12" s="1"/>
  <c r="C30" i="12"/>
  <c r="A30" i="12" s="1"/>
  <c r="C31" i="12"/>
  <c r="A31" i="12" s="1"/>
  <c r="C32" i="12"/>
  <c r="A32" i="12" s="1"/>
  <c r="C33" i="12"/>
  <c r="A33" i="12" s="1"/>
  <c r="C34" i="12"/>
  <c r="A34" i="12" s="1"/>
  <c r="C35" i="12"/>
  <c r="A35" i="12" s="1"/>
  <c r="C36" i="12"/>
  <c r="A36" i="12" s="1"/>
  <c r="C37" i="12"/>
  <c r="A37" i="12" s="1"/>
  <c r="C38" i="12"/>
  <c r="A38" i="12" s="1"/>
  <c r="C39" i="12"/>
  <c r="A39" i="12" s="1"/>
  <c r="C40" i="12"/>
  <c r="A40" i="12" s="1"/>
  <c r="C41" i="12"/>
  <c r="A41" i="12" s="1"/>
  <c r="C42" i="12"/>
  <c r="A42" i="12" s="1"/>
  <c r="C43" i="12"/>
  <c r="A43" i="12" s="1"/>
  <c r="C44" i="12"/>
  <c r="A44" i="12" s="1"/>
  <c r="C45" i="12"/>
  <c r="A45" i="12" s="1"/>
  <c r="C46" i="12"/>
  <c r="A46" i="12" s="1"/>
  <c r="C47" i="12"/>
  <c r="A47" i="12" s="1"/>
  <c r="C48" i="12"/>
  <c r="A48" i="12" s="1"/>
  <c r="C49" i="12"/>
  <c r="A49" i="12" s="1"/>
  <c r="C50" i="12"/>
  <c r="A50" i="12" s="1"/>
  <c r="C51" i="12"/>
  <c r="A51" i="12" s="1"/>
  <c r="C52" i="12"/>
  <c r="A52" i="12" s="1"/>
  <c r="C53" i="12"/>
  <c r="A53" i="12" s="1"/>
  <c r="C54" i="12"/>
  <c r="A54" i="12" s="1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C3" i="5"/>
  <c r="A3" i="5" s="1"/>
  <c r="C4" i="5"/>
  <c r="A4" i="5" s="1"/>
  <c r="C5" i="5"/>
  <c r="A5" i="5" s="1"/>
  <c r="C6" i="5"/>
  <c r="A6" i="5" s="1"/>
  <c r="C7" i="5"/>
  <c r="A7" i="5" s="1"/>
  <c r="C8" i="5"/>
  <c r="A8" i="5" s="1"/>
  <c r="C9" i="5"/>
  <c r="A9" i="5" s="1"/>
  <c r="C10" i="5"/>
  <c r="A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A2" i="8"/>
  <c r="D95" i="13" l="1"/>
  <c r="D79" i="13"/>
  <c r="D63" i="13"/>
  <c r="D47" i="13"/>
  <c r="D31" i="13"/>
  <c r="D15" i="13"/>
  <c r="D16" i="13"/>
  <c r="D94" i="13"/>
  <c r="D78" i="13"/>
  <c r="D62" i="13"/>
  <c r="D46" i="13"/>
  <c r="D30" i="13"/>
  <c r="D14" i="13"/>
  <c r="D80" i="13"/>
  <c r="D77" i="13"/>
  <c r="D61" i="13"/>
  <c r="D45" i="13"/>
  <c r="D29" i="13"/>
  <c r="D13" i="13"/>
  <c r="D48" i="13"/>
  <c r="D93" i="13"/>
  <c r="D92" i="13"/>
  <c r="D76" i="13"/>
  <c r="D60" i="13"/>
  <c r="D44" i="13"/>
  <c r="D28" i="13"/>
  <c r="D12" i="13"/>
  <c r="D64" i="13"/>
  <c r="D91" i="13"/>
  <c r="D75" i="13"/>
  <c r="D59" i="13"/>
  <c r="D43" i="13"/>
  <c r="D27" i="13"/>
  <c r="D11" i="13"/>
  <c r="D32" i="13"/>
  <c r="D90" i="13"/>
  <c r="D74" i="13"/>
  <c r="D58" i="13"/>
  <c r="D42" i="13"/>
  <c r="D26" i="13"/>
  <c r="D10" i="13"/>
  <c r="D96" i="13"/>
  <c r="D89" i="13"/>
  <c r="D73" i="13"/>
  <c r="D57" i="13"/>
  <c r="D41" i="13"/>
  <c r="D25" i="13"/>
  <c r="D9" i="13"/>
  <c r="D24" i="13"/>
  <c r="D8" i="13"/>
  <c r="D87" i="13"/>
  <c r="D7" i="13"/>
  <c r="D23" i="13"/>
  <c r="D86" i="13"/>
  <c r="D70" i="13"/>
  <c r="D54" i="13"/>
  <c r="D38" i="13"/>
  <c r="D22" i="13"/>
  <c r="D6" i="13"/>
  <c r="D72" i="13"/>
  <c r="D39" i="13"/>
  <c r="D85" i="13"/>
  <c r="D69" i="13"/>
  <c r="D53" i="13"/>
  <c r="D37" i="13"/>
  <c r="D21" i="13"/>
  <c r="D5" i="13"/>
  <c r="D55" i="13"/>
  <c r="D84" i="13"/>
  <c r="D68" i="13"/>
  <c r="D52" i="13"/>
  <c r="D36" i="13"/>
  <c r="D20" i="13"/>
  <c r="D4" i="13"/>
  <c r="D88" i="13"/>
  <c r="D40" i="13"/>
  <c r="D83" i="13"/>
  <c r="D67" i="13"/>
  <c r="D51" i="13"/>
  <c r="D35" i="13"/>
  <c r="D19" i="13"/>
  <c r="D71" i="13"/>
  <c r="D82" i="13"/>
  <c r="D66" i="13"/>
  <c r="D50" i="13"/>
  <c r="D34" i="13"/>
  <c r="D18" i="13"/>
  <c r="D56" i="13"/>
  <c r="D97" i="13"/>
  <c r="D81" i="13"/>
  <c r="D65" i="13"/>
  <c r="D49" i="13"/>
  <c r="D33" i="13"/>
  <c r="D17" i="13"/>
  <c r="B37" i="12"/>
  <c r="B5" i="12"/>
  <c r="B95" i="13"/>
  <c r="B79" i="13"/>
  <c r="B63" i="13"/>
  <c r="B47" i="13"/>
  <c r="B31" i="13"/>
  <c r="B15" i="13"/>
  <c r="B22" i="12"/>
  <c r="B64" i="13"/>
  <c r="B53" i="12"/>
  <c r="B52" i="12"/>
  <c r="B36" i="12"/>
  <c r="B20" i="12"/>
  <c r="B4" i="12"/>
  <c r="B94" i="13"/>
  <c r="B78" i="13"/>
  <c r="B62" i="13"/>
  <c r="B46" i="13"/>
  <c r="B30" i="13"/>
  <c r="B14" i="13"/>
  <c r="B48" i="13"/>
  <c r="B51" i="12"/>
  <c r="B35" i="12"/>
  <c r="B19" i="12"/>
  <c r="B3" i="12"/>
  <c r="B93" i="13"/>
  <c r="B77" i="13"/>
  <c r="B61" i="13"/>
  <c r="B45" i="13"/>
  <c r="B29" i="13"/>
  <c r="B13" i="13"/>
  <c r="B6" i="12"/>
  <c r="B16" i="13"/>
  <c r="B50" i="12"/>
  <c r="B34" i="12"/>
  <c r="B18" i="12"/>
  <c r="B92" i="13"/>
  <c r="B76" i="13"/>
  <c r="B60" i="13"/>
  <c r="B44" i="13"/>
  <c r="B28" i="13"/>
  <c r="B12" i="13"/>
  <c r="B49" i="12"/>
  <c r="B33" i="12"/>
  <c r="B17" i="12"/>
  <c r="B91" i="13"/>
  <c r="B75" i="13"/>
  <c r="B59" i="13"/>
  <c r="B43" i="13"/>
  <c r="B27" i="13"/>
  <c r="B11" i="13"/>
  <c r="B54" i="12"/>
  <c r="B48" i="12"/>
  <c r="B32" i="12"/>
  <c r="B16" i="12"/>
  <c r="B90" i="13"/>
  <c r="B74" i="13"/>
  <c r="B58" i="13"/>
  <c r="B42" i="13"/>
  <c r="B26" i="13"/>
  <c r="B10" i="13"/>
  <c r="B80" i="13"/>
  <c r="B47" i="12"/>
  <c r="B31" i="12"/>
  <c r="B15" i="12"/>
  <c r="B89" i="13"/>
  <c r="B73" i="13"/>
  <c r="B57" i="13"/>
  <c r="B41" i="13"/>
  <c r="B25" i="13"/>
  <c r="B9" i="13"/>
  <c r="B38" i="12"/>
  <c r="B46" i="12"/>
  <c r="B30" i="12"/>
  <c r="B14" i="12"/>
  <c r="B88" i="13"/>
  <c r="B72" i="13"/>
  <c r="B56" i="13"/>
  <c r="B40" i="13"/>
  <c r="B24" i="13"/>
  <c r="B8" i="13"/>
  <c r="B96" i="13"/>
  <c r="B21" i="12"/>
  <c r="B45" i="12"/>
  <c r="B29" i="12"/>
  <c r="B13" i="12"/>
  <c r="B87" i="13"/>
  <c r="B71" i="13"/>
  <c r="B55" i="13"/>
  <c r="B39" i="13"/>
  <c r="B23" i="13"/>
  <c r="B7" i="13"/>
  <c r="B44" i="12"/>
  <c r="B28" i="12"/>
  <c r="B12" i="12"/>
  <c r="B86" i="13"/>
  <c r="B70" i="13"/>
  <c r="B54" i="13"/>
  <c r="B38" i="13"/>
  <c r="B22" i="13"/>
  <c r="B6" i="13"/>
  <c r="B32" i="13"/>
  <c r="B43" i="12"/>
  <c r="B27" i="12"/>
  <c r="B11" i="12"/>
  <c r="B85" i="13"/>
  <c r="B69" i="13"/>
  <c r="B53" i="13"/>
  <c r="B37" i="13"/>
  <c r="B21" i="13"/>
  <c r="B5" i="13"/>
  <c r="B42" i="12"/>
  <c r="B26" i="12"/>
  <c r="B10" i="12"/>
  <c r="B84" i="13"/>
  <c r="B68" i="13"/>
  <c r="B52" i="13"/>
  <c r="B36" i="13"/>
  <c r="B20" i="13"/>
  <c r="B4" i="13"/>
  <c r="B41" i="12"/>
  <c r="B25" i="12"/>
  <c r="B9" i="12"/>
  <c r="B83" i="13"/>
  <c r="B67" i="13"/>
  <c r="B51" i="13"/>
  <c r="B35" i="13"/>
  <c r="B19" i="13"/>
  <c r="B40" i="12"/>
  <c r="B24" i="12"/>
  <c r="B8" i="12"/>
  <c r="B82" i="13"/>
  <c r="B66" i="13"/>
  <c r="B50" i="13"/>
  <c r="B34" i="13"/>
  <c r="B18" i="13"/>
  <c r="B39" i="12"/>
  <c r="B23" i="12"/>
  <c r="B7" i="12"/>
  <c r="B97" i="13"/>
  <c r="B81" i="13"/>
  <c r="B65" i="13"/>
  <c r="B49" i="13"/>
  <c r="B33" i="13"/>
  <c r="B17" i="13"/>
  <c r="D57" i="5"/>
  <c r="B57" i="5"/>
  <c r="B88" i="5"/>
  <c r="D88" i="5"/>
  <c r="D87" i="5"/>
  <c r="B87" i="5"/>
  <c r="D71" i="5"/>
  <c r="B71" i="5"/>
  <c r="D55" i="5"/>
  <c r="B55" i="5"/>
  <c r="B85" i="5"/>
  <c r="D85" i="5"/>
  <c r="D54" i="5"/>
  <c r="B54" i="5"/>
  <c r="B53" i="5"/>
  <c r="D53" i="5"/>
  <c r="B84" i="5"/>
  <c r="D84" i="5"/>
  <c r="B68" i="5"/>
  <c r="D68" i="5"/>
  <c r="B52" i="5"/>
  <c r="D52" i="5"/>
  <c r="B83" i="5"/>
  <c r="D83" i="5"/>
  <c r="B67" i="5"/>
  <c r="D67" i="5"/>
  <c r="B51" i="5"/>
  <c r="D51" i="5"/>
  <c r="D89" i="5"/>
  <c r="B89" i="5"/>
  <c r="D72" i="5"/>
  <c r="B72" i="5"/>
  <c r="D86" i="5"/>
  <c r="B86" i="5"/>
  <c r="B82" i="5"/>
  <c r="D82" i="5"/>
  <c r="B66" i="5"/>
  <c r="D66" i="5"/>
  <c r="B50" i="5"/>
  <c r="D50" i="5"/>
  <c r="D70" i="5"/>
  <c r="B70" i="5"/>
  <c r="B81" i="5"/>
  <c r="D81" i="5"/>
  <c r="B65" i="5"/>
  <c r="D65" i="5"/>
  <c r="D49" i="5"/>
  <c r="B49" i="5"/>
  <c r="B80" i="5"/>
  <c r="D80" i="5"/>
  <c r="D64" i="5"/>
  <c r="B64" i="5"/>
  <c r="D48" i="5"/>
  <c r="B48" i="5"/>
  <c r="D69" i="5"/>
  <c r="B69" i="5"/>
  <c r="D79" i="5"/>
  <c r="B79" i="5"/>
  <c r="D63" i="5"/>
  <c r="B63" i="5"/>
  <c r="D47" i="5"/>
  <c r="B47" i="5"/>
  <c r="D46" i="5"/>
  <c r="B46" i="5"/>
  <c r="D45" i="5"/>
  <c r="B45" i="5"/>
  <c r="B73" i="5"/>
  <c r="D73" i="5"/>
  <c r="D62" i="5"/>
  <c r="B62" i="5"/>
  <c r="D77" i="5"/>
  <c r="B77" i="5"/>
  <c r="D76" i="5"/>
  <c r="B76" i="5"/>
  <c r="D60" i="5"/>
  <c r="B60" i="5"/>
  <c r="D44" i="5"/>
  <c r="B44" i="5"/>
  <c r="D56" i="5"/>
  <c r="B56" i="5"/>
  <c r="D78" i="5"/>
  <c r="B78" i="5"/>
  <c r="D75" i="5"/>
  <c r="B75" i="5"/>
  <c r="D59" i="5"/>
  <c r="B59" i="5"/>
  <c r="D43" i="5"/>
  <c r="B43" i="5"/>
  <c r="D61" i="5"/>
  <c r="B61" i="5"/>
  <c r="B74" i="5"/>
  <c r="D74" i="5"/>
  <c r="D58" i="5"/>
  <c r="B58" i="5"/>
  <c r="B42" i="5"/>
  <c r="D42" i="5"/>
  <c r="D40" i="5"/>
  <c r="B40" i="5"/>
  <c r="D7" i="5"/>
  <c r="B7" i="5"/>
  <c r="B38" i="5"/>
  <c r="D38" i="5"/>
  <c r="B22" i="5"/>
  <c r="D22" i="5"/>
  <c r="B6" i="5"/>
  <c r="D6" i="5"/>
  <c r="B37" i="5"/>
  <c r="D37" i="5"/>
  <c r="B21" i="5"/>
  <c r="D21" i="5"/>
  <c r="B5" i="5"/>
  <c r="D5" i="5"/>
  <c r="B19" i="5"/>
  <c r="D19" i="5"/>
  <c r="D2" i="8"/>
  <c r="B34" i="5"/>
  <c r="D34" i="5"/>
  <c r="B18" i="5"/>
  <c r="D18" i="5"/>
  <c r="B33" i="5"/>
  <c r="D33" i="5"/>
  <c r="B17" i="5"/>
  <c r="D17" i="5"/>
  <c r="B4" i="5"/>
  <c r="D4" i="5"/>
  <c r="B3" i="5"/>
  <c r="D3" i="5"/>
  <c r="B32" i="5"/>
  <c r="D32" i="5"/>
  <c r="B16" i="5"/>
  <c r="D16" i="5"/>
  <c r="B23" i="5"/>
  <c r="D23" i="5"/>
  <c r="D31" i="5"/>
  <c r="B31" i="5"/>
  <c r="D15" i="5"/>
  <c r="B15" i="5"/>
  <c r="D30" i="5"/>
  <c r="B30" i="5"/>
  <c r="D14" i="5"/>
  <c r="B14" i="5"/>
  <c r="D24" i="5"/>
  <c r="B24" i="5"/>
  <c r="B36" i="5"/>
  <c r="D36" i="5"/>
  <c r="D29" i="5"/>
  <c r="B29" i="5"/>
  <c r="D13" i="5"/>
  <c r="B13" i="5"/>
  <c r="D28" i="5"/>
  <c r="B28" i="5"/>
  <c r="D12" i="5"/>
  <c r="B12" i="5"/>
  <c r="D27" i="5"/>
  <c r="B27" i="5"/>
  <c r="D11" i="5"/>
  <c r="B11" i="5"/>
  <c r="B20" i="5"/>
  <c r="D20" i="5"/>
  <c r="D26" i="5"/>
  <c r="B26" i="5"/>
  <c r="D10" i="5"/>
  <c r="B10" i="5"/>
  <c r="D8" i="5"/>
  <c r="B8" i="5"/>
  <c r="D39" i="5"/>
  <c r="B39" i="5"/>
  <c r="B35" i="5"/>
  <c r="D35" i="5"/>
  <c r="B41" i="5"/>
  <c r="D41" i="5"/>
  <c r="B25" i="5"/>
  <c r="D25" i="5"/>
  <c r="B9" i="5"/>
  <c r="D9" i="5"/>
  <c r="B91" i="5"/>
  <c r="D91" i="5"/>
  <c r="B90" i="5"/>
  <c r="D90" i="5"/>
  <c r="B97" i="5"/>
  <c r="D97" i="5"/>
  <c r="D96" i="5"/>
  <c r="B96" i="5"/>
  <c r="B94" i="5"/>
  <c r="D94" i="5"/>
  <c r="D95" i="5"/>
  <c r="B95" i="5"/>
  <c r="B93" i="5"/>
  <c r="D93" i="5"/>
  <c r="D92" i="5"/>
  <c r="B92" i="5"/>
  <c r="B2" i="13"/>
  <c r="D92" i="12" l="1"/>
  <c r="D93" i="12"/>
  <c r="D94" i="12"/>
  <c r="D95" i="12"/>
  <c r="D96" i="12"/>
  <c r="D97" i="12"/>
  <c r="A2" i="7"/>
  <c r="D9" i="12"/>
  <c r="D10" i="12"/>
  <c r="D11" i="12"/>
  <c r="D12" i="12"/>
  <c r="D13" i="12"/>
  <c r="D14" i="12"/>
  <c r="D15" i="12"/>
  <c r="D16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50" i="12"/>
  <c r="D51" i="12"/>
  <c r="D69" i="12"/>
  <c r="D71" i="12"/>
  <c r="D84" i="12"/>
  <c r="D85" i="12"/>
  <c r="D87" i="12"/>
  <c r="D2" i="12"/>
  <c r="C2" i="3"/>
  <c r="A2" i="3" s="1"/>
  <c r="C97" i="3"/>
  <c r="A97" i="3" s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D79" i="3" l="1"/>
  <c r="D47" i="3"/>
  <c r="B80" i="9"/>
  <c r="D80" i="9"/>
  <c r="D63" i="3"/>
  <c r="B79" i="9"/>
  <c r="D79" i="9"/>
  <c r="B63" i="9"/>
  <c r="D63" i="9"/>
  <c r="B47" i="9"/>
  <c r="D47" i="9"/>
  <c r="D78" i="3"/>
  <c r="D62" i="3"/>
  <c r="D46" i="3"/>
  <c r="D80" i="3"/>
  <c r="B64" i="9"/>
  <c r="D64" i="9"/>
  <c r="D77" i="3"/>
  <c r="B61" i="9"/>
  <c r="D61" i="9"/>
  <c r="B45" i="9"/>
  <c r="D45" i="9"/>
  <c r="D76" i="3"/>
  <c r="D60" i="3"/>
  <c r="B44" i="3"/>
  <c r="B81" i="9"/>
  <c r="D81" i="9"/>
  <c r="B77" i="9"/>
  <c r="D77" i="9"/>
  <c r="B44" i="9"/>
  <c r="D44" i="9"/>
  <c r="D75" i="3"/>
  <c r="D59" i="3"/>
  <c r="B43" i="3"/>
  <c r="D48" i="3"/>
  <c r="B62" i="9"/>
  <c r="D62" i="9"/>
  <c r="B45" i="3"/>
  <c r="B76" i="9"/>
  <c r="D76" i="9"/>
  <c r="B59" i="9"/>
  <c r="D59" i="9"/>
  <c r="D74" i="3"/>
  <c r="D58" i="3"/>
  <c r="B42" i="3"/>
  <c r="B43" i="9"/>
  <c r="D43" i="9"/>
  <c r="D43" i="21" s="1"/>
  <c r="D74" i="9"/>
  <c r="B74" i="9"/>
  <c r="D58" i="9"/>
  <c r="B58" i="9"/>
  <c r="D42" i="9"/>
  <c r="D42" i="21" s="1"/>
  <c r="B42" i="9"/>
  <c r="B89" i="3"/>
  <c r="B73" i="3"/>
  <c r="B57" i="3"/>
  <c r="B78" i="9"/>
  <c r="D78" i="9"/>
  <c r="D61" i="3"/>
  <c r="B60" i="9"/>
  <c r="D60" i="9"/>
  <c r="B75" i="9"/>
  <c r="D75" i="9"/>
  <c r="B89" i="9"/>
  <c r="D89" i="9"/>
  <c r="B73" i="9"/>
  <c r="D73" i="9"/>
  <c r="B57" i="9"/>
  <c r="D57" i="9"/>
  <c r="B88" i="3"/>
  <c r="B72" i="3"/>
  <c r="B56" i="3"/>
  <c r="B46" i="9"/>
  <c r="D46" i="9"/>
  <c r="B88" i="9"/>
  <c r="D88" i="9"/>
  <c r="B72" i="9"/>
  <c r="D72" i="9"/>
  <c r="B56" i="9"/>
  <c r="D56" i="9"/>
  <c r="B87" i="3"/>
  <c r="B71" i="3"/>
  <c r="B55" i="3"/>
  <c r="B49" i="9"/>
  <c r="D49" i="9"/>
  <c r="B48" i="9"/>
  <c r="D48" i="9"/>
  <c r="D87" i="9"/>
  <c r="B87" i="9"/>
  <c r="D71" i="9"/>
  <c r="B71" i="9"/>
  <c r="D55" i="9"/>
  <c r="B55" i="9"/>
  <c r="B86" i="3"/>
  <c r="B70" i="3"/>
  <c r="B54" i="3"/>
  <c r="D64" i="3"/>
  <c r="D86" i="9"/>
  <c r="B86" i="9"/>
  <c r="B53" i="3"/>
  <c r="D85" i="9"/>
  <c r="B85" i="9"/>
  <c r="B53" i="9"/>
  <c r="D53" i="9"/>
  <c r="D84" i="3"/>
  <c r="D68" i="3"/>
  <c r="B52" i="3"/>
  <c r="B65" i="9"/>
  <c r="D65" i="9"/>
  <c r="D54" i="9"/>
  <c r="B54" i="9"/>
  <c r="B85" i="3"/>
  <c r="D84" i="9"/>
  <c r="B84" i="9"/>
  <c r="D68" i="9"/>
  <c r="B68" i="9"/>
  <c r="D52" i="9"/>
  <c r="B52" i="9"/>
  <c r="D83" i="3"/>
  <c r="D67" i="3"/>
  <c r="B51" i="3"/>
  <c r="D70" i="9"/>
  <c r="B70" i="9"/>
  <c r="D69" i="9"/>
  <c r="B69" i="9"/>
  <c r="D83" i="9"/>
  <c r="B83" i="9"/>
  <c r="D67" i="9"/>
  <c r="B67" i="9"/>
  <c r="B51" i="9"/>
  <c r="D51" i="9"/>
  <c r="D82" i="3"/>
  <c r="D66" i="3"/>
  <c r="B50" i="3"/>
  <c r="B69" i="3"/>
  <c r="D82" i="9"/>
  <c r="B82" i="9"/>
  <c r="B66" i="9"/>
  <c r="D66" i="9"/>
  <c r="D50" i="9"/>
  <c r="B50" i="9"/>
  <c r="D81" i="3"/>
  <c r="D65" i="3"/>
  <c r="B49" i="3"/>
  <c r="B17" i="9"/>
  <c r="D17" i="9"/>
  <c r="D16" i="3"/>
  <c r="B16" i="9"/>
  <c r="D16" i="9"/>
  <c r="D31" i="3"/>
  <c r="D15" i="3"/>
  <c r="D32" i="3"/>
  <c r="B32" i="9"/>
  <c r="D32" i="9"/>
  <c r="D31" i="9"/>
  <c r="B31" i="9"/>
  <c r="B15" i="9"/>
  <c r="D15" i="9"/>
  <c r="D30" i="3"/>
  <c r="D14" i="3"/>
  <c r="B33" i="9"/>
  <c r="D33" i="9"/>
  <c r="D30" i="9"/>
  <c r="B30" i="9"/>
  <c r="B14" i="9"/>
  <c r="D14" i="9"/>
  <c r="B29" i="3"/>
  <c r="B13" i="3"/>
  <c r="B11" i="3"/>
  <c r="D27" i="9"/>
  <c r="B27" i="9"/>
  <c r="D11" i="9"/>
  <c r="B11" i="9"/>
  <c r="B26" i="3"/>
  <c r="B10" i="3"/>
  <c r="B12" i="3"/>
  <c r="D28" i="9"/>
  <c r="B28" i="9"/>
  <c r="D26" i="9"/>
  <c r="B26" i="9"/>
  <c r="D10" i="9"/>
  <c r="B10" i="9"/>
  <c r="B41" i="3"/>
  <c r="B25" i="3"/>
  <c r="B9" i="3"/>
  <c r="D13" i="9"/>
  <c r="B13" i="9"/>
  <c r="D41" i="9"/>
  <c r="D41" i="21" s="1"/>
  <c r="B41" i="9"/>
  <c r="D25" i="9"/>
  <c r="B25" i="9"/>
  <c r="D9" i="9"/>
  <c r="B9" i="9"/>
  <c r="B40" i="3"/>
  <c r="B24" i="3"/>
  <c r="B8" i="3"/>
  <c r="D29" i="9"/>
  <c r="B29" i="9"/>
  <c r="D12" i="9"/>
  <c r="B12" i="9"/>
  <c r="D40" i="9"/>
  <c r="D40" i="21" s="1"/>
  <c r="B40" i="9"/>
  <c r="D24" i="9"/>
  <c r="B24" i="9"/>
  <c r="D8" i="9"/>
  <c r="B8" i="9"/>
  <c r="B39" i="3"/>
  <c r="B23" i="3"/>
  <c r="B7" i="3"/>
  <c r="D39" i="9"/>
  <c r="D39" i="21" s="1"/>
  <c r="B39" i="9"/>
  <c r="D23" i="9"/>
  <c r="B23" i="9"/>
  <c r="D7" i="9"/>
  <c r="B7" i="9"/>
  <c r="D38" i="3"/>
  <c r="D22" i="3"/>
  <c r="D6" i="3"/>
  <c r="D38" i="9"/>
  <c r="D38" i="21" s="1"/>
  <c r="B38" i="9"/>
  <c r="D22" i="9"/>
  <c r="D22" i="21" s="1"/>
  <c r="B22" i="9"/>
  <c r="D6" i="9"/>
  <c r="B6" i="9"/>
  <c r="D37" i="3"/>
  <c r="D21" i="3"/>
  <c r="B5" i="3"/>
  <c r="B28" i="3"/>
  <c r="B27" i="3"/>
  <c r="D37" i="9"/>
  <c r="D37" i="21" s="1"/>
  <c r="B37" i="9"/>
  <c r="D21" i="9"/>
  <c r="D21" i="21" s="1"/>
  <c r="B21" i="9"/>
  <c r="D5" i="9"/>
  <c r="B5" i="9"/>
  <c r="D36" i="3"/>
  <c r="D20" i="3"/>
  <c r="B4" i="3"/>
  <c r="B36" i="9"/>
  <c r="D36" i="9"/>
  <c r="B20" i="9"/>
  <c r="D20" i="9"/>
  <c r="B4" i="9"/>
  <c r="D4" i="9"/>
  <c r="D35" i="3"/>
  <c r="D19" i="3"/>
  <c r="B3" i="3"/>
  <c r="B35" i="9"/>
  <c r="D35" i="9"/>
  <c r="B19" i="9"/>
  <c r="D19" i="9"/>
  <c r="B3" i="9"/>
  <c r="D3" i="9"/>
  <c r="D34" i="3"/>
  <c r="D18" i="3"/>
  <c r="B2" i="3"/>
  <c r="B34" i="9"/>
  <c r="D34" i="9"/>
  <c r="B18" i="9"/>
  <c r="D18" i="9"/>
  <c r="D33" i="3"/>
  <c r="D17" i="3"/>
  <c r="D92" i="3"/>
  <c r="D91" i="3"/>
  <c r="D90" i="3"/>
  <c r="B90" i="9"/>
  <c r="D90" i="9"/>
  <c r="D93" i="3"/>
  <c r="B93" i="9"/>
  <c r="D93" i="9"/>
  <c r="B95" i="9"/>
  <c r="D95" i="9"/>
  <c r="D95" i="3"/>
  <c r="B92" i="9"/>
  <c r="D92" i="9"/>
  <c r="D94" i="9"/>
  <c r="B94" i="9"/>
  <c r="D96" i="3"/>
  <c r="B96" i="9"/>
  <c r="D96" i="9"/>
  <c r="D94" i="3"/>
  <c r="B91" i="9"/>
  <c r="D91" i="9"/>
  <c r="B97" i="9"/>
  <c r="D97" i="9"/>
  <c r="D97" i="3"/>
  <c r="B91" i="7"/>
  <c r="B75" i="7"/>
  <c r="B59" i="7"/>
  <c r="B43" i="7"/>
  <c r="B27" i="7"/>
  <c r="B11" i="7"/>
  <c r="B90" i="7"/>
  <c r="B74" i="7"/>
  <c r="B58" i="7"/>
  <c r="B42" i="7"/>
  <c r="B26" i="7"/>
  <c r="B10" i="7"/>
  <c r="D89" i="7"/>
  <c r="D73" i="7"/>
  <c r="D57" i="7"/>
  <c r="D41" i="7"/>
  <c r="D25" i="7"/>
  <c r="D9" i="7"/>
  <c r="D88" i="7"/>
  <c r="D56" i="7"/>
  <c r="D24" i="7"/>
  <c r="D8" i="7"/>
  <c r="B28" i="7"/>
  <c r="D72" i="7"/>
  <c r="D40" i="7"/>
  <c r="D87" i="7"/>
  <c r="D71" i="7"/>
  <c r="B55" i="7"/>
  <c r="D39" i="7"/>
  <c r="D23" i="7"/>
  <c r="D7" i="7"/>
  <c r="D86" i="7"/>
  <c r="D70" i="7"/>
  <c r="D54" i="7"/>
  <c r="D38" i="7"/>
  <c r="D6" i="7"/>
  <c r="B85" i="7"/>
  <c r="B69" i="7"/>
  <c r="B53" i="7"/>
  <c r="D37" i="7"/>
  <c r="D5" i="7"/>
  <c r="B84" i="7"/>
  <c r="B68" i="7"/>
  <c r="B52" i="7"/>
  <c r="D36" i="7"/>
  <c r="D20" i="7"/>
  <c r="D4" i="7"/>
  <c r="B83" i="7"/>
  <c r="B67" i="7"/>
  <c r="B51" i="7"/>
  <c r="D35" i="7"/>
  <c r="D19" i="7"/>
  <c r="D3" i="7"/>
  <c r="D60" i="7"/>
  <c r="B82" i="7"/>
  <c r="B66" i="7"/>
  <c r="B50" i="7"/>
  <c r="D34" i="7"/>
  <c r="D18" i="7"/>
  <c r="B12" i="7"/>
  <c r="B81" i="7"/>
  <c r="B49" i="7"/>
  <c r="D33" i="7"/>
  <c r="B80" i="7"/>
  <c r="B64" i="7"/>
  <c r="D48" i="7"/>
  <c r="D32" i="7"/>
  <c r="D16" i="7"/>
  <c r="B44" i="7"/>
  <c r="B79" i="7"/>
  <c r="B63" i="7"/>
  <c r="B47" i="7"/>
  <c r="B31" i="7"/>
  <c r="D15" i="7"/>
  <c r="D76" i="7"/>
  <c r="D17" i="7"/>
  <c r="D78" i="7"/>
  <c r="D62" i="7"/>
  <c r="D46" i="7"/>
  <c r="D30" i="7"/>
  <c r="D14" i="7"/>
  <c r="B65" i="7"/>
  <c r="D77" i="7"/>
  <c r="D61" i="7"/>
  <c r="B45" i="7"/>
  <c r="B29" i="7"/>
  <c r="B13" i="7"/>
  <c r="D59" i="7"/>
  <c r="D58" i="7"/>
  <c r="D91" i="7"/>
  <c r="D90" i="7"/>
  <c r="D85" i="7"/>
  <c r="D89" i="3"/>
  <c r="D83" i="7"/>
  <c r="D73" i="3"/>
  <c r="D82" i="7"/>
  <c r="D57" i="3"/>
  <c r="D75" i="7"/>
  <c r="B84" i="3"/>
  <c r="D86" i="12"/>
  <c r="D74" i="7"/>
  <c r="B68" i="3"/>
  <c r="D69" i="7"/>
  <c r="D67" i="7"/>
  <c r="D66" i="7"/>
  <c r="B30" i="7"/>
  <c r="B23" i="7"/>
  <c r="B9" i="7"/>
  <c r="B25" i="7"/>
  <c r="B14" i="7"/>
  <c r="B7" i="7"/>
  <c r="B6" i="7"/>
  <c r="B46" i="7"/>
  <c r="B41" i="7"/>
  <c r="B39" i="7"/>
  <c r="B38" i="7"/>
  <c r="D84" i="7"/>
  <c r="D68" i="7"/>
  <c r="B78" i="7"/>
  <c r="B62" i="7"/>
  <c r="B40" i="7"/>
  <c r="B24" i="7"/>
  <c r="B8" i="7"/>
  <c r="D88" i="3"/>
  <c r="D72" i="3"/>
  <c r="D56" i="3"/>
  <c r="B83" i="3"/>
  <c r="B67" i="3"/>
  <c r="D83" i="12"/>
  <c r="D45" i="7"/>
  <c r="D29" i="7"/>
  <c r="D13" i="7"/>
  <c r="B77" i="7"/>
  <c r="B61" i="7"/>
  <c r="D87" i="3"/>
  <c r="D71" i="3"/>
  <c r="D55" i="3"/>
  <c r="B82" i="3"/>
  <c r="B66" i="3"/>
  <c r="D47" i="7"/>
  <c r="D82" i="12"/>
  <c r="D44" i="7"/>
  <c r="D28" i="7"/>
  <c r="D28" i="21" s="1"/>
  <c r="D12" i="7"/>
  <c r="B76" i="7"/>
  <c r="B60" i="7"/>
  <c r="D86" i="3"/>
  <c r="D70" i="3"/>
  <c r="B97" i="3"/>
  <c r="B81" i="3"/>
  <c r="B65" i="3"/>
  <c r="D70" i="12"/>
  <c r="D81" i="7"/>
  <c r="D65" i="7"/>
  <c r="D43" i="7"/>
  <c r="D27" i="7"/>
  <c r="D11" i="7"/>
  <c r="B37" i="7"/>
  <c r="B5" i="7"/>
  <c r="D85" i="3"/>
  <c r="D69" i="3"/>
  <c r="B96" i="3"/>
  <c r="B80" i="3"/>
  <c r="B64" i="3"/>
  <c r="D68" i="12"/>
  <c r="D80" i="7"/>
  <c r="D64" i="7"/>
  <c r="D42" i="7"/>
  <c r="D26" i="7"/>
  <c r="D10" i="7"/>
  <c r="B36" i="7"/>
  <c r="B20" i="7"/>
  <c r="B4" i="7"/>
  <c r="B95" i="3"/>
  <c r="B79" i="3"/>
  <c r="B63" i="3"/>
  <c r="D67" i="12"/>
  <c r="D79" i="7"/>
  <c r="D63" i="7"/>
  <c r="B89" i="7"/>
  <c r="B73" i="7"/>
  <c r="B57" i="7"/>
  <c r="B35" i="7"/>
  <c r="B19" i="7"/>
  <c r="B3" i="7"/>
  <c r="B94" i="3"/>
  <c r="B78" i="3"/>
  <c r="B62" i="3"/>
  <c r="D66" i="12"/>
  <c r="B88" i="7"/>
  <c r="B72" i="7"/>
  <c r="B56" i="7"/>
  <c r="B34" i="7"/>
  <c r="B18" i="7"/>
  <c r="D2" i="7"/>
  <c r="B93" i="3"/>
  <c r="B77" i="3"/>
  <c r="B61" i="3"/>
  <c r="B87" i="7"/>
  <c r="B71" i="7"/>
  <c r="B54" i="7"/>
  <c r="B33" i="7"/>
  <c r="B17" i="7"/>
  <c r="B92" i="3"/>
  <c r="B76" i="3"/>
  <c r="B60" i="3"/>
  <c r="B86" i="7"/>
  <c r="B70" i="7"/>
  <c r="B48" i="7"/>
  <c r="B32" i="7"/>
  <c r="B16" i="7"/>
  <c r="B91" i="3"/>
  <c r="B75" i="3"/>
  <c r="B59" i="3"/>
  <c r="D31" i="7"/>
  <c r="B15" i="7"/>
  <c r="B90" i="3"/>
  <c r="B74" i="3"/>
  <c r="B58" i="3"/>
  <c r="B6" i="3"/>
  <c r="D5" i="3"/>
  <c r="D2" i="3"/>
  <c r="D4" i="3"/>
  <c r="D3" i="3"/>
  <c r="D8" i="12"/>
  <c r="D7" i="12"/>
  <c r="D6" i="12"/>
  <c r="D5" i="12"/>
  <c r="D4" i="12"/>
  <c r="D3" i="12"/>
  <c r="D8" i="3"/>
  <c r="D7" i="3"/>
  <c r="D45" i="3"/>
  <c r="D44" i="3"/>
  <c r="D29" i="3"/>
  <c r="D28" i="3"/>
  <c r="D13" i="3"/>
  <c r="D12" i="3"/>
  <c r="B38" i="3"/>
  <c r="B37" i="3"/>
  <c r="B22" i="3"/>
  <c r="B21" i="3"/>
  <c r="D43" i="3"/>
  <c r="D27" i="3"/>
  <c r="D11" i="3"/>
  <c r="B36" i="3"/>
  <c r="B20" i="3"/>
  <c r="D42" i="3"/>
  <c r="D26" i="3"/>
  <c r="D10" i="3"/>
  <c r="B35" i="3"/>
  <c r="B19" i="3"/>
  <c r="D41" i="3"/>
  <c r="D25" i="3"/>
  <c r="D9" i="3"/>
  <c r="B34" i="3"/>
  <c r="B18" i="3"/>
  <c r="D40" i="3"/>
  <c r="D24" i="3"/>
  <c r="B33" i="3"/>
  <c r="B17" i="3"/>
  <c r="D39" i="3"/>
  <c r="D23" i="3"/>
  <c r="B48" i="3"/>
  <c r="B32" i="3"/>
  <c r="B16" i="3"/>
  <c r="B47" i="3"/>
  <c r="B31" i="3"/>
  <c r="B15" i="3"/>
  <c r="B46" i="3"/>
  <c r="B30" i="3"/>
  <c r="B14" i="3"/>
  <c r="D33" i="12"/>
  <c r="D17" i="12"/>
  <c r="D34" i="12"/>
  <c r="B2" i="8"/>
  <c r="D53" i="7"/>
  <c r="D54" i="3"/>
  <c r="D52" i="7"/>
  <c r="D53" i="3"/>
  <c r="D51" i="7"/>
  <c r="D50" i="7"/>
  <c r="D49" i="7"/>
  <c r="D55" i="7"/>
  <c r="D49" i="3"/>
  <c r="D52" i="3"/>
  <c r="D51" i="3"/>
  <c r="D50" i="3"/>
  <c r="D81" i="12"/>
  <c r="D65" i="12"/>
  <c r="D80" i="12"/>
  <c r="D64" i="12"/>
  <c r="D79" i="12"/>
  <c r="D63" i="12"/>
  <c r="D78" i="12"/>
  <c r="D62" i="12"/>
  <c r="D77" i="12"/>
  <c r="D61" i="12"/>
  <c r="D76" i="12"/>
  <c r="D60" i="12"/>
  <c r="D91" i="12"/>
  <c r="D75" i="12"/>
  <c r="D59" i="12"/>
  <c r="D90" i="12"/>
  <c r="D74" i="12"/>
  <c r="D58" i="12"/>
  <c r="D89" i="12"/>
  <c r="D73" i="12"/>
  <c r="D57" i="12"/>
  <c r="D88" i="12"/>
  <c r="D72" i="12"/>
  <c r="D56" i="12"/>
  <c r="D49" i="12"/>
  <c r="D52" i="12"/>
  <c r="D55" i="12"/>
  <c r="D54" i="12"/>
  <c r="D53" i="12"/>
  <c r="D11" i="21" l="1"/>
  <c r="D10" i="21"/>
  <c r="D31" i="21"/>
  <c r="D33" i="21"/>
  <c r="D35" i="21"/>
  <c r="D15" i="21"/>
  <c r="D16" i="21"/>
  <c r="D36" i="21"/>
  <c r="D30" i="21"/>
  <c r="D29" i="21"/>
  <c r="D32" i="21"/>
  <c r="D20" i="21"/>
  <c r="D14" i="21"/>
  <c r="D34" i="21"/>
  <c r="D9" i="21"/>
  <c r="D25" i="21"/>
  <c r="D12" i="21"/>
  <c r="D4" i="21"/>
  <c r="D23" i="21"/>
  <c r="D27" i="21"/>
  <c r="D18" i="21"/>
  <c r="D26" i="21"/>
  <c r="D13" i="21"/>
  <c r="D17" i="21"/>
  <c r="D7" i="21"/>
  <c r="D5" i="21"/>
  <c r="D8" i="21"/>
  <c r="D3" i="21"/>
  <c r="D24" i="21"/>
  <c r="D19" i="21"/>
  <c r="D6" i="21"/>
  <c r="C2" i="5" l="1"/>
  <c r="A2" i="5" s="1"/>
  <c r="D2" i="5" l="1"/>
  <c r="D2" i="21" s="1"/>
  <c r="B2" i="5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97" i="13" l="1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B98" i="12" l="1"/>
  <c r="E26" i="8" l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2" i="7"/>
  <c r="E97" i="9" l="1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2" i="3"/>
  <c r="B98" i="8" l="1"/>
  <c r="B98" i="3"/>
  <c r="B98" i="9"/>
  <c r="B9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<sst xmlns="http://schemas.openxmlformats.org/spreadsheetml/2006/main" count="1287" uniqueCount="200">
  <si>
    <t>Plate I</t>
  </si>
  <si>
    <t>A</t>
  </si>
  <si>
    <t>B</t>
  </si>
  <si>
    <t>C</t>
  </si>
  <si>
    <t>D</t>
  </si>
  <si>
    <t>E</t>
  </si>
  <si>
    <t>F</t>
  </si>
  <si>
    <t>G</t>
  </si>
  <si>
    <t>H</t>
  </si>
  <si>
    <t xml:space="preserve"> </t>
  </si>
  <si>
    <t>H2O</t>
  </si>
  <si>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</si>
  <si>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</si>
  <si>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</si>
  <si>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</si>
  <si>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</si>
  <si>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</si>
  <si>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</si>
  <si>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</si>
  <si>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</si>
  <si>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</si>
  <si>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</si>
  <si>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</si>
  <si>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</si>
  <si>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</si>
  <si>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</si>
  <si>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</si>
  <si>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</si>
  <si>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</si>
  <si>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</si>
  <si>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</si>
  <si>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</si>
  <si>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</si>
  <si>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</si>
  <si>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</si>
  <si>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</si>
  <si>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</si>
  <si>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</si>
  <si>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</si>
  <si>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</si>
  <si>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</si>
  <si>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</si>
  <si>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</si>
  <si>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</si>
  <si>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</si>
  <si>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</si>
  <si>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</si>
  <si>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</si>
  <si>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</si>
  <si>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</si>
  <si>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</si>
  <si>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</si>
  <si>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</si>
  <si>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</si>
  <si>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</si>
  <si>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</si>
  <si>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</si>
  <si>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</si>
  <si>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</si>
  <si>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</si>
  <si>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</si>
  <si>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</si>
  <si>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</si>
  <si>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</si>
  <si>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</si>
  <si>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</si>
  <si>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</si>
  <si>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</si>
  <si>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Well Nr. source plate</t>
  </si>
  <si>
    <t>Volumen</t>
  </si>
  <si>
    <t>Well Nr. destination plate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</si>
  <si>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</si>
  <si>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</si>
  <si>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</si>
  <si>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</si>
  <si>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</si>
  <si>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</si>
  <si>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</si>
  <si>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</si>
  <si>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</si>
  <si>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</si>
  <si>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</si>
  <si>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</si>
  <si>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</si>
  <si>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</si>
  <si>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</si>
  <si>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</si>
  <si>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</si>
  <si>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</si>
  <si>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</si>
  <si>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</si>
  <si>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</si>
  <si>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</si>
  <si>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</si>
  <si>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</si>
  <si>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</si>
  <si>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</si>
  <si>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</si>
  <si>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</si>
  <si>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</si>
  <si>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</si>
  <si>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</si>
  <si>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</si>
  <si>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</si>
  <si>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</si>
  <si>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</si>
  <si>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</si>
  <si>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</si>
  <si>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</si>
  <si>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</si>
  <si>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</si>
  <si>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Destination_plate</t>
  </si>
  <si>
    <t>Destination_Plate_1</t>
  </si>
  <si>
    <t>GoI</t>
  </si>
  <si>
    <t xml:space="preserve">Plate </t>
  </si>
  <si>
    <t>RBS</t>
  </si>
  <si>
    <t xml:space="preserve">Description </t>
  </si>
  <si>
    <t>Location</t>
  </si>
  <si>
    <t>260 Raw</t>
  </si>
  <si>
    <t>280 Raw</t>
  </si>
  <si>
    <t>320 Raw</t>
  </si>
  <si>
    <t>260/280</t>
  </si>
  <si>
    <t>ng/µL</t>
  </si>
  <si>
    <t>bp</t>
  </si>
  <si>
    <t>Sample</t>
  </si>
  <si>
    <t>Seq Ref</t>
  </si>
  <si>
    <t>Primer</t>
  </si>
  <si>
    <t>Seq results</t>
  </si>
  <si>
    <t>Meta data</t>
  </si>
  <si>
    <t>Value</t>
  </si>
  <si>
    <t>DNA amount [ng] in 1 ul</t>
  </si>
  <si>
    <t>Mastermix</t>
  </si>
  <si>
    <t>10x ligase buffer</t>
  </si>
  <si>
    <t>Plasmidmix</t>
  </si>
  <si>
    <t>Signal Peptide</t>
  </si>
  <si>
    <t>Transformation GG-Mix [µL]/50 µL cells</t>
  </si>
  <si>
    <t xml:space="preserve">100x BSA </t>
  </si>
  <si>
    <t>Backbone</t>
  </si>
  <si>
    <t xml:space="preserve"> T4 DNA ligase (400 U/ul)</t>
  </si>
  <si>
    <t>Nr.</t>
  </si>
  <si>
    <t>Molarity</t>
  </si>
  <si>
    <t>Tag/Term</t>
  </si>
  <si>
    <t>Description</t>
  </si>
  <si>
    <t>Water</t>
  </si>
  <si>
    <t>Trough</t>
  </si>
  <si>
    <t>water</t>
  </si>
  <si>
    <t>Plasmidmix Nr.</t>
  </si>
  <si>
    <t>Plasmidmix1</t>
  </si>
  <si>
    <t>PM1</t>
  </si>
  <si>
    <t>PM2</t>
  </si>
  <si>
    <t>PM3</t>
  </si>
  <si>
    <t>mtp_source</t>
  </si>
  <si>
    <t>Tröge haben nur ein well</t>
  </si>
  <si>
    <t>&lt;------------</t>
  </si>
  <si>
    <t>MTP_source</t>
  </si>
  <si>
    <t>MTP</t>
  </si>
  <si>
    <t>Content</t>
  </si>
  <si>
    <t>mtp_mastermix</t>
  </si>
  <si>
    <t>mtp_dna_stocks</t>
  </si>
  <si>
    <t>Info</t>
  </si>
  <si>
    <t>PM4</t>
  </si>
  <si>
    <t>Part</t>
  </si>
  <si>
    <t>Promotor</t>
  </si>
  <si>
    <t>Mastermix1</t>
  </si>
  <si>
    <t>TrrnB</t>
  </si>
  <si>
    <t>Psyn</t>
  </si>
  <si>
    <t>PH36</t>
  </si>
  <si>
    <t>aroF_S188C</t>
  </si>
  <si>
    <t>aroC</t>
  </si>
  <si>
    <t>Diluted parts in mtp_source need to be in the same well as in mtp_dna_stocks (do not change the well positions of parts in mtp_source)</t>
  </si>
  <si>
    <t>Complete occupancy</t>
  </si>
  <si>
    <t>Volume Mastermix total [µL]</t>
  </si>
  <si>
    <t>Part concentration [fmol/µL]</t>
  </si>
  <si>
    <t>Volume per Part in Plasmidmix [µL]</t>
  </si>
  <si>
    <t>Volume Plasmidprep Plate per well [µL]</t>
  </si>
  <si>
    <t>Total</t>
  </si>
  <si>
    <t>Number Reactions</t>
  </si>
  <si>
    <t>BsaI (20 U/ul)</t>
  </si>
  <si>
    <t>10 U per reaction standardly used</t>
  </si>
  <si>
    <t>100 U per reaction standardly used</t>
  </si>
  <si>
    <t>Check that the plasmid mixes are in the same well as in the "mtp_source" plate in the "Plate organization+" sheet</t>
  </si>
  <si>
    <t>Outputs wells for Plasmidmixes from "PM_info+" sheet</t>
  </si>
  <si>
    <t>Put "Plasmidmix#" in the indicated wells in "mtp_source"</t>
  </si>
  <si>
    <t>Do not select cells and move them to different rows! Only type manually or use copy &amp; paste</t>
  </si>
  <si>
    <t>Plasmidmix Well check</t>
  </si>
  <si>
    <t>BsaI (U/rxn)</t>
  </si>
  <si>
    <t>T4 Ligase (U/rxn)</t>
  </si>
  <si>
    <t>GGA Mastermix Calculator</t>
  </si>
  <si>
    <t>Mol per part and reaction [fmol]</t>
  </si>
  <si>
    <t>Volume per Part per reaction [µL]</t>
  </si>
  <si>
    <t>Volume Mastermix per reaction [µL]</t>
  </si>
  <si>
    <t>Auto calculation</t>
  </si>
  <si>
    <t>Total Volume per reaction</t>
  </si>
  <si>
    <t>Volume Plasmidmix per reaction</t>
  </si>
  <si>
    <t>Actually depends on column in "DNA_dilution+" sheet</t>
  </si>
  <si>
    <t>S</t>
  </si>
  <si>
    <t>DVK_AE</t>
  </si>
  <si>
    <t>Only change cells in blue</t>
  </si>
  <si>
    <t>Volume to resuspend</t>
  </si>
  <si>
    <t>Volume [ul]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</si>
</sst>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212529"/>
      <name val="Segoe UI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1" fillId="0" borderId="0"/>
    <xf numFmtId="0" fontId="12" fillId="0" borderId="0"/>
    <xf numFmtId="0" fontId="21" fillId="15" borderId="0" applyNumberFormat="0" applyBorder="0" applyAlignment="0" applyProtection="0"/>
    <xf numFmtId="0" fontId="22" fillId="16" borderId="42" applyNumberFormat="0" applyAlignment="0" applyProtection="0"/>
    <xf numFmtId="0" fontId="23" fillId="17" borderId="43" applyNumberFormat="0" applyAlignment="0" applyProtection="0"/>
    <xf numFmtId="0" fontId="24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9" borderId="16" xfId="1" applyFont="1" applyFill="1" applyBorder="1" applyAlignment="1">
      <alignment horizontal="center" wrapText="1"/>
    </xf>
    <xf numFmtId="0" fontId="0" fillId="3" borderId="16" xfId="0" applyFill="1" applyBorder="1" applyAlignment="1">
      <alignment horizontal="center"/>
    </xf>
    <xf numFmtId="0" fontId="7" fillId="9" borderId="1" xfId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7" fillId="9" borderId="19" xfId="1" applyFont="1" applyFill="1" applyBorder="1" applyAlignment="1">
      <alignment horizontal="center" wrapText="1"/>
    </xf>
    <xf numFmtId="0" fontId="0" fillId="3" borderId="19" xfId="0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2" xfId="0" applyBorder="1"/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14" fillId="0" borderId="0" xfId="0" applyFont="1"/>
    <xf numFmtId="0" fontId="13" fillId="0" borderId="1" xfId="0" applyFont="1" applyBorder="1" applyAlignment="1">
      <alignment horizontal="center"/>
    </xf>
    <xf numFmtId="0" fontId="15" fillId="0" borderId="0" xfId="0" applyFont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0" fillId="8" borderId="0" xfId="0" applyFill="1"/>
    <xf numFmtId="0" fontId="4" fillId="8" borderId="0" xfId="0" applyFont="1" applyFill="1" applyAlignment="1">
      <alignment horizontal="center"/>
    </xf>
    <xf numFmtId="0" fontId="0" fillId="8" borderId="1" xfId="0" applyFill="1" applyBorder="1"/>
    <xf numFmtId="0" fontId="9" fillId="8" borderId="1" xfId="0" applyFont="1" applyFill="1" applyBorder="1"/>
    <xf numFmtId="0" fontId="13" fillId="8" borderId="3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5" fillId="8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0" fontId="5" fillId="8" borderId="5" xfId="0" applyFont="1" applyFill="1" applyBorder="1"/>
    <xf numFmtId="0" fontId="5" fillId="8" borderId="0" xfId="0" applyFont="1" applyFill="1"/>
    <xf numFmtId="0" fontId="0" fillId="0" borderId="18" xfId="0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0" fillId="8" borderId="3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1" fillId="0" borderId="32" xfId="0" applyFont="1" applyBorder="1" applyAlignment="1">
      <alignment horizontal="center"/>
    </xf>
    <xf numFmtId="0" fontId="0" fillId="0" borderId="36" xfId="0" applyBorder="1"/>
    <xf numFmtId="0" fontId="0" fillId="0" borderId="33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/>
    <xf numFmtId="0" fontId="0" fillId="0" borderId="39" xfId="0" applyBorder="1" applyAlignment="1">
      <alignment vertical="center"/>
    </xf>
    <xf numFmtId="0" fontId="8" fillId="8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19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0" xfId="0" applyFont="1"/>
    <xf numFmtId="0" fontId="18" fillId="0" borderId="0" xfId="0" applyFont="1"/>
    <xf numFmtId="0" fontId="22" fillId="16" borderId="1" xfId="4" applyBorder="1" applyAlignment="1">
      <alignment horizontal="center"/>
    </xf>
    <xf numFmtId="0" fontId="22" fillId="16" borderId="19" xfId="4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23" fillId="17" borderId="1" xfId="5" applyBorder="1" applyAlignment="1">
      <alignment horizontal="center"/>
    </xf>
    <xf numFmtId="0" fontId="9" fillId="7" borderId="1" xfId="0" applyFont="1" applyFill="1" applyBorder="1" applyAlignment="1">
      <alignment horizontal="right"/>
    </xf>
    <xf numFmtId="0" fontId="9" fillId="7" borderId="5" xfId="0" applyFont="1" applyFill="1" applyBorder="1" applyAlignment="1">
      <alignment horizontal="left"/>
    </xf>
    <xf numFmtId="0" fontId="23" fillId="17" borderId="5" xfId="5" applyBorder="1" applyAlignment="1">
      <alignment horizontal="center"/>
    </xf>
    <xf numFmtId="0" fontId="9" fillId="7" borderId="19" xfId="0" applyFont="1" applyFill="1" applyBorder="1" applyAlignment="1">
      <alignment horizontal="right"/>
    </xf>
    <xf numFmtId="0" fontId="11" fillId="0" borderId="0" xfId="1"/>
    <xf numFmtId="0" fontId="9" fillId="7" borderId="5" xfId="0" applyFont="1" applyFill="1" applyBorder="1" applyAlignment="1">
      <alignment horizontal="right"/>
    </xf>
    <xf numFmtId="0" fontId="25" fillId="0" borderId="44" xfId="1" applyFont="1" applyBorder="1"/>
    <xf numFmtId="0" fontId="22" fillId="16" borderId="5" xfId="4" applyBorder="1" applyAlignment="1">
      <alignment horizontal="center"/>
    </xf>
    <xf numFmtId="0" fontId="11" fillId="0" borderId="44" xfId="1" applyBorder="1"/>
    <xf numFmtId="0" fontId="24" fillId="0" borderId="0" xfId="6"/>
    <xf numFmtId="0" fontId="9" fillId="7" borderId="19" xfId="0" applyFont="1" applyFill="1" applyBorder="1" applyAlignment="1">
      <alignment horizontal="left"/>
    </xf>
    <xf numFmtId="0" fontId="23" fillId="17" borderId="19" xfId="5" applyBorder="1" applyAlignment="1">
      <alignment horizontal="center"/>
    </xf>
    <xf numFmtId="0" fontId="21" fillId="15" borderId="0" xfId="3" applyBorder="1" applyAlignment="1">
      <alignment horizontal="left"/>
    </xf>
    <xf numFmtId="0" fontId="21" fillId="15" borderId="0" xfId="3"/>
    <xf numFmtId="0" fontId="4" fillId="8" borderId="41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4" fillId="8" borderId="47" xfId="0" applyFont="1" applyFill="1" applyBorder="1" applyAlignment="1">
      <alignment horizontal="center"/>
    </xf>
    <xf numFmtId="0" fontId="8" fillId="8" borderId="23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4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164" fontId="0" fillId="10" borderId="38" xfId="0" applyNumberForma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5" fillId="0" borderId="0" xfId="1" applyFont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0" xfId="0" applyBorder="1"/>
    <xf numFmtId="0" fontId="5" fillId="0" borderId="50" xfId="1" applyFont="1" applyBorder="1"/>
    <xf numFmtId="0" fontId="5" fillId="0" borderId="45" xfId="1" applyFont="1" applyBorder="1"/>
    <xf numFmtId="0" fontId="0" fillId="0" borderId="41" xfId="0" applyBorder="1"/>
    <xf numFmtId="0" fontId="1" fillId="18" borderId="2" xfId="0" applyFont="1" applyFill="1" applyBorder="1"/>
    <xf numFmtId="0" fontId="0" fillId="18" borderId="3" xfId="0" applyFill="1" applyBorder="1"/>
    <xf numFmtId="0" fontId="1" fillId="19" borderId="1" xfId="0" applyFont="1" applyFill="1" applyBorder="1"/>
    <xf numFmtId="0" fontId="5" fillId="20" borderId="1" xfId="0" applyFont="1" applyFill="1" applyBorder="1"/>
    <xf numFmtId="0" fontId="5" fillId="20" borderId="4" xfId="0" applyFont="1" applyFill="1" applyBorder="1"/>
    <xf numFmtId="0" fontId="5" fillId="8" borderId="4" xfId="0" applyFont="1" applyFill="1" applyBorder="1"/>
    <xf numFmtId="0" fontId="5" fillId="0" borderId="51" xfId="0" applyFont="1" applyBorder="1"/>
    <xf numFmtId="0" fontId="5" fillId="0" borderId="1" xfId="0" applyFont="1" applyBorder="1"/>
    <xf numFmtId="0" fontId="24" fillId="0" borderId="0" xfId="6" applyAlignment="1">
      <alignment horizontal="left"/>
    </xf>
    <xf numFmtId="0" fontId="27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6" fillId="4" borderId="5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1" fillId="3" borderId="4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/>
    </xf>
    <xf numFmtId="0" fontId="7" fillId="9" borderId="5" xfId="1" applyFont="1" applyFill="1" applyBorder="1" applyAlignment="1">
      <alignment horizontal="center" wrapText="1"/>
    </xf>
    <xf numFmtId="0" fontId="6" fillId="4" borderId="3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165" fontId="23" fillId="17" borderId="1" xfId="5" applyNumberFormat="1" applyBorder="1" applyAlignment="1">
      <alignment horizontal="center"/>
    </xf>
  </cellXfs>
  <cellStyles count="7">
    <cellStyle name="Ausgabe" xfId="5" builtinId="21"/>
    <cellStyle name="Eingabe" xfId="4" builtinId="20"/>
    <cellStyle name="Erklärender Text" xfId="6" builtinId="53"/>
    <cellStyle name="Neutral" xfId="3" builtinId="28"/>
    <cellStyle name="Standard" xfId="0" builtinId="0"/>
    <cellStyle name="Standard 2" xfId="1" xr:uid="{00000000-0005-0000-0000-000001000000}"/>
    <cellStyle name="Standard 3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1361</xdr:rowOff>
    </xdr:from>
    <xdr:to>
      <xdr:col>13</xdr:col>
      <xdr:colOff>619126</xdr:colOff>
      <xdr:row>31</xdr:row>
      <xdr:rowOff>182336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36790"/>
          <a:ext cx="15641412" cy="589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 b="1"/>
            <a:t>How to use:</a:t>
          </a:r>
        </a:p>
        <a:p>
          <a:endParaRPr lang="de-DE" sz="1100"/>
        </a:p>
        <a:p>
          <a:r>
            <a:rPr lang="de-DE" b="1">
              <a:solidFill>
                <a:schemeClr val="accent6"/>
              </a:solidFill>
            </a:rPr>
            <a:t>- Only fill in datasheets marked with a “+”. </a:t>
          </a:r>
        </a:p>
        <a:p>
          <a:r>
            <a:rPr lang="de-DE"/>
            <a:t>- Only blue boxes are relevant and should be filled in. </a:t>
          </a:r>
        </a:p>
        <a:p>
          <a:r>
            <a:rPr lang="de-DE"/>
            <a:t>- Please use only plates that are approved for your automation</a:t>
          </a:r>
          <a:r>
            <a:rPr lang="de-DE" baseline="0"/>
            <a:t> platform.</a:t>
          </a:r>
        </a:p>
        <a:p>
          <a:endParaRPr lang="de-DE" sz="1100" b="1"/>
        </a:p>
        <a:p>
          <a:r>
            <a:rPr lang="de-DE" sz="1100" b="0"/>
            <a:t>- mtp_mastermix: 	V-BottomPlate (filling</a:t>
          </a:r>
          <a:r>
            <a:rPr lang="de-DE" sz="1100" b="0" baseline="0"/>
            <a:t> volume</a:t>
          </a:r>
          <a:r>
            <a:rPr lang="de-DE" sz="1100" b="0"/>
            <a:t> 400 µL) 		--&gt; Contains only the mastermix; can be reused.</a:t>
          </a:r>
          <a:r>
            <a:rPr lang="de-DE" sz="1100" b="0" baseline="0"/>
            <a:t> (Each well must have a unique name, even if contents are idnetical (e.g., Mastermix1, Mastermix2, ...).</a:t>
          </a:r>
          <a:endParaRPr lang="de-DE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/>
            <a:t>-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mtp_source: 	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 µL)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Plate with diluted parts; can be reused.</a:t>
          </a:r>
          <a:endParaRPr lang="de-DE" b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mtp_dna_stocks: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 µL)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Plate with concentrated parts; can be reused.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mtp_destination_plate1: 	</a:t>
          </a:r>
          <a:r>
            <a:rPr lang="de-DE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PCR-Platte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180 µL)        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Golden Gate plate.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water: 		12-Column Plate (in simulator called: trough) (20 mL) 	--&gt; Water for DNA dilutions and for topping up Golden Gate reactions.</a:t>
          </a:r>
          <a:endParaRPr lang="de-DE" b="0">
            <a:effectLst/>
          </a:endParaRPr>
        </a:p>
        <a:p>
          <a:endParaRPr lang="de-DE" sz="1100" b="1"/>
        </a:p>
        <a:p>
          <a:r>
            <a:rPr lang="de-DE" sz="1100"/>
            <a:t>- </a:t>
          </a:r>
          <a:r>
            <a:rPr lang="de-DE"/>
            <a:t>Be careful when copying or moving elements. The table uses references that are error-prone during such operations.</a:t>
          </a:r>
        </a:p>
        <a:p>
          <a:r>
            <a:rPr lang="de-DE" sz="1100" baseline="0"/>
            <a:t>- </a:t>
          </a:r>
          <a:r>
            <a:rPr lang="de-DE"/>
            <a:t>Most errors occur when parts are spelled differently in the “Plan+” and “Plate organization+” sheets (watch out for typos).</a:t>
          </a:r>
        </a:p>
        <a:p>
          <a:r>
            <a:rPr lang="de-DE" sz="1100" baseline="0"/>
            <a:t>- </a:t>
          </a:r>
          <a:r>
            <a:rPr lang="de-DE"/>
            <a:t>If worksheets or worklists are empty, the Fluent will skip them automatically. This means you can skip process steps that are not relevant (e.g., DNA_dilution if only a Golden Gate is performed).</a:t>
          </a:r>
          <a:r>
            <a:rPr lang="de-DE" baseline="0"/>
            <a:t> </a:t>
          </a:r>
          <a:r>
            <a:rPr lang="de-DE"/>
            <a:t>To do this, simply leave the corresponding sheets or columns empty.</a:t>
          </a:r>
          <a:endParaRPr lang="de-DE" sz="1100"/>
        </a:p>
        <a:p>
          <a:endParaRPr lang="de-DE" sz="1100" b="1"/>
        </a:p>
        <a:p>
          <a:endParaRPr lang="de-DE" sz="1100" b="1"/>
        </a:p>
        <a:p>
          <a:r>
            <a:rPr lang="de-DE" sz="1100" b="1"/>
            <a:t>- Infos:</a:t>
          </a:r>
        </a:p>
        <a:p>
          <a:pPr lvl="1"/>
          <a:r>
            <a:rPr lang="de-DE" sz="1100"/>
            <a:t>Can contain personal experiment descriptions; not relevant for processing worklists</a:t>
          </a:r>
          <a:r>
            <a:rPr lang="de-DE" sz="1100" baseline="0"/>
            <a:t>.</a:t>
          </a:r>
        </a:p>
        <a:p>
          <a:r>
            <a:rPr lang="de-DE" sz="1100" b="1" baseline="0"/>
            <a:t>- Plate Organisation+: </a:t>
          </a:r>
        </a:p>
        <a:p>
          <a:pPr lvl="1"/>
          <a:r>
            <a:rPr lang="de-DE" sz="1100" baseline="0"/>
            <a:t>Defines which components go into which plates.</a:t>
          </a:r>
        </a:p>
        <a:p>
          <a:pPr lvl="1"/>
          <a:r>
            <a:rPr lang="de-DE" sz="1100" baseline="0"/>
            <a:t>Please fill in the meta data (see further below). These are very important. </a:t>
          </a:r>
          <a:r>
            <a:rPr lang="de-DE" sz="1100" b="1" baseline="0">
              <a:solidFill>
                <a:schemeClr val="accent5"/>
              </a:solidFill>
            </a:rPr>
            <a:t>Double-check every value!</a:t>
          </a:r>
          <a:r>
            <a:rPr lang="de-DE" sz="1100" baseline="0">
              <a:solidFill>
                <a:srgbClr val="FF0000"/>
              </a:solidFill>
            </a:rPr>
            <a:t> </a:t>
          </a:r>
          <a:r>
            <a:rPr lang="de-DE" sz="1100" baseline="0">
              <a:solidFill>
                <a:schemeClr val="tx1"/>
              </a:solidFill>
            </a:rPr>
            <a:t>The composition of the mastermix can be found in this sheet.</a:t>
          </a:r>
        </a:p>
        <a:p>
          <a:pPr lvl="0" algn="l"/>
          <a:r>
            <a:rPr lang="de-DE" sz="1100" b="1" baseline="0">
              <a:solidFill>
                <a:schemeClr val="tx1"/>
              </a:solidFill>
            </a:rPr>
            <a:t>- Plan+</a:t>
          </a: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Plan for the Golden Gate. Wherever water should be pipetted, enter </a:t>
          </a:r>
          <a:r>
            <a:rPr lang="de-DE" sz="1100" b="1" baseline="0">
              <a:solidFill>
                <a:schemeClr val="accent5"/>
              </a:solidFill>
            </a:rPr>
            <a:t>"water" </a:t>
          </a:r>
          <a:r>
            <a:rPr lang="de-DE" sz="1100" b="0" baseline="0">
              <a:solidFill>
                <a:schemeClr val="tx1"/>
              </a:solidFill>
            </a:rPr>
            <a:t>(not Water, wasser, Wasser). Volumes are calculated automatically based on total reaction volume (fill in metadata!) and the other parts.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PM_info+</a:t>
          </a:r>
          <a:endParaRPr lang="de-DE">
            <a:effectLst/>
          </a:endParaRP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Enter the composition of the plasmid mix here. Check that wells are not already occupied. </a:t>
          </a:r>
          <a:r>
            <a:rPr lang="de-DE" sz="1100" b="1" baseline="0">
              <a:solidFill>
                <a:schemeClr val="tx1"/>
              </a:solidFill>
            </a:rPr>
            <a:t>Use only empty wells of the "mtp_source"</a:t>
          </a:r>
          <a:r>
            <a:rPr lang="de-DE" sz="1100" b="0" baseline="0">
              <a:solidFill>
                <a:schemeClr val="tx1"/>
              </a:solidFill>
            </a:rPr>
            <a:t>.</a:t>
          </a:r>
          <a:r>
            <a:rPr lang="de-DE" sz="1100" b="1" baseline="0">
              <a:solidFill>
                <a:schemeClr val="tx1"/>
              </a:solidFill>
            </a:rPr>
            <a:t> </a:t>
          </a:r>
          <a:r>
            <a:rPr lang="de-DE" sz="1100" b="0" baseline="0">
              <a:solidFill>
                <a:schemeClr val="tx1"/>
              </a:solidFill>
            </a:rPr>
            <a:t>The plasmid mix is prepated from diluted parts. If you already have a plasmid mix: enter it in Plan+ and Plate_organization+, and leave PM_Info+ empty. </a:t>
          </a:r>
          <a:endParaRPr lang="de-DE" sz="1100" b="1" baseline="0">
            <a:solidFill>
              <a:schemeClr val="tx1"/>
            </a:solidFill>
          </a:endParaRP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DNA_dilution+</a:t>
          </a:r>
          <a:endParaRPr lang="de-DE">
            <a:effectLst/>
          </a:endParaRPr>
        </a:p>
        <a:p>
          <a:pPr lvl="1"/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DNA components that need to be diluted. Only the number of base pairs, measured concentration (ng/µL), final volume, and molarity need to be specified. Everything else is calculated automatically. Names are also filled in automatically once these fields are completed. Seq results (sequencing) is optional. </a:t>
          </a:r>
          <a:r>
            <a:rPr lang="de-DE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Enter sufficient volume per part to avoid errors!</a:t>
          </a:r>
          <a:endParaRPr lang="de-DE" b="1">
            <a:solidFill>
              <a:schemeClr val="accent5"/>
            </a:solidFill>
            <a:effectLst/>
          </a:endParaRPr>
        </a:p>
        <a:p>
          <a:pPr lvl="0" algn="l"/>
          <a:endParaRPr lang="de-DE" sz="1100" b="1" baseline="0">
            <a:solidFill>
              <a:schemeClr val="tx1"/>
            </a:solidFill>
          </a:endParaRPr>
        </a:p>
        <a:p>
          <a:pPr lvl="1" algn="l"/>
          <a:endParaRPr lang="de-DE" sz="1100" b="0" baseline="0">
            <a:solidFill>
              <a:schemeClr val="tx1"/>
            </a:solidFill>
          </a:endParaRPr>
        </a:p>
        <a:p>
          <a:pPr lvl="1"/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"/>
  <sheetViews>
    <sheetView zoomScaleNormal="100" workbookViewId="0">
      <selection activeCell="D1" sqref="D1"/>
    </sheetView>
  </sheetViews>
  <sheetFormatPr baseColWidth="10" defaultColWidth="11.42578125" defaultRowHeight="15" x14ac:dyDescent="0.25"/>
  <cols>
    <col min="1" max="1" width="12.7109375" bestFit="1" customWidth="1"/>
    <col min="2" max="2" width="15.85546875" bestFit="1" customWidth="1"/>
    <col min="3" max="3" width="10.7109375" bestFit="1" customWidth="1"/>
    <col min="4" max="4" width="15.85546875" bestFit="1" customWidth="1"/>
    <col min="5" max="5" width="11.28515625" bestFit="1" customWidth="1"/>
    <col min="6" max="6" width="17.5703125" bestFit="1" customWidth="1"/>
    <col min="7" max="7" width="20.85546875" bestFit="1" customWidth="1"/>
    <col min="8" max="8" width="24.7109375" bestFit="1" customWidth="1"/>
    <col min="9" max="10" width="19" bestFit="1" customWidth="1"/>
    <col min="11" max="11" width="25.28515625" bestFit="1" customWidth="1"/>
    <col min="12" max="12" width="21" bestFit="1" customWidth="1"/>
  </cols>
  <sheetData>
    <row r="1" spans="1:1" ht="33.75" x14ac:dyDescent="0.5">
      <c r="A1" s="77" t="s">
        <v>159</v>
      </c>
    </row>
  </sheetData>
  <pageMargins left="0.7" right="0.7" top="0.78740157499999996" bottom="0.78740157499999996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O58"/>
  <sheetViews>
    <sheetView zoomScale="90" zoomScaleNormal="90" workbookViewId="0">
      <selection activeCell="D37" sqref="D37"/>
    </sheetView>
  </sheetViews>
  <sheetFormatPr baseColWidth="10" defaultColWidth="9.140625" defaultRowHeight="15" x14ac:dyDescent="0.25"/>
  <cols>
    <col min="1" max="1" width="37.42578125" bestFit="1" customWidth="1"/>
    <col min="2" max="2" width="20.5703125" bestFit="1" customWidth="1"/>
    <col min="3" max="3" width="17.42578125" bestFit="1" customWidth="1"/>
    <col min="4" max="4" width="22" bestFit="1" customWidth="1"/>
    <col min="5" max="5" width="23" customWidth="1"/>
    <col min="6" max="6" width="24.28515625" customWidth="1"/>
    <col min="7" max="7" width="20.140625" bestFit="1" customWidth="1"/>
    <col min="8" max="8" width="21" bestFit="1" customWidth="1"/>
    <col min="9" max="9" width="22.42578125" bestFit="1" customWidth="1"/>
    <col min="10" max="10" width="17.7109375" bestFit="1" customWidth="1"/>
    <col min="11" max="11" width="21.42578125" bestFit="1" customWidth="1"/>
    <col min="12" max="12" width="15.42578125" bestFit="1" customWidth="1"/>
    <col min="13" max="13" width="18" bestFit="1" customWidth="1"/>
    <col min="14" max="14" width="17.42578125" bestFit="1" customWidth="1"/>
    <col min="15" max="15" width="11.85546875" bestFit="1" customWidth="1"/>
    <col min="16" max="16" width="8" bestFit="1" customWidth="1"/>
    <col min="17" max="17" width="5" bestFit="1" customWidth="1"/>
    <col min="18" max="18" width="16.5703125" bestFit="1" customWidth="1"/>
    <col min="19" max="19" width="16.85546875" bestFit="1" customWidth="1"/>
    <col min="20" max="20" width="11.42578125" bestFit="1" customWidth="1"/>
  </cols>
  <sheetData>
    <row r="1" spans="1:13" x14ac:dyDescent="0.25">
      <c r="A1" s="142" t="s">
        <v>158</v>
      </c>
      <c r="B1" s="6"/>
      <c r="C1" s="6"/>
      <c r="D1" s="6"/>
      <c r="E1" s="6"/>
    </row>
    <row r="2" spans="1:13" x14ac:dyDescent="0.25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7" t="s">
        <v>1</v>
      </c>
      <c r="B3" s="78" t="s">
        <v>165</v>
      </c>
      <c r="C3" s="78" t="s">
        <v>166</v>
      </c>
      <c r="D3" s="78"/>
      <c r="E3" s="78"/>
      <c r="F3" s="78"/>
      <c r="G3" s="78"/>
      <c r="H3" s="78"/>
      <c r="I3" s="205"/>
      <c r="J3" s="205"/>
      <c r="K3" s="205"/>
      <c r="L3" s="141"/>
      <c r="M3" s="78"/>
    </row>
    <row r="4" spans="1:13" x14ac:dyDescent="0.25">
      <c r="A4" s="17" t="s">
        <v>2</v>
      </c>
      <c r="B4" s="78" t="s">
        <v>115</v>
      </c>
      <c r="C4" s="78"/>
      <c r="D4" s="78"/>
      <c r="E4" s="78"/>
      <c r="F4" s="78"/>
      <c r="G4" s="78"/>
      <c r="H4" s="205"/>
      <c r="I4" s="205"/>
      <c r="J4" s="205"/>
      <c r="K4" s="205"/>
      <c r="L4" s="141"/>
      <c r="M4" s="78"/>
    </row>
    <row r="5" spans="1:13" x14ac:dyDescent="0.25">
      <c r="A5" s="17" t="s">
        <v>3</v>
      </c>
      <c r="B5" s="78" t="s">
        <v>167</v>
      </c>
      <c r="C5" s="78" t="s">
        <v>168</v>
      </c>
      <c r="D5" s="78"/>
      <c r="E5" s="79"/>
      <c r="F5" s="78"/>
      <c r="G5" s="78"/>
      <c r="H5" s="205"/>
      <c r="I5" s="205"/>
      <c r="J5" s="205"/>
      <c r="K5" s="205"/>
      <c r="L5" s="141"/>
      <c r="M5" s="78"/>
    </row>
    <row r="6" spans="1:13" x14ac:dyDescent="0.25">
      <c r="A6" s="17" t="s">
        <v>4</v>
      </c>
      <c r="B6" s="78" t="s">
        <v>164</v>
      </c>
      <c r="C6" s="79"/>
      <c r="D6" s="79"/>
      <c r="E6" s="79"/>
      <c r="F6" s="78"/>
      <c r="G6" s="78"/>
      <c r="H6" s="205"/>
      <c r="I6" s="205"/>
      <c r="J6" s="205"/>
      <c r="K6" s="205"/>
      <c r="L6" s="141"/>
      <c r="M6" s="78"/>
    </row>
    <row r="7" spans="1:13" x14ac:dyDescent="0.25">
      <c r="A7" s="17" t="s">
        <v>5</v>
      </c>
      <c r="B7" s="79" t="s">
        <v>196</v>
      </c>
      <c r="C7" s="79"/>
      <c r="D7" s="79"/>
      <c r="E7" s="79"/>
      <c r="F7" s="78"/>
      <c r="G7" s="78"/>
      <c r="H7" s="205"/>
      <c r="I7" s="205"/>
      <c r="J7" s="205"/>
      <c r="K7" s="206"/>
      <c r="L7" s="141"/>
      <c r="M7" s="78"/>
    </row>
    <row r="8" spans="1:13" x14ac:dyDescent="0.25">
      <c r="A8" s="17" t="s">
        <v>6</v>
      </c>
      <c r="B8" s="79"/>
      <c r="C8" s="79"/>
      <c r="D8" s="79"/>
      <c r="E8" s="79"/>
      <c r="F8" s="78"/>
      <c r="G8" s="78"/>
      <c r="H8" s="205"/>
      <c r="I8" s="205"/>
      <c r="J8" s="205"/>
      <c r="K8" s="207"/>
      <c r="L8" s="141"/>
      <c r="M8" s="78"/>
    </row>
    <row r="9" spans="1:13" x14ac:dyDescent="0.25">
      <c r="A9" s="17" t="s">
        <v>7</v>
      </c>
      <c r="B9" s="79"/>
      <c r="C9" s="79"/>
      <c r="D9" s="79"/>
      <c r="E9" s="79"/>
      <c r="F9" s="78"/>
      <c r="G9" s="78"/>
      <c r="H9" s="205"/>
      <c r="I9" s="205"/>
      <c r="J9" s="205"/>
      <c r="K9" s="207"/>
      <c r="L9" s="141"/>
      <c r="M9" s="78"/>
    </row>
    <row r="10" spans="1:13" x14ac:dyDescent="0.25">
      <c r="A10" s="17" t="s">
        <v>8</v>
      </c>
      <c r="B10" s="78"/>
      <c r="C10" s="141"/>
      <c r="D10" s="79"/>
      <c r="E10" s="79"/>
      <c r="F10" s="78"/>
      <c r="G10" s="78"/>
      <c r="H10" s="205"/>
      <c r="I10" s="206"/>
      <c r="J10" s="78"/>
      <c r="K10" s="207"/>
      <c r="L10" s="141"/>
      <c r="M10" s="78"/>
    </row>
    <row r="11" spans="1:13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10" t="s">
        <v>157</v>
      </c>
      <c r="B13" s="6"/>
      <c r="C13" s="6"/>
      <c r="D13" s="6"/>
      <c r="E13" s="6"/>
    </row>
    <row r="14" spans="1:13" x14ac:dyDescent="0.25">
      <c r="A14" s="1" t="s">
        <v>0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</row>
    <row r="15" spans="1:13" x14ac:dyDescent="0.25">
      <c r="A15" s="17" t="s">
        <v>1</v>
      </c>
      <c r="B15" s="78" t="s">
        <v>163</v>
      </c>
      <c r="C15" s="141"/>
      <c r="D15" s="79"/>
      <c r="E15" s="79"/>
      <c r="F15" s="78"/>
      <c r="G15" s="78"/>
      <c r="H15" s="205"/>
      <c r="I15" s="205"/>
      <c r="J15" s="205"/>
      <c r="K15" s="205"/>
      <c r="L15" s="141"/>
      <c r="M15" s="78"/>
    </row>
    <row r="16" spans="1:13" x14ac:dyDescent="0.25">
      <c r="A16" s="17" t="s">
        <v>2</v>
      </c>
      <c r="B16" s="78"/>
      <c r="C16" s="141"/>
      <c r="D16" s="79"/>
      <c r="E16" s="79"/>
      <c r="F16" s="78"/>
      <c r="G16" s="78"/>
      <c r="H16" s="205"/>
      <c r="I16" s="205"/>
      <c r="J16" s="205"/>
      <c r="K16" s="205"/>
      <c r="L16" s="141"/>
      <c r="M16" s="78"/>
    </row>
    <row r="17" spans="1:13" x14ac:dyDescent="0.25">
      <c r="A17" s="17" t="s">
        <v>3</v>
      </c>
      <c r="B17" s="78"/>
      <c r="C17" s="141"/>
      <c r="D17" s="79"/>
      <c r="E17" s="79"/>
      <c r="F17" s="78"/>
      <c r="G17" s="78"/>
      <c r="H17" s="205"/>
      <c r="I17" s="205"/>
      <c r="J17" s="205"/>
      <c r="K17" s="205"/>
      <c r="L17" s="141"/>
      <c r="M17" s="78"/>
    </row>
    <row r="18" spans="1:13" x14ac:dyDescent="0.25">
      <c r="A18" s="17" t="s">
        <v>4</v>
      </c>
      <c r="B18" s="78"/>
      <c r="C18" s="141"/>
      <c r="D18" s="79"/>
      <c r="E18" s="79"/>
      <c r="F18" s="78"/>
      <c r="G18" s="78"/>
      <c r="H18" s="205"/>
      <c r="I18" s="205"/>
      <c r="J18" s="205"/>
      <c r="K18" s="205"/>
      <c r="L18" s="141"/>
      <c r="M18" s="78"/>
    </row>
    <row r="19" spans="1:13" x14ac:dyDescent="0.25">
      <c r="A19" s="17" t="s">
        <v>5</v>
      </c>
      <c r="B19" s="78"/>
      <c r="C19" s="141"/>
      <c r="D19" s="79"/>
      <c r="E19" s="79"/>
      <c r="F19" s="78"/>
      <c r="G19" s="78"/>
      <c r="H19" s="205"/>
      <c r="I19" s="205"/>
      <c r="J19" s="205"/>
      <c r="K19" s="206"/>
      <c r="L19" s="141"/>
      <c r="M19" s="78"/>
    </row>
    <row r="20" spans="1:13" x14ac:dyDescent="0.25">
      <c r="A20" s="17" t="s">
        <v>6</v>
      </c>
      <c r="B20" s="78"/>
      <c r="C20" s="141"/>
      <c r="D20" s="79"/>
      <c r="E20" s="79"/>
      <c r="F20" s="78"/>
      <c r="G20" s="78"/>
      <c r="H20" s="205"/>
      <c r="I20" s="205"/>
      <c r="J20" s="205"/>
      <c r="K20" s="207"/>
      <c r="L20" s="141"/>
      <c r="M20" s="78"/>
    </row>
    <row r="21" spans="1:13" x14ac:dyDescent="0.25">
      <c r="A21" s="17" t="s">
        <v>7</v>
      </c>
      <c r="B21" s="78"/>
      <c r="C21" s="141"/>
      <c r="D21" s="79"/>
      <c r="E21" s="79"/>
      <c r="F21" s="78"/>
      <c r="G21" s="78"/>
      <c r="H21" s="205"/>
      <c r="I21" s="205"/>
      <c r="J21" s="205"/>
      <c r="K21" s="207"/>
      <c r="L21" s="141"/>
      <c r="M21" s="78"/>
    </row>
    <row r="22" spans="1:13" x14ac:dyDescent="0.25">
      <c r="A22" s="17" t="s">
        <v>8</v>
      </c>
      <c r="B22" s="78"/>
      <c r="C22" s="141"/>
      <c r="D22" s="79"/>
      <c r="E22" s="79"/>
      <c r="F22" s="78"/>
      <c r="G22" s="78"/>
      <c r="H22" s="205"/>
      <c r="I22" s="206"/>
      <c r="J22" s="78"/>
      <c r="K22" s="207"/>
      <c r="L22" s="141"/>
      <c r="M22" s="78"/>
    </row>
    <row r="23" spans="1:13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142" t="s">
        <v>151</v>
      </c>
      <c r="B25" s="5" t="s">
        <v>170</v>
      </c>
      <c r="C25" s="143" t="s">
        <v>169</v>
      </c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1" t="s">
        <v>0</v>
      </c>
      <c r="B26" s="16">
        <v>1</v>
      </c>
      <c r="C26" s="16">
        <v>2</v>
      </c>
      <c r="D26" s="16">
        <v>3</v>
      </c>
      <c r="E26" s="16">
        <v>4</v>
      </c>
      <c r="F26" s="16">
        <v>5</v>
      </c>
      <c r="G26" s="16">
        <v>6</v>
      </c>
      <c r="H26" s="16">
        <v>7</v>
      </c>
      <c r="I26" s="16">
        <v>8</v>
      </c>
      <c r="J26" s="16">
        <v>9</v>
      </c>
      <c r="K26" s="16">
        <v>10</v>
      </c>
      <c r="L26" s="16">
        <v>11</v>
      </c>
      <c r="M26" s="19">
        <v>12</v>
      </c>
    </row>
    <row r="27" spans="1:13" x14ac:dyDescent="0.25">
      <c r="A27" s="17" t="s">
        <v>1</v>
      </c>
      <c r="B27" s="78" t="s">
        <v>165</v>
      </c>
      <c r="C27" s="78" t="s">
        <v>166</v>
      </c>
      <c r="D27" s="78"/>
      <c r="E27" s="78"/>
      <c r="F27" s="78"/>
      <c r="G27" s="78"/>
      <c r="H27" s="78"/>
      <c r="I27" s="78"/>
      <c r="J27" s="205"/>
      <c r="K27" s="205"/>
      <c r="L27" s="141"/>
      <c r="M27" s="141"/>
    </row>
    <row r="28" spans="1:13" x14ac:dyDescent="0.25">
      <c r="A28" s="17" t="s">
        <v>2</v>
      </c>
      <c r="B28" s="78" t="s">
        <v>115</v>
      </c>
      <c r="C28" s="78"/>
      <c r="D28" s="78"/>
      <c r="E28" s="78"/>
      <c r="F28" s="78"/>
      <c r="G28" s="78"/>
      <c r="H28" s="205"/>
      <c r="I28" s="78"/>
      <c r="J28" s="205"/>
      <c r="K28" s="205"/>
      <c r="L28" s="141"/>
      <c r="M28" s="141"/>
    </row>
    <row r="29" spans="1:13" x14ac:dyDescent="0.25">
      <c r="A29" s="17" t="s">
        <v>3</v>
      </c>
      <c r="B29" s="78" t="s">
        <v>167</v>
      </c>
      <c r="C29" s="78" t="s">
        <v>168</v>
      </c>
      <c r="D29" s="78"/>
      <c r="E29" s="79"/>
      <c r="F29" s="78"/>
      <c r="G29" s="78"/>
      <c r="H29" s="205"/>
      <c r="I29" s="78"/>
      <c r="J29" s="205"/>
      <c r="K29" s="205"/>
      <c r="L29" s="141"/>
      <c r="M29" s="141"/>
    </row>
    <row r="30" spans="1:13" x14ac:dyDescent="0.25">
      <c r="A30" s="17" t="s">
        <v>4</v>
      </c>
      <c r="B30" s="78" t="s">
        <v>164</v>
      </c>
      <c r="C30" s="79"/>
      <c r="D30" s="79"/>
      <c r="E30" s="79"/>
      <c r="F30" s="78"/>
      <c r="G30" s="78"/>
      <c r="H30" s="205"/>
      <c r="I30" s="78"/>
      <c r="J30" s="205"/>
      <c r="K30" s="205"/>
      <c r="L30" s="141"/>
      <c r="M30" s="141"/>
    </row>
    <row r="31" spans="1:13" x14ac:dyDescent="0.25">
      <c r="A31" s="17" t="s">
        <v>5</v>
      </c>
      <c r="B31" s="79" t="s">
        <v>196</v>
      </c>
      <c r="C31" s="79"/>
      <c r="D31" s="79"/>
      <c r="E31" s="79"/>
      <c r="F31" s="78"/>
      <c r="G31" s="78"/>
      <c r="H31" s="205"/>
      <c r="I31" s="78"/>
      <c r="J31" s="205"/>
      <c r="K31" s="205"/>
      <c r="L31" s="141"/>
      <c r="M31" s="141"/>
    </row>
    <row r="32" spans="1:13" x14ac:dyDescent="0.25">
      <c r="A32" s="17" t="s">
        <v>6</v>
      </c>
      <c r="B32" s="79"/>
      <c r="C32" s="79"/>
      <c r="D32" s="79"/>
      <c r="E32" s="79"/>
      <c r="F32" s="78"/>
      <c r="G32" s="78"/>
      <c r="H32" s="205"/>
      <c r="I32" s="78"/>
      <c r="J32" s="205"/>
      <c r="K32" s="205"/>
      <c r="L32" s="141"/>
      <c r="M32" s="141"/>
    </row>
    <row r="33" spans="1:15" x14ac:dyDescent="0.25">
      <c r="A33" s="17" t="s">
        <v>7</v>
      </c>
      <c r="B33" s="78"/>
      <c r="C33" s="141"/>
      <c r="D33" s="79"/>
      <c r="E33" s="79"/>
      <c r="F33" s="78"/>
      <c r="G33" s="78"/>
      <c r="H33" s="205"/>
      <c r="I33" s="78"/>
      <c r="J33" s="205"/>
      <c r="K33" s="205"/>
      <c r="L33" s="141"/>
      <c r="M33" s="141"/>
    </row>
    <row r="34" spans="1:15" x14ac:dyDescent="0.25">
      <c r="A34" s="17" t="s">
        <v>8</v>
      </c>
      <c r="B34" s="78" t="s">
        <v>147</v>
      </c>
      <c r="C34" s="78"/>
      <c r="D34" s="78"/>
      <c r="E34" s="78"/>
      <c r="F34" s="78"/>
      <c r="G34" s="78"/>
      <c r="H34" s="205"/>
      <c r="I34" s="78"/>
      <c r="J34" s="206"/>
      <c r="K34" s="206"/>
      <c r="L34" s="141"/>
      <c r="M34" s="141"/>
    </row>
    <row r="36" spans="1:15" x14ac:dyDescent="0.25">
      <c r="B36" s="158" t="s">
        <v>197</v>
      </c>
    </row>
    <row r="37" spans="1:15" ht="15.75" thickBot="1" x14ac:dyDescent="0.3">
      <c r="A37" s="198" t="s">
        <v>128</v>
      </c>
      <c r="B37" s="198" t="s">
        <v>129</v>
      </c>
      <c r="E37" s="155" t="s">
        <v>187</v>
      </c>
      <c r="F37" s="157"/>
      <c r="G37" s="153"/>
      <c r="I37" s="196" t="s">
        <v>184</v>
      </c>
      <c r="J37" s="197"/>
      <c r="K37" s="158" t="s">
        <v>181</v>
      </c>
      <c r="L37" s="3"/>
      <c r="M37" s="3"/>
      <c r="N37" s="3"/>
      <c r="O37" s="3"/>
    </row>
    <row r="38" spans="1:15" x14ac:dyDescent="0.25">
      <c r="A38" s="199" t="s">
        <v>189</v>
      </c>
      <c r="B38" s="109">
        <v>2</v>
      </c>
      <c r="C38" t="str">
        <f>IF(B38,"","&lt;-- Value missing")</f>
        <v/>
      </c>
      <c r="E38" s="154" t="s">
        <v>185</v>
      </c>
      <c r="F38" s="156">
        <v>10</v>
      </c>
      <c r="G38" s="158" t="s">
        <v>178</v>
      </c>
      <c r="I38" s="189" t="str" cm="1">
        <f t="array" ref="I38">_xlfn.UNIQUE(_xlfn._xlws.FILTER('PM_info+'!$C$2:$C$97,'PM_info+'!$C$2:$C$97&lt;&gt;""))</f>
        <v>Plasmidmix1</v>
      </c>
      <c r="J38" s="190" t="str" cm="1">
        <f t="array" ref="J38">IF(I38="","",_xlfn.TEXTJOIN(", ",TRUE,_xlfn._xlws.FILTER('PM_info+'!$B$2:$B$97,('PM_info+'!$C$2:$C$97=I38)*('PM_info+'!$C$2:$C$97&lt;&gt;""),"")))</f>
        <v>H01</v>
      </c>
      <c r="K38" s="158" t="s">
        <v>182</v>
      </c>
      <c r="L38" s="3"/>
      <c r="M38" s="3"/>
      <c r="N38" s="139"/>
      <c r="O38" s="139"/>
    </row>
    <row r="39" spans="1:15" x14ac:dyDescent="0.25">
      <c r="A39" s="199" t="s">
        <v>171</v>
      </c>
      <c r="B39" s="109"/>
      <c r="E39" s="149" t="s">
        <v>186</v>
      </c>
      <c r="F39" s="145">
        <v>100</v>
      </c>
      <c r="G39" s="158" t="s">
        <v>179</v>
      </c>
      <c r="I39" s="191"/>
      <c r="J39" s="192" t="str" cm="1">
        <f t="array" ref="J39">IF(I39="","",_xlfn.TEXTJOIN(", ",TRUE,_xlfn._xlws.FILTER('PM_info+'!$B$2:$B$97,('PM_info+'!$C$2:$C$97=I39)*('PM_info+'!$C$2:$C$97&lt;&gt;""),"")))</f>
        <v/>
      </c>
      <c r="L39" s="3"/>
      <c r="M39" s="139"/>
      <c r="N39" s="3"/>
      <c r="O39" s="139"/>
    </row>
    <row r="40" spans="1:15" ht="15.75" thickBot="1" x14ac:dyDescent="0.3">
      <c r="A40" s="199" t="s">
        <v>190</v>
      </c>
      <c r="B40" s="203">
        <f>0.2*B45</f>
        <v>4</v>
      </c>
      <c r="C40" t="str">
        <f t="shared" ref="C40:C46" si="0">IF(B40,"","&lt;-- Value missing")</f>
        <v/>
      </c>
      <c r="E40" s="152" t="s">
        <v>176</v>
      </c>
      <c r="F40" s="146">
        <v>1</v>
      </c>
      <c r="G40" s="153"/>
      <c r="I40" s="193"/>
      <c r="J40" s="192" t="str" cm="1">
        <f t="array" ref="J40">IF(I40="","",_xlfn.TEXTJOIN(", ",TRUE,_xlfn._xlws.FILTER('PM_info+'!$B$2:$B$97,('PM_info+'!$C$2:$C$97=I40)*('PM_info+'!$C$2:$C$97&lt;&gt;""),"")))</f>
        <v/>
      </c>
      <c r="L40" s="3"/>
      <c r="M40" s="3"/>
      <c r="N40" s="3"/>
      <c r="O40" s="3"/>
    </row>
    <row r="41" spans="1:15" x14ac:dyDescent="0.25">
      <c r="A41" s="199" t="s">
        <v>172</v>
      </c>
      <c r="B41" s="109">
        <v>10</v>
      </c>
      <c r="C41" s="204" t="s">
        <v>194</v>
      </c>
      <c r="E41" s="147" t="s">
        <v>177</v>
      </c>
      <c r="F41" s="228">
        <f>(F38/20)*F40*(B45/30)</f>
        <v>0.33333333333333331</v>
      </c>
      <c r="G41" s="153"/>
      <c r="I41" s="193"/>
      <c r="J41" s="192" t="str" cm="1">
        <f t="array" ref="J41">IF(I41="","",_xlfn.TEXTJOIN(", ",TRUE,_xlfn._xlws.FILTER('PM_info+'!$B$2:$B$97,('PM_info+'!$C$2:$C$97=I41)*('PM_info+'!$C$2:$C$97&lt;&gt;""),"")))</f>
        <v/>
      </c>
    </row>
    <row r="42" spans="1:15" x14ac:dyDescent="0.25">
      <c r="A42" s="199" t="s">
        <v>188</v>
      </c>
      <c r="B42" s="203">
        <f>B38*B41</f>
        <v>20</v>
      </c>
      <c r="C42" s="158" t="s">
        <v>191</v>
      </c>
      <c r="E42" s="147" t="s">
        <v>138</v>
      </c>
      <c r="F42" s="228">
        <f>(F39/400)*F40*(B45/30)</f>
        <v>0.16666666666666666</v>
      </c>
      <c r="G42" s="153"/>
      <c r="I42" s="193"/>
      <c r="J42" s="192" t="str" cm="1">
        <f t="array" ref="J42">IF(I42="","",_xlfn.TEXTJOIN(", ",TRUE,_xlfn._xlws.FILTER('PM_info+'!$B$2:$B$97,('PM_info+'!$C$2:$C$97=I42)*('PM_info+'!$C$2:$C$97&lt;&gt;""),"")))</f>
        <v/>
      </c>
    </row>
    <row r="43" spans="1:15" x14ac:dyDescent="0.25">
      <c r="A43" s="199" t="s">
        <v>173</v>
      </c>
      <c r="B43" s="109">
        <v>15</v>
      </c>
      <c r="C43" t="str">
        <f t="shared" si="0"/>
        <v/>
      </c>
      <c r="E43" s="150" t="s">
        <v>132</v>
      </c>
      <c r="F43" s="151">
        <f>(B45/10)*F40</f>
        <v>2</v>
      </c>
      <c r="G43" s="153"/>
      <c r="I43" s="193"/>
      <c r="J43" s="192" t="str" cm="1">
        <f t="array" ref="J43">IF(I43="","",_xlfn.TEXTJOIN(", ",TRUE,_xlfn._xlws.FILTER('PM_info+'!$B$2:$B$97,('PM_info+'!$C$2:$C$97=I43)*('PM_info+'!$C$2:$C$97&lt;&gt;""),"")))</f>
        <v/>
      </c>
    </row>
    <row r="44" spans="1:15" x14ac:dyDescent="0.25">
      <c r="A44" s="199" t="s">
        <v>174</v>
      </c>
      <c r="B44" s="109">
        <v>0</v>
      </c>
      <c r="E44" s="147" t="s">
        <v>136</v>
      </c>
      <c r="F44" s="148">
        <f>0.004*B45*F40</f>
        <v>0.08</v>
      </c>
      <c r="G44" s="153"/>
      <c r="I44" s="193"/>
      <c r="J44" s="192" t="str" cm="1">
        <f t="array" ref="J44">IF(I44="","",_xlfn.TEXTJOIN(", ",TRUE,_xlfn._xlws.FILTER('PM_info+'!$B$2:$B$97,('PM_info+'!$C$2:$C$97=I44)*('PM_info+'!$C$2:$C$97&lt;&gt;""),"")))</f>
        <v/>
      </c>
    </row>
    <row r="45" spans="1:15" ht="15.75" thickBot="1" x14ac:dyDescent="0.3">
      <c r="A45" s="199" t="s">
        <v>192</v>
      </c>
      <c r="B45" s="109">
        <v>20</v>
      </c>
      <c r="C45" t="str">
        <f t="shared" si="0"/>
        <v/>
      </c>
      <c r="E45" s="159" t="s">
        <v>10</v>
      </c>
      <c r="F45" s="160">
        <f>(B40*F40)-SUM(F41:F44)</f>
        <v>1.42</v>
      </c>
      <c r="G45" s="153"/>
      <c r="I45" s="193"/>
      <c r="J45" s="192" t="str" cm="1">
        <f t="array" ref="J45">IF(I45="","",_xlfn.TEXTJOIN(", ",TRUE,_xlfn._xlws.FILTER('PM_info+'!$B$2:$B$97,('PM_info+'!$C$2:$C$97=I45)*('PM_info+'!$C$2:$C$97&lt;&gt;""),"")))</f>
        <v/>
      </c>
    </row>
    <row r="46" spans="1:15" x14ac:dyDescent="0.25">
      <c r="A46" s="199" t="s">
        <v>193</v>
      </c>
      <c r="B46" s="109">
        <v>4</v>
      </c>
      <c r="C46" t="str">
        <f t="shared" si="0"/>
        <v/>
      </c>
      <c r="E46" s="150" t="s">
        <v>175</v>
      </c>
      <c r="F46" s="151">
        <f>SUM(F41:F45)</f>
        <v>4</v>
      </c>
      <c r="G46" s="153"/>
      <c r="I46" s="193"/>
      <c r="J46" s="192" t="str" cm="1">
        <f t="array" ref="J46">IF(I46="","",_xlfn.TEXTJOIN(", ",TRUE,_xlfn._xlws.FILTER('PM_info+'!$B$2:$B$97,('PM_info+'!$C$2:$C$97=I46)*('PM_info+'!$C$2:$C$97&lt;&gt;""),"")))</f>
        <v/>
      </c>
    </row>
    <row r="47" spans="1:15" x14ac:dyDescent="0.25">
      <c r="A47" s="200" t="s">
        <v>135</v>
      </c>
      <c r="B47" s="201">
        <v>5</v>
      </c>
      <c r="I47" s="193"/>
      <c r="J47" s="192" t="str" cm="1">
        <f t="array" ref="J47">IF(I47="","",_xlfn.TEXTJOIN(", ",TRUE,_xlfn._xlws.FILTER('PM_info+'!$B$2:$B$97,('PM_info+'!$C$2:$C$97=I47)*('PM_info+'!$C$2:$C$97&lt;&gt;""),"")))</f>
        <v/>
      </c>
    </row>
    <row r="48" spans="1:15" x14ac:dyDescent="0.25">
      <c r="A48" s="202"/>
      <c r="B48" s="202"/>
      <c r="I48" s="193"/>
      <c r="J48" s="192" t="str" cm="1">
        <f t="array" ref="J48">IF(I48="","",_xlfn.TEXTJOIN(", ",TRUE,_xlfn._xlws.FILTER('PM_info+'!$B$2:$B$97,('PM_info+'!$C$2:$C$97=I48)*('PM_info+'!$C$2:$C$97&lt;&gt;""),"")))</f>
        <v/>
      </c>
    </row>
    <row r="49" spans="1:14" x14ac:dyDescent="0.25">
      <c r="A49" s="144"/>
      <c r="E49" s="153"/>
      <c r="F49" s="153"/>
      <c r="G49" s="153"/>
      <c r="I49" s="193"/>
      <c r="J49" s="192" t="str" cm="1">
        <f t="array" ref="J49">IF(I49="","",_xlfn.TEXTJOIN(", ",TRUE,_xlfn._xlws.FILTER('PM_info+'!$B$2:$B$97,('PM_info+'!$C$2:$C$97=I49)*('PM_info+'!$C$2:$C$97&lt;&gt;""),"")))</f>
        <v/>
      </c>
      <c r="K49" s="13"/>
      <c r="L49" s="13"/>
      <c r="M49" s="13"/>
      <c r="N49" s="13"/>
    </row>
    <row r="50" spans="1:14" x14ac:dyDescent="0.25">
      <c r="E50" s="153"/>
      <c r="F50" s="153"/>
      <c r="G50" s="153"/>
      <c r="I50" s="194"/>
      <c r="J50" s="195" t="str" cm="1">
        <f t="array" ref="J50">IF(I50="","",_xlfn.TEXTJOIN(", ",TRUE,_xlfn._xlws.FILTER('PM_info+'!$B$2:$B$97,('PM_info+'!$C$2:$C$97=I50)*('PM_info+'!$C$2:$C$97&lt;&gt;""),"")))</f>
        <v/>
      </c>
      <c r="K50" s="12"/>
      <c r="L50" s="12"/>
      <c r="M50" s="14"/>
      <c r="N50" s="14"/>
    </row>
    <row r="51" spans="1:14" x14ac:dyDescent="0.25">
      <c r="D51" s="15"/>
      <c r="E51" s="153"/>
      <c r="F51" s="153"/>
      <c r="G51" s="153"/>
      <c r="I51" s="153"/>
      <c r="J51" s="140"/>
      <c r="K51" s="14"/>
      <c r="L51" s="14"/>
    </row>
    <row r="52" spans="1:14" x14ac:dyDescent="0.25">
      <c r="D52" s="15"/>
      <c r="E52" s="153"/>
      <c r="F52" s="153"/>
      <c r="G52" s="153"/>
      <c r="H52" s="188"/>
      <c r="I52" s="153"/>
      <c r="J52" s="14" t="s">
        <v>195</v>
      </c>
      <c r="K52" s="14"/>
      <c r="L52" s="14"/>
    </row>
    <row r="53" spans="1:14" x14ac:dyDescent="0.25">
      <c r="D53" s="15"/>
      <c r="E53" s="153"/>
      <c r="F53" s="153"/>
      <c r="G53" s="153"/>
      <c r="H53" s="153"/>
      <c r="I53" s="153"/>
      <c r="J53" s="14"/>
      <c r="K53" s="14"/>
      <c r="L53" s="14"/>
    </row>
    <row r="54" spans="1:14" x14ac:dyDescent="0.25">
      <c r="D54" s="15"/>
      <c r="E54" s="153"/>
      <c r="F54" s="153"/>
      <c r="G54" s="153"/>
      <c r="H54" s="153"/>
      <c r="I54" s="153"/>
      <c r="J54" s="12"/>
      <c r="K54" s="14"/>
      <c r="L54" s="14"/>
    </row>
    <row r="55" spans="1:14" x14ac:dyDescent="0.25">
      <c r="E55" s="153"/>
      <c r="F55" s="153"/>
      <c r="G55" s="153"/>
      <c r="H55" s="153"/>
      <c r="I55" s="153"/>
      <c r="J55" s="12"/>
      <c r="K55" s="12"/>
      <c r="L55" s="12"/>
      <c r="M55" s="14"/>
      <c r="N55" s="14"/>
    </row>
    <row r="56" spans="1:14" x14ac:dyDescent="0.25">
      <c r="E56" s="153"/>
      <c r="F56" s="153"/>
      <c r="G56" s="153"/>
      <c r="H56" s="153"/>
      <c r="I56" s="153"/>
    </row>
    <row r="57" spans="1:14" x14ac:dyDescent="0.25">
      <c r="E57" s="153"/>
      <c r="F57" s="153"/>
      <c r="G57" s="153"/>
      <c r="H57" s="153"/>
      <c r="I57" s="153"/>
    </row>
    <row r="58" spans="1:14" x14ac:dyDescent="0.25">
      <c r="E58" s="153"/>
      <c r="F58" s="153"/>
      <c r="G58" s="153"/>
      <c r="H58" s="153"/>
      <c r="I58" s="153"/>
    </row>
  </sheetData>
  <phoneticPr fontId="16" type="noConversion"/>
  <conditionalFormatting sqref="C38:C47">
    <cfRule type="expression" dxfId="4" priority="1">
      <formula>C38="&lt;-- Value missing"</formula>
    </cfRule>
  </conditionalFormatting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M2243"/>
  <sheetViews>
    <sheetView zoomScale="90" zoomScaleNormal="90" workbookViewId="0">
      <pane ySplit="1" topLeftCell="A2" activePane="bottomLeft" state="frozen"/>
      <selection pane="bottomLeft" activeCell="I6" sqref="I6"/>
    </sheetView>
  </sheetViews>
  <sheetFormatPr baseColWidth="10" defaultColWidth="9.140625" defaultRowHeight="15" x14ac:dyDescent="0.25"/>
  <cols>
    <col min="1" max="1" width="9.5703125" style="129" bestFit="1" customWidth="1"/>
    <col min="2" max="2" width="21.42578125" style="127" customWidth="1"/>
    <col min="3" max="3" width="17" style="98" customWidth="1"/>
    <col min="4" max="4" width="16.140625" style="46" bestFit="1" customWidth="1"/>
    <col min="5" max="6" width="21.42578125" style="98" customWidth="1"/>
    <col min="7" max="7" width="21.42578125" style="99" bestFit="1" customWidth="1"/>
    <col min="8" max="9" width="21.42578125" style="98" customWidth="1"/>
    <col min="10" max="10" width="21.42578125" style="96" customWidth="1"/>
    <col min="12" max="12" width="19" bestFit="1" customWidth="1"/>
    <col min="13" max="13" width="24.7109375" customWidth="1"/>
    <col min="16" max="16" width="16.7109375" bestFit="1" customWidth="1"/>
    <col min="17" max="17" width="11.7109375" bestFit="1" customWidth="1"/>
  </cols>
  <sheetData>
    <row r="1" spans="1:13" s="8" customFormat="1" ht="15.75" customHeight="1" thickBot="1" x14ac:dyDescent="0.3">
      <c r="A1" s="132" t="s">
        <v>139</v>
      </c>
      <c r="B1" s="174" t="s">
        <v>131</v>
      </c>
      <c r="C1" s="83" t="s">
        <v>137</v>
      </c>
      <c r="D1" s="83" t="s">
        <v>162</v>
      </c>
      <c r="E1" s="81" t="s">
        <v>115</v>
      </c>
      <c r="F1" s="81" t="s">
        <v>134</v>
      </c>
      <c r="G1" s="81" t="s">
        <v>113</v>
      </c>
      <c r="H1" s="81" t="s">
        <v>141</v>
      </c>
      <c r="I1" s="175" t="s">
        <v>133</v>
      </c>
      <c r="J1" s="85" t="s">
        <v>143</v>
      </c>
      <c r="K1" s="60" t="s">
        <v>11</v>
      </c>
      <c r="L1" s="61" t="s">
        <v>114</v>
      </c>
      <c r="M1" s="62" t="s">
        <v>116</v>
      </c>
    </row>
    <row r="2" spans="1:13" x14ac:dyDescent="0.25">
      <c r="A2" s="128">
        <v>1</v>
      </c>
      <c r="B2" s="163" t="s">
        <v>163</v>
      </c>
      <c r="C2" s="164"/>
      <c r="D2" s="164" t="s">
        <v>165</v>
      </c>
      <c r="E2" s="165" t="s">
        <v>115</v>
      </c>
      <c r="F2" s="165"/>
      <c r="G2" s="165" t="s">
        <v>167</v>
      </c>
      <c r="H2" s="165"/>
      <c r="I2" s="169" t="s">
        <v>147</v>
      </c>
      <c r="J2" s="173" t="s">
        <v>145</v>
      </c>
      <c r="K2" s="71" t="s">
        <v>12</v>
      </c>
      <c r="L2" s="133" t="s">
        <v>112</v>
      </c>
      <c r="M2" s="134"/>
    </row>
    <row r="3" spans="1:13" x14ac:dyDescent="0.25">
      <c r="A3" s="129">
        <v>2</v>
      </c>
      <c r="B3" s="125" t="s">
        <v>163</v>
      </c>
      <c r="C3" s="87"/>
      <c r="D3" s="87" t="s">
        <v>165</v>
      </c>
      <c r="E3" s="80" t="s">
        <v>115</v>
      </c>
      <c r="F3" s="80"/>
      <c r="G3" s="80" t="s">
        <v>168</v>
      </c>
      <c r="H3" s="80"/>
      <c r="I3" s="89" t="s">
        <v>147</v>
      </c>
      <c r="J3" s="171" t="s">
        <v>145</v>
      </c>
      <c r="K3" s="28" t="s">
        <v>13</v>
      </c>
      <c r="L3" s="59" t="s">
        <v>112</v>
      </c>
      <c r="M3" s="135"/>
    </row>
    <row r="4" spans="1:13" x14ac:dyDescent="0.25">
      <c r="A4" s="129">
        <v>3</v>
      </c>
      <c r="B4" s="125" t="s">
        <v>163</v>
      </c>
      <c r="C4" s="87"/>
      <c r="D4" s="87" t="s">
        <v>166</v>
      </c>
      <c r="E4" s="80" t="s">
        <v>115</v>
      </c>
      <c r="F4" s="80"/>
      <c r="G4" s="80" t="s">
        <v>167</v>
      </c>
      <c r="H4" s="80"/>
      <c r="I4" s="89" t="s">
        <v>147</v>
      </c>
      <c r="J4" s="171" t="s">
        <v>145</v>
      </c>
      <c r="K4" s="28" t="s">
        <v>14</v>
      </c>
      <c r="L4" s="59" t="s">
        <v>112</v>
      </c>
      <c r="M4" s="135"/>
    </row>
    <row r="5" spans="1:13" x14ac:dyDescent="0.25">
      <c r="A5" s="129">
        <v>4</v>
      </c>
      <c r="B5" s="125" t="s">
        <v>163</v>
      </c>
      <c r="C5" s="87"/>
      <c r="D5" s="87" t="s">
        <v>166</v>
      </c>
      <c r="E5" s="80" t="s">
        <v>115</v>
      </c>
      <c r="F5" s="80"/>
      <c r="G5" s="80" t="s">
        <v>168</v>
      </c>
      <c r="H5" s="80"/>
      <c r="I5" s="89" t="s">
        <v>147</v>
      </c>
      <c r="J5" s="171" t="s">
        <v>145</v>
      </c>
      <c r="K5" s="28" t="s">
        <v>15</v>
      </c>
      <c r="L5" s="59" t="s">
        <v>112</v>
      </c>
      <c r="M5" s="135"/>
    </row>
    <row r="6" spans="1:13" x14ac:dyDescent="0.25">
      <c r="A6" s="129">
        <v>5</v>
      </c>
      <c r="B6" s="125"/>
      <c r="C6" s="87"/>
      <c r="D6" s="87"/>
      <c r="E6" s="80"/>
      <c r="F6" s="80"/>
      <c r="G6" s="80"/>
      <c r="H6" s="80"/>
      <c r="I6" s="89"/>
      <c r="J6" s="171"/>
      <c r="K6" s="28" t="s">
        <v>16</v>
      </c>
      <c r="L6" s="59" t="s">
        <v>112</v>
      </c>
      <c r="M6" s="135"/>
    </row>
    <row r="7" spans="1:13" x14ac:dyDescent="0.25">
      <c r="A7" s="129">
        <v>6</v>
      </c>
      <c r="B7" s="125"/>
      <c r="C7" s="87"/>
      <c r="D7" s="87"/>
      <c r="E7" s="80"/>
      <c r="F7" s="80"/>
      <c r="G7" s="80"/>
      <c r="H7" s="80"/>
      <c r="I7" s="89"/>
      <c r="J7" s="171"/>
      <c r="K7" s="28" t="s">
        <v>17</v>
      </c>
      <c r="L7" s="59" t="s">
        <v>112</v>
      </c>
      <c r="M7" s="135"/>
    </row>
    <row r="8" spans="1:13" x14ac:dyDescent="0.25">
      <c r="A8" s="129">
        <v>7</v>
      </c>
      <c r="B8" s="125"/>
      <c r="C8" s="87"/>
      <c r="D8" s="87"/>
      <c r="E8" s="80"/>
      <c r="F8" s="80"/>
      <c r="G8" s="80"/>
      <c r="H8" s="80"/>
      <c r="I8" s="89"/>
      <c r="J8" s="171"/>
      <c r="K8" s="28" t="s">
        <v>18</v>
      </c>
      <c r="L8" s="59" t="s">
        <v>112</v>
      </c>
      <c r="M8" s="135"/>
    </row>
    <row r="9" spans="1:13" ht="15.75" thickBot="1" x14ac:dyDescent="0.3">
      <c r="A9" s="130">
        <v>8</v>
      </c>
      <c r="B9" s="126"/>
      <c r="C9" s="91"/>
      <c r="D9" s="91"/>
      <c r="E9" s="90"/>
      <c r="F9" s="90"/>
      <c r="G9" s="90"/>
      <c r="H9" s="90"/>
      <c r="I9" s="92"/>
      <c r="J9" s="172"/>
      <c r="K9" s="29" t="s">
        <v>19</v>
      </c>
      <c r="L9" s="136" t="s">
        <v>112</v>
      </c>
      <c r="M9" s="137"/>
    </row>
    <row r="10" spans="1:13" x14ac:dyDescent="0.25">
      <c r="A10" s="168">
        <v>9</v>
      </c>
      <c r="B10" s="163"/>
      <c r="C10" s="164"/>
      <c r="D10" s="164"/>
      <c r="E10" s="165"/>
      <c r="F10" s="165"/>
      <c r="G10" s="165"/>
      <c r="H10" s="165"/>
      <c r="I10" s="169"/>
      <c r="J10" s="173"/>
      <c r="K10" s="166" t="s">
        <v>20</v>
      </c>
      <c r="L10" s="167" t="s">
        <v>112</v>
      </c>
      <c r="M10" s="134"/>
    </row>
    <row r="11" spans="1:13" x14ac:dyDescent="0.25">
      <c r="A11" s="129">
        <v>10</v>
      </c>
      <c r="B11" s="125"/>
      <c r="C11" s="87"/>
      <c r="D11" s="87"/>
      <c r="E11" s="80"/>
      <c r="F11" s="80"/>
      <c r="G11" s="80"/>
      <c r="H11" s="80"/>
      <c r="I11" s="89"/>
      <c r="J11" s="171"/>
      <c r="K11" s="28" t="s">
        <v>21</v>
      </c>
      <c r="L11" s="59" t="s">
        <v>112</v>
      </c>
      <c r="M11" s="135"/>
    </row>
    <row r="12" spans="1:13" x14ac:dyDescent="0.25">
      <c r="A12" s="129">
        <v>11</v>
      </c>
      <c r="B12" s="125"/>
      <c r="C12" s="87"/>
      <c r="D12" s="87"/>
      <c r="E12" s="80"/>
      <c r="F12" s="80"/>
      <c r="G12" s="80"/>
      <c r="H12" s="80"/>
      <c r="I12" s="89"/>
      <c r="J12" s="171"/>
      <c r="K12" s="28" t="s">
        <v>22</v>
      </c>
      <c r="L12" s="59" t="s">
        <v>112</v>
      </c>
      <c r="M12" s="135"/>
    </row>
    <row r="13" spans="1:13" x14ac:dyDescent="0.25">
      <c r="A13" s="129">
        <v>12</v>
      </c>
      <c r="B13" s="125"/>
      <c r="C13" s="87"/>
      <c r="D13" s="87"/>
      <c r="E13" s="80"/>
      <c r="F13" s="80"/>
      <c r="G13" s="80"/>
      <c r="H13" s="80"/>
      <c r="I13" s="89"/>
      <c r="J13" s="171"/>
      <c r="K13" s="28" t="s">
        <v>23</v>
      </c>
      <c r="L13" s="59" t="s">
        <v>112</v>
      </c>
      <c r="M13" s="135"/>
    </row>
    <row r="14" spans="1:13" x14ac:dyDescent="0.25">
      <c r="A14" s="129">
        <v>13</v>
      </c>
      <c r="B14" s="125"/>
      <c r="C14" s="87"/>
      <c r="D14" s="87"/>
      <c r="E14" s="80"/>
      <c r="F14" s="80"/>
      <c r="G14" s="80"/>
      <c r="H14" s="80"/>
      <c r="I14" s="89"/>
      <c r="J14" s="171"/>
      <c r="K14" s="28" t="s">
        <v>24</v>
      </c>
      <c r="L14" s="59" t="s">
        <v>112</v>
      </c>
      <c r="M14" s="135"/>
    </row>
    <row r="15" spans="1:13" x14ac:dyDescent="0.25">
      <c r="A15" s="129">
        <v>14</v>
      </c>
      <c r="B15" s="125"/>
      <c r="C15" s="87"/>
      <c r="D15" s="87"/>
      <c r="E15" s="80"/>
      <c r="F15" s="78"/>
      <c r="G15" s="138"/>
      <c r="H15" s="138"/>
      <c r="I15" s="170"/>
      <c r="J15" s="171"/>
      <c r="K15" s="28" t="s">
        <v>25</v>
      </c>
      <c r="L15" s="59" t="s">
        <v>112</v>
      </c>
      <c r="M15" s="135"/>
    </row>
    <row r="16" spans="1:13" x14ac:dyDescent="0.25">
      <c r="A16" s="129">
        <v>15</v>
      </c>
      <c r="B16" s="125"/>
      <c r="C16" s="87"/>
      <c r="D16" s="87"/>
      <c r="E16" s="80"/>
      <c r="F16" s="80"/>
      <c r="G16" s="80"/>
      <c r="H16" s="80"/>
      <c r="I16" s="89"/>
      <c r="J16" s="122"/>
      <c r="K16" s="28" t="s">
        <v>26</v>
      </c>
      <c r="L16" s="59" t="s">
        <v>112</v>
      </c>
      <c r="M16" s="135"/>
    </row>
    <row r="17" spans="1:13" ht="15.75" thickBot="1" x14ac:dyDescent="0.3">
      <c r="A17" s="130">
        <v>16</v>
      </c>
      <c r="B17" s="126"/>
      <c r="C17" s="91"/>
      <c r="D17" s="91"/>
      <c r="E17" s="90"/>
      <c r="F17" s="90"/>
      <c r="G17" s="90"/>
      <c r="H17" s="90"/>
      <c r="I17" s="92"/>
      <c r="J17" s="123"/>
      <c r="K17" s="29" t="s">
        <v>27</v>
      </c>
      <c r="L17" s="136" t="s">
        <v>112</v>
      </c>
      <c r="M17" s="137"/>
    </row>
    <row r="18" spans="1:13" x14ac:dyDescent="0.25">
      <c r="A18" s="128">
        <v>17</v>
      </c>
      <c r="B18" s="124"/>
      <c r="C18" s="86"/>
      <c r="D18" s="86"/>
      <c r="E18" s="93"/>
      <c r="F18" s="93"/>
      <c r="G18" s="93"/>
      <c r="H18" s="93"/>
      <c r="I18" s="88"/>
      <c r="J18" s="121"/>
      <c r="K18" s="71" t="s">
        <v>28</v>
      </c>
      <c r="L18" s="133" t="s">
        <v>112</v>
      </c>
      <c r="M18" s="134"/>
    </row>
    <row r="19" spans="1:13" x14ac:dyDescent="0.25">
      <c r="A19" s="129">
        <v>18</v>
      </c>
      <c r="B19" s="125"/>
      <c r="C19" s="87"/>
      <c r="D19" s="87"/>
      <c r="E19" s="80"/>
      <c r="F19" s="80"/>
      <c r="G19" s="80"/>
      <c r="H19" s="80"/>
      <c r="I19" s="89"/>
      <c r="J19" s="122"/>
      <c r="K19" s="28" t="s">
        <v>29</v>
      </c>
      <c r="L19" s="59" t="s">
        <v>112</v>
      </c>
      <c r="M19" s="135"/>
    </row>
    <row r="20" spans="1:13" x14ac:dyDescent="0.25">
      <c r="A20" s="129">
        <v>19</v>
      </c>
      <c r="B20" s="125"/>
      <c r="C20" s="87"/>
      <c r="D20" s="87"/>
      <c r="E20" s="80"/>
      <c r="F20" s="80"/>
      <c r="G20" s="80"/>
      <c r="H20" s="80"/>
      <c r="I20" s="89"/>
      <c r="J20" s="122"/>
      <c r="K20" s="28" t="s">
        <v>30</v>
      </c>
      <c r="L20" s="59" t="s">
        <v>112</v>
      </c>
      <c r="M20" s="135"/>
    </row>
    <row r="21" spans="1:13" x14ac:dyDescent="0.25">
      <c r="A21" s="129">
        <v>20</v>
      </c>
      <c r="B21" s="125"/>
      <c r="C21" s="87"/>
      <c r="D21" s="87"/>
      <c r="E21" s="80"/>
      <c r="F21" s="80"/>
      <c r="G21" s="80"/>
      <c r="H21" s="80"/>
      <c r="I21" s="89"/>
      <c r="J21" s="122"/>
      <c r="K21" s="28" t="s">
        <v>31</v>
      </c>
      <c r="L21" s="59" t="s">
        <v>112</v>
      </c>
      <c r="M21" s="135"/>
    </row>
    <row r="22" spans="1:13" x14ac:dyDescent="0.25">
      <c r="A22" s="129">
        <v>21</v>
      </c>
      <c r="B22" s="125"/>
      <c r="C22" s="87"/>
      <c r="D22" s="87"/>
      <c r="E22" s="80"/>
      <c r="F22" s="80"/>
      <c r="G22" s="80"/>
      <c r="H22" s="80"/>
      <c r="I22" s="89"/>
      <c r="J22" s="122"/>
      <c r="K22" s="28" t="s">
        <v>32</v>
      </c>
      <c r="L22" s="59" t="s">
        <v>112</v>
      </c>
      <c r="M22" s="135"/>
    </row>
    <row r="23" spans="1:13" x14ac:dyDescent="0.25">
      <c r="A23" s="129">
        <v>22</v>
      </c>
      <c r="B23" s="125"/>
      <c r="C23" s="87"/>
      <c r="D23" s="87"/>
      <c r="E23" s="80"/>
      <c r="F23" s="80"/>
      <c r="G23" s="80"/>
      <c r="H23" s="80"/>
      <c r="I23" s="89"/>
      <c r="J23" s="122"/>
      <c r="K23" s="28" t="s">
        <v>33</v>
      </c>
      <c r="L23" s="59" t="s">
        <v>112</v>
      </c>
      <c r="M23" s="135"/>
    </row>
    <row r="24" spans="1:13" x14ac:dyDescent="0.25">
      <c r="A24" s="129">
        <v>23</v>
      </c>
      <c r="B24" s="125"/>
      <c r="C24" s="87"/>
      <c r="D24" s="87"/>
      <c r="E24" s="80"/>
      <c r="F24" s="80"/>
      <c r="G24" s="80"/>
      <c r="H24" s="80"/>
      <c r="I24" s="89"/>
      <c r="J24" s="122"/>
      <c r="K24" s="28" t="s">
        <v>34</v>
      </c>
      <c r="L24" s="59" t="s">
        <v>112</v>
      </c>
      <c r="M24" s="135"/>
    </row>
    <row r="25" spans="1:13" ht="15.75" thickBot="1" x14ac:dyDescent="0.3">
      <c r="A25" s="130">
        <v>24</v>
      </c>
      <c r="B25" s="126"/>
      <c r="C25" s="91"/>
      <c r="D25" s="91"/>
      <c r="E25" s="90"/>
      <c r="F25" s="90"/>
      <c r="G25" s="90"/>
      <c r="H25" s="90"/>
      <c r="I25" s="92"/>
      <c r="J25" s="123"/>
      <c r="K25" s="29" t="s">
        <v>35</v>
      </c>
      <c r="L25" s="136" t="s">
        <v>112</v>
      </c>
      <c r="M25" s="137"/>
    </row>
    <row r="26" spans="1:13" x14ac:dyDescent="0.25">
      <c r="A26" s="128">
        <v>25</v>
      </c>
      <c r="B26" s="124"/>
      <c r="C26" s="86"/>
      <c r="D26" s="86"/>
      <c r="E26" s="93"/>
      <c r="F26" s="93"/>
      <c r="G26" s="93"/>
      <c r="H26" s="93"/>
      <c r="I26" s="88"/>
      <c r="J26" s="121"/>
      <c r="K26" s="71" t="s">
        <v>36</v>
      </c>
      <c r="L26" s="133" t="s">
        <v>112</v>
      </c>
      <c r="M26" s="134"/>
    </row>
    <row r="27" spans="1:13" x14ac:dyDescent="0.25">
      <c r="A27" s="129">
        <v>26</v>
      </c>
      <c r="B27" s="125"/>
      <c r="C27" s="87"/>
      <c r="D27" s="87"/>
      <c r="E27" s="80"/>
      <c r="F27" s="80"/>
      <c r="G27" s="80"/>
      <c r="H27" s="80"/>
      <c r="I27" s="89"/>
      <c r="J27" s="122"/>
      <c r="K27" s="28" t="s">
        <v>37</v>
      </c>
      <c r="L27" s="59" t="s">
        <v>112</v>
      </c>
      <c r="M27" s="135"/>
    </row>
    <row r="28" spans="1:13" x14ac:dyDescent="0.25">
      <c r="A28" s="129">
        <v>27</v>
      </c>
      <c r="B28" s="125"/>
      <c r="C28" s="87"/>
      <c r="D28" s="87"/>
      <c r="E28" s="80"/>
      <c r="F28" s="80"/>
      <c r="G28" s="80"/>
      <c r="H28" s="80"/>
      <c r="I28" s="89"/>
      <c r="J28" s="122"/>
      <c r="K28" s="28" t="s">
        <v>38</v>
      </c>
      <c r="L28" s="59" t="s">
        <v>112</v>
      </c>
      <c r="M28" s="135"/>
    </row>
    <row r="29" spans="1:13" x14ac:dyDescent="0.25">
      <c r="A29" s="129">
        <v>28</v>
      </c>
      <c r="B29" s="125"/>
      <c r="C29" s="87"/>
      <c r="D29" s="87"/>
      <c r="E29" s="80"/>
      <c r="F29" s="80"/>
      <c r="G29" s="80"/>
      <c r="H29" s="80"/>
      <c r="I29" s="89"/>
      <c r="J29" s="122"/>
      <c r="K29" s="28" t="s">
        <v>39</v>
      </c>
      <c r="L29" s="59" t="s">
        <v>112</v>
      </c>
      <c r="M29" s="135"/>
    </row>
    <row r="30" spans="1:13" x14ac:dyDescent="0.25">
      <c r="A30" s="129">
        <v>29</v>
      </c>
      <c r="B30" s="125"/>
      <c r="C30" s="87"/>
      <c r="D30" s="87"/>
      <c r="E30" s="80"/>
      <c r="F30" s="80"/>
      <c r="G30" s="80"/>
      <c r="H30" s="80"/>
      <c r="I30" s="89"/>
      <c r="J30" s="122"/>
      <c r="K30" s="28" t="s">
        <v>40</v>
      </c>
      <c r="L30" s="59" t="s">
        <v>112</v>
      </c>
      <c r="M30" s="135"/>
    </row>
    <row r="31" spans="1:13" x14ac:dyDescent="0.25">
      <c r="A31" s="129">
        <v>30</v>
      </c>
      <c r="B31" s="125"/>
      <c r="C31" s="87"/>
      <c r="D31" s="87"/>
      <c r="E31" s="80"/>
      <c r="F31" s="80"/>
      <c r="G31" s="80"/>
      <c r="H31" s="80"/>
      <c r="I31" s="89"/>
      <c r="J31" s="122"/>
      <c r="K31" s="28" t="s">
        <v>41</v>
      </c>
      <c r="L31" s="59" t="s">
        <v>112</v>
      </c>
      <c r="M31" s="135"/>
    </row>
    <row r="32" spans="1:13" x14ac:dyDescent="0.25">
      <c r="A32" s="129">
        <v>31</v>
      </c>
      <c r="B32" s="125"/>
      <c r="C32" s="87"/>
      <c r="D32" s="87"/>
      <c r="E32" s="80"/>
      <c r="F32" s="80"/>
      <c r="G32" s="80"/>
      <c r="H32" s="80"/>
      <c r="I32" s="89"/>
      <c r="J32" s="122"/>
      <c r="K32" s="28" t="s">
        <v>42</v>
      </c>
      <c r="L32" s="59" t="s">
        <v>112</v>
      </c>
      <c r="M32" s="135"/>
    </row>
    <row r="33" spans="1:13" ht="15.75" thickBot="1" x14ac:dyDescent="0.3">
      <c r="A33" s="130">
        <v>32</v>
      </c>
      <c r="B33" s="126"/>
      <c r="C33" s="91"/>
      <c r="D33" s="91"/>
      <c r="E33" s="90"/>
      <c r="F33" s="90"/>
      <c r="G33" s="90"/>
      <c r="H33" s="90"/>
      <c r="I33" s="92"/>
      <c r="J33" s="123"/>
      <c r="K33" s="29" t="s">
        <v>43</v>
      </c>
      <c r="L33" s="136" t="s">
        <v>112</v>
      </c>
      <c r="M33" s="137"/>
    </row>
    <row r="34" spans="1:13" x14ac:dyDescent="0.25">
      <c r="A34" s="128">
        <v>33</v>
      </c>
      <c r="B34" s="124"/>
      <c r="C34" s="86"/>
      <c r="D34" s="86"/>
      <c r="E34" s="93"/>
      <c r="F34" s="93"/>
      <c r="G34" s="93"/>
      <c r="H34" s="93"/>
      <c r="I34" s="88"/>
      <c r="J34" s="121"/>
      <c r="K34" s="71" t="s">
        <v>44</v>
      </c>
      <c r="L34" s="133" t="s">
        <v>112</v>
      </c>
      <c r="M34" s="134"/>
    </row>
    <row r="35" spans="1:13" x14ac:dyDescent="0.25">
      <c r="A35" s="129">
        <v>34</v>
      </c>
      <c r="B35" s="125"/>
      <c r="C35" s="87"/>
      <c r="D35" s="87"/>
      <c r="E35" s="80"/>
      <c r="F35" s="80"/>
      <c r="G35" s="80"/>
      <c r="H35" s="80"/>
      <c r="I35" s="89"/>
      <c r="J35" s="122"/>
      <c r="K35" s="28" t="s">
        <v>45</v>
      </c>
      <c r="L35" s="59" t="s">
        <v>112</v>
      </c>
      <c r="M35" s="135"/>
    </row>
    <row r="36" spans="1:13" x14ac:dyDescent="0.25">
      <c r="A36" s="129">
        <v>35</v>
      </c>
      <c r="B36" s="125"/>
      <c r="C36" s="87"/>
      <c r="D36" s="87"/>
      <c r="E36" s="80"/>
      <c r="F36" s="80"/>
      <c r="G36" s="80"/>
      <c r="H36" s="80"/>
      <c r="I36" s="89"/>
      <c r="J36" s="122"/>
      <c r="K36" s="28" t="s">
        <v>46</v>
      </c>
      <c r="L36" s="59" t="s">
        <v>112</v>
      </c>
      <c r="M36" s="135"/>
    </row>
    <row r="37" spans="1:13" x14ac:dyDescent="0.25">
      <c r="A37" s="129">
        <v>36</v>
      </c>
      <c r="B37" s="125"/>
      <c r="C37" s="87"/>
      <c r="D37" s="87"/>
      <c r="E37" s="80"/>
      <c r="F37" s="80"/>
      <c r="G37" s="80"/>
      <c r="H37" s="80"/>
      <c r="I37" s="89"/>
      <c r="J37" s="122"/>
      <c r="K37" s="28" t="s">
        <v>47</v>
      </c>
      <c r="L37" s="59" t="s">
        <v>112</v>
      </c>
      <c r="M37" s="135"/>
    </row>
    <row r="38" spans="1:13" x14ac:dyDescent="0.25">
      <c r="A38" s="129">
        <v>37</v>
      </c>
      <c r="B38" s="125"/>
      <c r="C38" s="87"/>
      <c r="D38" s="87"/>
      <c r="E38" s="80"/>
      <c r="F38" s="80"/>
      <c r="G38" s="80"/>
      <c r="H38" s="80"/>
      <c r="I38" s="89"/>
      <c r="J38" s="122"/>
      <c r="K38" s="28" t="s">
        <v>48</v>
      </c>
      <c r="L38" s="59" t="s">
        <v>112</v>
      </c>
      <c r="M38" s="135"/>
    </row>
    <row r="39" spans="1:13" x14ac:dyDescent="0.25">
      <c r="A39" s="129">
        <v>38</v>
      </c>
      <c r="B39" s="125"/>
      <c r="C39" s="87"/>
      <c r="D39" s="87"/>
      <c r="E39" s="80"/>
      <c r="F39" s="80"/>
      <c r="G39" s="80"/>
      <c r="H39" s="80"/>
      <c r="I39" s="89"/>
      <c r="J39" s="122"/>
      <c r="K39" s="28" t="s">
        <v>49</v>
      </c>
      <c r="L39" s="59" t="s">
        <v>112</v>
      </c>
      <c r="M39" s="135"/>
    </row>
    <row r="40" spans="1:13" x14ac:dyDescent="0.25">
      <c r="A40" s="129">
        <v>39</v>
      </c>
      <c r="B40" s="125"/>
      <c r="C40" s="87"/>
      <c r="D40" s="87"/>
      <c r="E40" s="80"/>
      <c r="F40" s="80"/>
      <c r="G40" s="80"/>
      <c r="H40" s="80"/>
      <c r="I40" s="89"/>
      <c r="J40" s="122"/>
      <c r="K40" s="28" t="s">
        <v>50</v>
      </c>
      <c r="L40" s="59" t="s">
        <v>112</v>
      </c>
      <c r="M40" s="135"/>
    </row>
    <row r="41" spans="1:13" ht="15.75" thickBot="1" x14ac:dyDescent="0.3">
      <c r="A41" s="130">
        <v>40</v>
      </c>
      <c r="B41" s="126"/>
      <c r="C41" s="91"/>
      <c r="D41" s="91"/>
      <c r="E41" s="90"/>
      <c r="F41" s="90"/>
      <c r="G41" s="90"/>
      <c r="H41" s="90"/>
      <c r="I41" s="92"/>
      <c r="J41" s="123"/>
      <c r="K41" s="29" t="s">
        <v>51</v>
      </c>
      <c r="L41" s="136" t="s">
        <v>112</v>
      </c>
      <c r="M41" s="137"/>
    </row>
    <row r="42" spans="1:13" x14ac:dyDescent="0.25">
      <c r="A42" s="128">
        <v>41</v>
      </c>
      <c r="B42" s="124"/>
      <c r="C42" s="86"/>
      <c r="D42" s="86"/>
      <c r="E42" s="93"/>
      <c r="F42" s="93"/>
      <c r="G42" s="93"/>
      <c r="H42" s="93"/>
      <c r="I42" s="88"/>
      <c r="J42" s="121"/>
      <c r="K42" s="71" t="s">
        <v>52</v>
      </c>
      <c r="L42" s="133" t="s">
        <v>112</v>
      </c>
      <c r="M42" s="134"/>
    </row>
    <row r="43" spans="1:13" x14ac:dyDescent="0.25">
      <c r="A43" s="129">
        <v>42</v>
      </c>
      <c r="B43" s="125"/>
      <c r="C43" s="87"/>
      <c r="D43" s="87"/>
      <c r="E43" s="80"/>
      <c r="F43" s="80"/>
      <c r="G43" s="80"/>
      <c r="H43" s="80"/>
      <c r="I43" s="89"/>
      <c r="J43" s="122"/>
      <c r="K43" s="28" t="s">
        <v>53</v>
      </c>
      <c r="L43" s="59" t="s">
        <v>112</v>
      </c>
      <c r="M43" s="135"/>
    </row>
    <row r="44" spans="1:13" x14ac:dyDescent="0.25">
      <c r="A44" s="129">
        <v>43</v>
      </c>
      <c r="B44" s="125"/>
      <c r="C44" s="87"/>
      <c r="D44" s="87"/>
      <c r="E44" s="80"/>
      <c r="F44" s="80"/>
      <c r="G44" s="80"/>
      <c r="H44" s="80"/>
      <c r="I44" s="89"/>
      <c r="J44" s="122"/>
      <c r="K44" s="28" t="s">
        <v>54</v>
      </c>
      <c r="L44" s="59" t="s">
        <v>112</v>
      </c>
      <c r="M44" s="135"/>
    </row>
    <row r="45" spans="1:13" x14ac:dyDescent="0.25">
      <c r="A45" s="129">
        <v>44</v>
      </c>
      <c r="B45" s="125"/>
      <c r="C45" s="87"/>
      <c r="D45" s="87"/>
      <c r="E45" s="80"/>
      <c r="F45" s="80"/>
      <c r="G45" s="80"/>
      <c r="H45" s="80"/>
      <c r="I45" s="89"/>
      <c r="J45" s="122"/>
      <c r="K45" s="28" t="s">
        <v>55</v>
      </c>
      <c r="L45" s="59" t="s">
        <v>112</v>
      </c>
      <c r="M45" s="135"/>
    </row>
    <row r="46" spans="1:13" x14ac:dyDescent="0.25">
      <c r="A46" s="129">
        <v>45</v>
      </c>
      <c r="B46" s="125"/>
      <c r="C46" s="87"/>
      <c r="D46" s="87"/>
      <c r="E46" s="80"/>
      <c r="F46" s="80"/>
      <c r="G46" s="80"/>
      <c r="H46" s="80"/>
      <c r="I46" s="89"/>
      <c r="J46" s="122"/>
      <c r="K46" s="28" t="s">
        <v>56</v>
      </c>
      <c r="L46" s="59" t="s">
        <v>112</v>
      </c>
      <c r="M46" s="135"/>
    </row>
    <row r="47" spans="1:13" x14ac:dyDescent="0.25">
      <c r="A47" s="129">
        <v>46</v>
      </c>
      <c r="B47" s="125"/>
      <c r="C47" s="87"/>
      <c r="D47" s="87"/>
      <c r="E47" s="80"/>
      <c r="F47" s="80"/>
      <c r="G47" s="80"/>
      <c r="H47" s="80"/>
      <c r="I47" s="89"/>
      <c r="J47" s="122"/>
      <c r="K47" s="28" t="s">
        <v>57</v>
      </c>
      <c r="L47" s="59" t="s">
        <v>112</v>
      </c>
      <c r="M47" s="135"/>
    </row>
    <row r="48" spans="1:13" x14ac:dyDescent="0.25">
      <c r="A48" s="129">
        <v>47</v>
      </c>
      <c r="B48" s="125"/>
      <c r="C48" s="87"/>
      <c r="D48" s="87"/>
      <c r="E48" s="80"/>
      <c r="F48" s="80"/>
      <c r="G48" s="80"/>
      <c r="H48" s="80"/>
      <c r="I48" s="89"/>
      <c r="J48" s="122"/>
      <c r="K48" s="28" t="s">
        <v>58</v>
      </c>
      <c r="L48" s="59" t="s">
        <v>112</v>
      </c>
      <c r="M48" s="135"/>
    </row>
    <row r="49" spans="1:13" ht="15.75" thickBot="1" x14ac:dyDescent="0.3">
      <c r="A49" s="130">
        <v>48</v>
      </c>
      <c r="B49" s="126"/>
      <c r="C49" s="91"/>
      <c r="D49" s="91"/>
      <c r="E49" s="90"/>
      <c r="F49" s="90"/>
      <c r="G49" s="90"/>
      <c r="H49" s="90"/>
      <c r="I49" s="92"/>
      <c r="J49" s="123"/>
      <c r="K49" s="29" t="s">
        <v>59</v>
      </c>
      <c r="L49" s="136" t="s">
        <v>112</v>
      </c>
      <c r="M49" s="137"/>
    </row>
    <row r="50" spans="1:13" x14ac:dyDescent="0.25">
      <c r="A50" s="128">
        <v>49</v>
      </c>
      <c r="B50" s="124"/>
      <c r="C50" s="86"/>
      <c r="D50" s="86"/>
      <c r="E50" s="93"/>
      <c r="F50" s="93"/>
      <c r="G50" s="93"/>
      <c r="H50" s="93"/>
      <c r="I50" s="88"/>
      <c r="J50" s="121"/>
      <c r="K50" s="71" t="s">
        <v>60</v>
      </c>
      <c r="L50" s="133" t="s">
        <v>112</v>
      </c>
      <c r="M50" s="134"/>
    </row>
    <row r="51" spans="1:13" x14ac:dyDescent="0.25">
      <c r="A51" s="129">
        <v>50</v>
      </c>
      <c r="B51" s="125"/>
      <c r="C51" s="87"/>
      <c r="D51" s="87"/>
      <c r="E51" s="80"/>
      <c r="F51" s="80"/>
      <c r="G51" s="80"/>
      <c r="H51" s="80"/>
      <c r="I51" s="89"/>
      <c r="J51" s="122"/>
      <c r="K51" s="28" t="s">
        <v>61</v>
      </c>
      <c r="L51" s="59" t="s">
        <v>112</v>
      </c>
      <c r="M51" s="135"/>
    </row>
    <row r="52" spans="1:13" x14ac:dyDescent="0.25">
      <c r="A52" s="129">
        <v>51</v>
      </c>
      <c r="B52" s="125"/>
      <c r="C52" s="87"/>
      <c r="D52" s="87"/>
      <c r="E52" s="80"/>
      <c r="F52" s="80"/>
      <c r="G52" s="80"/>
      <c r="H52" s="80"/>
      <c r="I52" s="89"/>
      <c r="J52" s="122"/>
      <c r="K52" s="28" t="s">
        <v>62</v>
      </c>
      <c r="L52" s="59" t="s">
        <v>112</v>
      </c>
      <c r="M52" s="135"/>
    </row>
    <row r="53" spans="1:13" x14ac:dyDescent="0.25">
      <c r="A53" s="129">
        <v>52</v>
      </c>
      <c r="B53" s="125"/>
      <c r="C53" s="87"/>
      <c r="D53" s="87"/>
      <c r="E53" s="80"/>
      <c r="F53" s="80"/>
      <c r="G53" s="80"/>
      <c r="H53" s="80"/>
      <c r="I53" s="89"/>
      <c r="J53" s="122"/>
      <c r="K53" s="28" t="s">
        <v>63</v>
      </c>
      <c r="L53" s="59" t="s">
        <v>112</v>
      </c>
      <c r="M53" s="135"/>
    </row>
    <row r="54" spans="1:13" x14ac:dyDescent="0.25">
      <c r="A54" s="129">
        <v>53</v>
      </c>
      <c r="B54" s="125"/>
      <c r="C54" s="87"/>
      <c r="D54" s="87"/>
      <c r="E54" s="80"/>
      <c r="F54" s="80"/>
      <c r="G54" s="80"/>
      <c r="H54" s="80"/>
      <c r="I54" s="89"/>
      <c r="J54" s="122"/>
      <c r="K54" s="28" t="s">
        <v>64</v>
      </c>
      <c r="L54" s="59" t="s">
        <v>112</v>
      </c>
      <c r="M54" s="135"/>
    </row>
    <row r="55" spans="1:13" x14ac:dyDescent="0.25">
      <c r="A55" s="129">
        <v>54</v>
      </c>
      <c r="B55" s="125"/>
      <c r="C55" s="87"/>
      <c r="D55" s="87"/>
      <c r="E55" s="80"/>
      <c r="F55" s="80"/>
      <c r="G55" s="80"/>
      <c r="H55" s="80"/>
      <c r="I55" s="89"/>
      <c r="J55" s="122"/>
      <c r="K55" s="28" t="s">
        <v>65</v>
      </c>
      <c r="L55" s="59" t="s">
        <v>112</v>
      </c>
      <c r="M55" s="135"/>
    </row>
    <row r="56" spans="1:13" x14ac:dyDescent="0.25">
      <c r="A56" s="129">
        <v>55</v>
      </c>
      <c r="B56" s="125"/>
      <c r="C56" s="87"/>
      <c r="D56" s="87"/>
      <c r="E56" s="80"/>
      <c r="F56" s="80"/>
      <c r="G56" s="80"/>
      <c r="H56" s="80"/>
      <c r="I56" s="89"/>
      <c r="J56" s="122"/>
      <c r="K56" s="28" t="s">
        <v>66</v>
      </c>
      <c r="L56" s="59" t="s">
        <v>112</v>
      </c>
      <c r="M56" s="135"/>
    </row>
    <row r="57" spans="1:13" ht="15.75" thickBot="1" x14ac:dyDescent="0.3">
      <c r="A57" s="130">
        <v>56</v>
      </c>
      <c r="B57" s="126"/>
      <c r="C57" s="91"/>
      <c r="D57" s="91"/>
      <c r="E57" s="90"/>
      <c r="F57" s="90"/>
      <c r="G57" s="90"/>
      <c r="H57" s="90"/>
      <c r="I57" s="92"/>
      <c r="J57" s="123"/>
      <c r="K57" s="29" t="s">
        <v>67</v>
      </c>
      <c r="L57" s="136" t="s">
        <v>112</v>
      </c>
      <c r="M57" s="137"/>
    </row>
    <row r="58" spans="1:13" x14ac:dyDescent="0.25">
      <c r="A58" s="128">
        <v>57</v>
      </c>
      <c r="B58" s="124"/>
      <c r="C58" s="86"/>
      <c r="D58" s="86"/>
      <c r="E58" s="93"/>
      <c r="F58" s="93"/>
      <c r="G58" s="93"/>
      <c r="H58" s="93"/>
      <c r="I58" s="88"/>
      <c r="J58" s="121"/>
      <c r="K58" s="71" t="s">
        <v>71</v>
      </c>
      <c r="L58" s="133" t="s">
        <v>112</v>
      </c>
      <c r="M58" s="134"/>
    </row>
    <row r="59" spans="1:13" x14ac:dyDescent="0.25">
      <c r="A59" s="129">
        <v>58</v>
      </c>
      <c r="B59" s="125"/>
      <c r="C59" s="87"/>
      <c r="D59" s="87"/>
      <c r="E59" s="80"/>
      <c r="F59" s="80"/>
      <c r="G59" s="80"/>
      <c r="H59" s="80"/>
      <c r="I59" s="89"/>
      <c r="J59" s="122"/>
      <c r="K59" s="28" t="s">
        <v>72</v>
      </c>
      <c r="L59" s="59" t="s">
        <v>112</v>
      </c>
      <c r="M59" s="135"/>
    </row>
    <row r="60" spans="1:13" x14ac:dyDescent="0.25">
      <c r="A60" s="129">
        <v>59</v>
      </c>
      <c r="B60" s="125"/>
      <c r="C60" s="87"/>
      <c r="D60" s="87"/>
      <c r="E60" s="80"/>
      <c r="F60" s="80"/>
      <c r="G60" s="80"/>
      <c r="H60" s="80"/>
      <c r="I60" s="89"/>
      <c r="J60" s="122"/>
      <c r="K60" s="28" t="s">
        <v>73</v>
      </c>
      <c r="L60" s="59" t="s">
        <v>112</v>
      </c>
      <c r="M60" s="135"/>
    </row>
    <row r="61" spans="1:13" x14ac:dyDescent="0.25">
      <c r="A61" s="129">
        <v>60</v>
      </c>
      <c r="B61" s="125"/>
      <c r="C61" s="87"/>
      <c r="D61" s="87"/>
      <c r="E61" s="80"/>
      <c r="F61" s="80"/>
      <c r="G61" s="80"/>
      <c r="H61" s="80"/>
      <c r="I61" s="89"/>
      <c r="J61" s="122"/>
      <c r="K61" s="28" t="s">
        <v>74</v>
      </c>
      <c r="L61" s="59" t="s">
        <v>112</v>
      </c>
      <c r="M61" s="135"/>
    </row>
    <row r="62" spans="1:13" x14ac:dyDescent="0.25">
      <c r="A62" s="129">
        <v>61</v>
      </c>
      <c r="B62" s="125"/>
      <c r="C62" s="87"/>
      <c r="D62" s="87"/>
      <c r="E62" s="80"/>
      <c r="F62" s="80"/>
      <c r="G62" s="80"/>
      <c r="H62" s="80"/>
      <c r="I62" s="89"/>
      <c r="J62" s="122"/>
      <c r="K62" s="28" t="s">
        <v>75</v>
      </c>
      <c r="L62" s="59" t="s">
        <v>112</v>
      </c>
      <c r="M62" s="135"/>
    </row>
    <row r="63" spans="1:13" x14ac:dyDescent="0.25">
      <c r="A63" s="129">
        <v>62</v>
      </c>
      <c r="B63" s="125"/>
      <c r="C63" s="87"/>
      <c r="D63" s="87"/>
      <c r="E63" s="80"/>
      <c r="F63" s="80"/>
      <c r="G63" s="80"/>
      <c r="H63" s="80"/>
      <c r="I63" s="89"/>
      <c r="J63" s="122"/>
      <c r="K63" s="28" t="s">
        <v>76</v>
      </c>
      <c r="L63" s="59" t="s">
        <v>112</v>
      </c>
      <c r="M63" s="135"/>
    </row>
    <row r="64" spans="1:13" x14ac:dyDescent="0.25">
      <c r="A64" s="129">
        <v>63</v>
      </c>
      <c r="B64" s="125"/>
      <c r="C64" s="87"/>
      <c r="D64" s="87"/>
      <c r="E64" s="80"/>
      <c r="F64" s="80"/>
      <c r="G64" s="80"/>
      <c r="H64" s="80"/>
      <c r="I64" s="89"/>
      <c r="J64" s="122"/>
      <c r="K64" s="28" t="s">
        <v>77</v>
      </c>
      <c r="L64" s="59" t="s">
        <v>112</v>
      </c>
      <c r="M64" s="135"/>
    </row>
    <row r="65" spans="1:13" ht="15.75" thickBot="1" x14ac:dyDescent="0.3">
      <c r="A65" s="130">
        <v>64</v>
      </c>
      <c r="B65" s="126"/>
      <c r="C65" s="91"/>
      <c r="D65" s="91"/>
      <c r="E65" s="90"/>
      <c r="F65" s="90"/>
      <c r="G65" s="90"/>
      <c r="H65" s="90"/>
      <c r="I65" s="92"/>
      <c r="J65" s="123"/>
      <c r="K65" s="29" t="s">
        <v>78</v>
      </c>
      <c r="L65" s="136" t="s">
        <v>112</v>
      </c>
      <c r="M65" s="137"/>
    </row>
    <row r="66" spans="1:13" x14ac:dyDescent="0.25">
      <c r="A66" s="128">
        <v>65</v>
      </c>
      <c r="B66" s="124"/>
      <c r="C66" s="86"/>
      <c r="D66" s="86"/>
      <c r="E66" s="93"/>
      <c r="F66" s="93"/>
      <c r="G66" s="93"/>
      <c r="H66" s="93"/>
      <c r="I66" s="88"/>
      <c r="J66" s="121"/>
      <c r="K66" s="71" t="s">
        <v>79</v>
      </c>
      <c r="L66" s="133" t="s">
        <v>112</v>
      </c>
      <c r="M66" s="134"/>
    </row>
    <row r="67" spans="1:13" x14ac:dyDescent="0.25">
      <c r="A67" s="129">
        <v>66</v>
      </c>
      <c r="B67" s="125"/>
      <c r="C67" s="87"/>
      <c r="D67" s="87"/>
      <c r="E67" s="80"/>
      <c r="F67" s="80"/>
      <c r="G67" s="80"/>
      <c r="H67" s="80"/>
      <c r="I67" s="89"/>
      <c r="J67" s="122"/>
      <c r="K67" s="28" t="s">
        <v>80</v>
      </c>
      <c r="L67" s="59" t="s">
        <v>112</v>
      </c>
      <c r="M67" s="135"/>
    </row>
    <row r="68" spans="1:13" x14ac:dyDescent="0.25">
      <c r="A68" s="129">
        <v>67</v>
      </c>
      <c r="B68" s="125"/>
      <c r="C68" s="87"/>
      <c r="D68" s="87"/>
      <c r="E68" s="80"/>
      <c r="F68" s="80"/>
      <c r="G68" s="80"/>
      <c r="H68" s="80"/>
      <c r="I68" s="89"/>
      <c r="J68" s="122"/>
      <c r="K68" s="28" t="s">
        <v>81</v>
      </c>
      <c r="L68" s="59" t="s">
        <v>112</v>
      </c>
      <c r="M68" s="135"/>
    </row>
    <row r="69" spans="1:13" x14ac:dyDescent="0.25">
      <c r="A69" s="129">
        <v>68</v>
      </c>
      <c r="B69" s="125"/>
      <c r="C69" s="87"/>
      <c r="D69" s="87"/>
      <c r="E69" s="80"/>
      <c r="F69" s="80"/>
      <c r="G69" s="80"/>
      <c r="H69" s="80"/>
      <c r="I69" s="89"/>
      <c r="J69" s="122"/>
      <c r="K69" s="28" t="s">
        <v>82</v>
      </c>
      <c r="L69" s="59" t="s">
        <v>112</v>
      </c>
      <c r="M69" s="135"/>
    </row>
    <row r="70" spans="1:13" x14ac:dyDescent="0.25">
      <c r="A70" s="129">
        <v>69</v>
      </c>
      <c r="B70" s="125"/>
      <c r="C70" s="87"/>
      <c r="D70" s="87"/>
      <c r="E70" s="80"/>
      <c r="F70" s="80"/>
      <c r="G70" s="80"/>
      <c r="H70" s="80"/>
      <c r="I70" s="89"/>
      <c r="J70" s="122"/>
      <c r="K70" s="28" t="s">
        <v>83</v>
      </c>
      <c r="L70" s="59" t="s">
        <v>112</v>
      </c>
      <c r="M70" s="135"/>
    </row>
    <row r="71" spans="1:13" x14ac:dyDescent="0.25">
      <c r="A71" s="129">
        <v>70</v>
      </c>
      <c r="B71" s="125"/>
      <c r="C71" s="87"/>
      <c r="D71" s="87"/>
      <c r="E71" s="80"/>
      <c r="F71" s="80"/>
      <c r="G71" s="80"/>
      <c r="H71" s="80"/>
      <c r="I71" s="89"/>
      <c r="J71" s="122"/>
      <c r="K71" s="28" t="s">
        <v>84</v>
      </c>
      <c r="L71" s="59" t="s">
        <v>112</v>
      </c>
      <c r="M71" s="135"/>
    </row>
    <row r="72" spans="1:13" x14ac:dyDescent="0.25">
      <c r="A72" s="129">
        <v>71</v>
      </c>
      <c r="B72" s="125"/>
      <c r="C72" s="87"/>
      <c r="D72" s="87"/>
      <c r="E72" s="80"/>
      <c r="F72" s="80"/>
      <c r="G72" s="80"/>
      <c r="H72" s="80"/>
      <c r="I72" s="89"/>
      <c r="J72" s="122"/>
      <c r="K72" s="28" t="s">
        <v>85</v>
      </c>
      <c r="L72" s="59" t="s">
        <v>112</v>
      </c>
      <c r="M72" s="135"/>
    </row>
    <row r="73" spans="1:13" ht="15.75" thickBot="1" x14ac:dyDescent="0.3">
      <c r="A73" s="130">
        <v>72</v>
      </c>
      <c r="B73" s="126"/>
      <c r="C73" s="91"/>
      <c r="D73" s="91"/>
      <c r="E73" s="90"/>
      <c r="F73" s="90"/>
      <c r="G73" s="90"/>
      <c r="H73" s="90"/>
      <c r="I73" s="92"/>
      <c r="J73" s="123"/>
      <c r="K73" s="29" t="s">
        <v>86</v>
      </c>
      <c r="L73" s="136" t="s">
        <v>112</v>
      </c>
      <c r="M73" s="137"/>
    </row>
    <row r="74" spans="1:13" x14ac:dyDescent="0.25">
      <c r="A74" s="128">
        <v>73</v>
      </c>
      <c r="B74" s="124"/>
      <c r="C74" s="86"/>
      <c r="D74" s="86"/>
      <c r="E74" s="93"/>
      <c r="F74" s="93"/>
      <c r="G74" s="93"/>
      <c r="H74" s="93"/>
      <c r="I74" s="88"/>
      <c r="J74" s="121"/>
      <c r="K74" s="71" t="s">
        <v>87</v>
      </c>
      <c r="L74" s="133" t="s">
        <v>112</v>
      </c>
      <c r="M74" s="134"/>
    </row>
    <row r="75" spans="1:13" x14ac:dyDescent="0.25">
      <c r="A75" s="129">
        <v>74</v>
      </c>
      <c r="B75" s="125"/>
      <c r="C75" s="87"/>
      <c r="D75" s="87"/>
      <c r="E75" s="80"/>
      <c r="F75" s="80"/>
      <c r="G75" s="80"/>
      <c r="H75" s="80"/>
      <c r="I75" s="89"/>
      <c r="J75" s="122"/>
      <c r="K75" s="28" t="s">
        <v>88</v>
      </c>
      <c r="L75" s="59" t="s">
        <v>112</v>
      </c>
      <c r="M75" s="135"/>
    </row>
    <row r="76" spans="1:13" x14ac:dyDescent="0.25">
      <c r="A76" s="129">
        <v>75</v>
      </c>
      <c r="B76" s="125"/>
      <c r="C76" s="87"/>
      <c r="D76" s="87"/>
      <c r="E76" s="80"/>
      <c r="F76" s="80"/>
      <c r="G76" s="80"/>
      <c r="H76" s="80"/>
      <c r="I76" s="89"/>
      <c r="J76" s="122"/>
      <c r="K76" s="28" t="s">
        <v>89</v>
      </c>
      <c r="L76" s="59" t="s">
        <v>112</v>
      </c>
      <c r="M76" s="135"/>
    </row>
    <row r="77" spans="1:13" x14ac:dyDescent="0.25">
      <c r="A77" s="129">
        <v>76</v>
      </c>
      <c r="B77" s="125"/>
      <c r="C77" s="87"/>
      <c r="D77" s="87"/>
      <c r="E77" s="80"/>
      <c r="F77" s="80"/>
      <c r="G77" s="80"/>
      <c r="H77" s="80"/>
      <c r="I77" s="89"/>
      <c r="J77" s="122"/>
      <c r="K77" s="28" t="s">
        <v>90</v>
      </c>
      <c r="L77" s="59" t="s">
        <v>112</v>
      </c>
      <c r="M77" s="135"/>
    </row>
    <row r="78" spans="1:13" x14ac:dyDescent="0.25">
      <c r="A78" s="129">
        <v>77</v>
      </c>
      <c r="B78" s="125"/>
      <c r="C78" s="87"/>
      <c r="D78" s="87"/>
      <c r="E78" s="80"/>
      <c r="F78" s="80"/>
      <c r="G78" s="80"/>
      <c r="H78" s="80"/>
      <c r="I78" s="89"/>
      <c r="J78" s="122"/>
      <c r="K78" s="28" t="s">
        <v>91</v>
      </c>
      <c r="L78" s="59" t="s">
        <v>112</v>
      </c>
      <c r="M78" s="135"/>
    </row>
    <row r="79" spans="1:13" x14ac:dyDescent="0.25">
      <c r="A79" s="129">
        <v>78</v>
      </c>
      <c r="B79" s="125"/>
      <c r="C79" s="87"/>
      <c r="D79" s="87"/>
      <c r="E79" s="80"/>
      <c r="F79" s="80"/>
      <c r="G79" s="80"/>
      <c r="H79" s="80"/>
      <c r="I79" s="89"/>
      <c r="J79" s="122"/>
      <c r="K79" s="28" t="s">
        <v>92</v>
      </c>
      <c r="L79" s="59" t="s">
        <v>112</v>
      </c>
      <c r="M79" s="135"/>
    </row>
    <row r="80" spans="1:13" x14ac:dyDescent="0.25">
      <c r="A80" s="129">
        <v>79</v>
      </c>
      <c r="B80" s="125"/>
      <c r="C80" s="87"/>
      <c r="D80" s="87"/>
      <c r="E80" s="80"/>
      <c r="F80" s="80"/>
      <c r="G80" s="80"/>
      <c r="H80" s="80"/>
      <c r="I80" s="89"/>
      <c r="J80" s="122"/>
      <c r="K80" s="28" t="s">
        <v>93</v>
      </c>
      <c r="L80" s="59" t="s">
        <v>112</v>
      </c>
      <c r="M80" s="135"/>
    </row>
    <row r="81" spans="1:13" ht="15.75" thickBot="1" x14ac:dyDescent="0.3">
      <c r="A81" s="130">
        <v>80</v>
      </c>
      <c r="B81" s="126"/>
      <c r="C81" s="91"/>
      <c r="D81" s="91"/>
      <c r="E81" s="90"/>
      <c r="F81" s="90"/>
      <c r="G81" s="90"/>
      <c r="H81" s="90"/>
      <c r="I81" s="92"/>
      <c r="J81" s="123"/>
      <c r="K81" s="29" t="s">
        <v>94</v>
      </c>
      <c r="L81" s="136" t="s">
        <v>112</v>
      </c>
      <c r="M81" s="137"/>
    </row>
    <row r="82" spans="1:13" x14ac:dyDescent="0.25">
      <c r="A82" s="128">
        <v>81</v>
      </c>
      <c r="B82" s="124"/>
      <c r="C82" s="86"/>
      <c r="D82" s="86"/>
      <c r="E82" s="93"/>
      <c r="F82" s="93"/>
      <c r="G82" s="93"/>
      <c r="H82" s="93"/>
      <c r="I82" s="88"/>
      <c r="J82" s="121"/>
      <c r="K82" s="71" t="s">
        <v>95</v>
      </c>
      <c r="L82" s="133" t="s">
        <v>112</v>
      </c>
      <c r="M82" s="134"/>
    </row>
    <row r="83" spans="1:13" x14ac:dyDescent="0.25">
      <c r="A83" s="129">
        <v>82</v>
      </c>
      <c r="B83" s="125"/>
      <c r="C83" s="87"/>
      <c r="D83" s="87"/>
      <c r="E83" s="80"/>
      <c r="F83" s="80"/>
      <c r="G83" s="80"/>
      <c r="H83" s="80"/>
      <c r="I83" s="89"/>
      <c r="J83" s="122"/>
      <c r="K83" s="28" t="s">
        <v>96</v>
      </c>
      <c r="L83" s="59" t="s">
        <v>112</v>
      </c>
      <c r="M83" s="135"/>
    </row>
    <row r="84" spans="1:13" x14ac:dyDescent="0.25">
      <c r="A84" s="129">
        <v>83</v>
      </c>
      <c r="B84" s="125"/>
      <c r="C84" s="87"/>
      <c r="D84" s="87"/>
      <c r="E84" s="80"/>
      <c r="F84" s="80"/>
      <c r="G84" s="80"/>
      <c r="H84" s="80"/>
      <c r="I84" s="89"/>
      <c r="J84" s="122"/>
      <c r="K84" s="28" t="s">
        <v>97</v>
      </c>
      <c r="L84" s="59" t="s">
        <v>112</v>
      </c>
      <c r="M84" s="135"/>
    </row>
    <row r="85" spans="1:13" x14ac:dyDescent="0.25">
      <c r="A85" s="129">
        <v>84</v>
      </c>
      <c r="B85" s="125"/>
      <c r="C85" s="87"/>
      <c r="D85" s="87"/>
      <c r="E85" s="80"/>
      <c r="F85" s="80"/>
      <c r="G85" s="80"/>
      <c r="H85" s="80"/>
      <c r="I85" s="89"/>
      <c r="J85" s="122"/>
      <c r="K85" s="28" t="s">
        <v>98</v>
      </c>
      <c r="L85" s="59" t="s">
        <v>112</v>
      </c>
      <c r="M85" s="135"/>
    </row>
    <row r="86" spans="1:13" x14ac:dyDescent="0.25">
      <c r="A86" s="129">
        <v>85</v>
      </c>
      <c r="B86" s="125"/>
      <c r="C86" s="87"/>
      <c r="D86" s="87"/>
      <c r="E86" s="80"/>
      <c r="F86" s="80"/>
      <c r="G86" s="80"/>
      <c r="H86" s="80"/>
      <c r="I86" s="89"/>
      <c r="J86" s="122"/>
      <c r="K86" s="28" t="s">
        <v>99</v>
      </c>
      <c r="L86" s="59" t="s">
        <v>112</v>
      </c>
      <c r="M86" s="135"/>
    </row>
    <row r="87" spans="1:13" x14ac:dyDescent="0.25">
      <c r="A87" s="129">
        <v>86</v>
      </c>
      <c r="B87" s="125"/>
      <c r="C87" s="87"/>
      <c r="D87" s="87"/>
      <c r="E87" s="80"/>
      <c r="F87" s="80"/>
      <c r="G87" s="80"/>
      <c r="H87" s="80"/>
      <c r="I87" s="89"/>
      <c r="J87" s="122"/>
      <c r="K87" s="28" t="s">
        <v>100</v>
      </c>
      <c r="L87" s="59" t="s">
        <v>112</v>
      </c>
      <c r="M87" s="135"/>
    </row>
    <row r="88" spans="1:13" x14ac:dyDescent="0.25">
      <c r="A88" s="129">
        <v>87</v>
      </c>
      <c r="B88" s="125"/>
      <c r="C88" s="87"/>
      <c r="D88" s="87"/>
      <c r="E88" s="80"/>
      <c r="F88" s="80"/>
      <c r="G88" s="80"/>
      <c r="H88" s="80"/>
      <c r="I88" s="89"/>
      <c r="J88" s="122"/>
      <c r="K88" s="28" t="s">
        <v>101</v>
      </c>
      <c r="L88" s="59" t="s">
        <v>112</v>
      </c>
      <c r="M88" s="135"/>
    </row>
    <row r="89" spans="1:13" ht="15.75" thickBot="1" x14ac:dyDescent="0.3">
      <c r="A89" s="130">
        <v>88</v>
      </c>
      <c r="B89" s="126"/>
      <c r="C89" s="91"/>
      <c r="D89" s="91"/>
      <c r="E89" s="90"/>
      <c r="F89" s="90"/>
      <c r="G89" s="90"/>
      <c r="H89" s="90"/>
      <c r="I89" s="92"/>
      <c r="J89" s="123"/>
      <c r="K89" s="29" t="s">
        <v>102</v>
      </c>
      <c r="L89" s="136" t="s">
        <v>112</v>
      </c>
      <c r="M89" s="137"/>
    </row>
    <row r="90" spans="1:13" x14ac:dyDescent="0.25">
      <c r="A90" s="128">
        <v>89</v>
      </c>
      <c r="B90" s="124"/>
      <c r="C90" s="86"/>
      <c r="D90" s="86"/>
      <c r="E90" s="93"/>
      <c r="F90" s="93"/>
      <c r="G90" s="93"/>
      <c r="H90" s="93"/>
      <c r="I90" s="88"/>
      <c r="J90" s="121"/>
      <c r="K90" s="71" t="s">
        <v>103</v>
      </c>
      <c r="L90" s="133" t="s">
        <v>112</v>
      </c>
      <c r="M90" s="134"/>
    </row>
    <row r="91" spans="1:13" x14ac:dyDescent="0.25">
      <c r="A91" s="129">
        <v>90</v>
      </c>
      <c r="B91" s="125"/>
      <c r="C91" s="87"/>
      <c r="D91" s="87"/>
      <c r="E91" s="80"/>
      <c r="F91" s="80"/>
      <c r="G91" s="80"/>
      <c r="H91" s="80"/>
      <c r="I91" s="89"/>
      <c r="J91" s="122"/>
      <c r="K91" s="28" t="s">
        <v>104</v>
      </c>
      <c r="L91" s="59" t="s">
        <v>112</v>
      </c>
      <c r="M91" s="135"/>
    </row>
    <row r="92" spans="1:13" x14ac:dyDescent="0.25">
      <c r="A92" s="129">
        <v>91</v>
      </c>
      <c r="B92" s="125"/>
      <c r="C92" s="87"/>
      <c r="D92" s="87"/>
      <c r="E92" s="80"/>
      <c r="F92" s="80"/>
      <c r="G92" s="80"/>
      <c r="H92" s="80"/>
      <c r="I92" s="89"/>
      <c r="J92" s="122"/>
      <c r="K92" s="28" t="s">
        <v>105</v>
      </c>
      <c r="L92" s="59" t="s">
        <v>112</v>
      </c>
      <c r="M92" s="135"/>
    </row>
    <row r="93" spans="1:13" x14ac:dyDescent="0.25">
      <c r="A93" s="129">
        <v>92</v>
      </c>
      <c r="B93" s="125"/>
      <c r="C93" s="87"/>
      <c r="D93" s="87"/>
      <c r="E93" s="80"/>
      <c r="F93" s="80"/>
      <c r="G93" s="80"/>
      <c r="H93" s="80"/>
      <c r="I93" s="89"/>
      <c r="J93" s="122"/>
      <c r="K93" s="28" t="s">
        <v>106</v>
      </c>
      <c r="L93" s="59" t="s">
        <v>112</v>
      </c>
      <c r="M93" s="135"/>
    </row>
    <row r="94" spans="1:13" x14ac:dyDescent="0.25">
      <c r="A94" s="129">
        <v>93</v>
      </c>
      <c r="B94" s="125"/>
      <c r="C94" s="87"/>
      <c r="D94" s="87"/>
      <c r="E94" s="80"/>
      <c r="F94" s="80"/>
      <c r="G94" s="80"/>
      <c r="H94" s="80"/>
      <c r="I94" s="89"/>
      <c r="J94" s="122"/>
      <c r="K94" s="28" t="s">
        <v>107</v>
      </c>
      <c r="L94" s="59" t="s">
        <v>112</v>
      </c>
      <c r="M94" s="135"/>
    </row>
    <row r="95" spans="1:13" x14ac:dyDescent="0.25">
      <c r="A95" s="129">
        <v>94</v>
      </c>
      <c r="B95" s="125"/>
      <c r="C95" s="87"/>
      <c r="D95" s="87"/>
      <c r="E95" s="80"/>
      <c r="F95" s="80"/>
      <c r="G95" s="80"/>
      <c r="H95" s="80"/>
      <c r="I95" s="89"/>
      <c r="J95" s="122"/>
      <c r="K95" s="28" t="s">
        <v>108</v>
      </c>
      <c r="L95" s="59" t="s">
        <v>112</v>
      </c>
      <c r="M95" s="135"/>
    </row>
    <row r="96" spans="1:13" x14ac:dyDescent="0.25">
      <c r="A96" s="129">
        <v>95</v>
      </c>
      <c r="B96" s="125"/>
      <c r="C96" s="87"/>
      <c r="D96" s="87"/>
      <c r="E96" s="80"/>
      <c r="F96" s="80"/>
      <c r="G96" s="80"/>
      <c r="H96" s="80"/>
      <c r="I96" s="89"/>
      <c r="J96" s="122"/>
      <c r="K96" s="28" t="s">
        <v>109</v>
      </c>
      <c r="L96" s="59" t="s">
        <v>112</v>
      </c>
      <c r="M96" s="135"/>
    </row>
    <row r="97" spans="1:13" ht="15.75" thickBot="1" x14ac:dyDescent="0.3">
      <c r="A97" s="130">
        <v>96</v>
      </c>
      <c r="B97" s="126"/>
      <c r="C97" s="91"/>
      <c r="D97" s="91"/>
      <c r="E97" s="90"/>
      <c r="F97" s="90"/>
      <c r="G97" s="90"/>
      <c r="H97" s="90"/>
      <c r="I97" s="92"/>
      <c r="J97" s="123"/>
      <c r="K97" s="29" t="s">
        <v>110</v>
      </c>
      <c r="L97" s="136" t="s">
        <v>112</v>
      </c>
      <c r="M97" s="137"/>
    </row>
    <row r="98" spans="1:13" x14ac:dyDescent="0.25">
      <c r="A98" s="131"/>
      <c r="B98" s="96"/>
      <c r="C98" s="96"/>
      <c r="D98" s="96"/>
      <c r="E98" s="96"/>
      <c r="F98" s="96"/>
      <c r="G98" s="96"/>
      <c r="H98" s="96"/>
      <c r="I98" s="96"/>
    </row>
    <row r="99" spans="1:13" x14ac:dyDescent="0.25">
      <c r="A99" s="131"/>
      <c r="B99" s="96"/>
      <c r="C99" s="96"/>
      <c r="D99" s="96"/>
      <c r="E99" s="96"/>
      <c r="F99" s="96"/>
      <c r="G99" s="96"/>
      <c r="H99" s="96"/>
      <c r="I99" s="96"/>
    </row>
    <row r="100" spans="1:13" x14ac:dyDescent="0.25">
      <c r="A100" s="131"/>
      <c r="B100" s="96"/>
      <c r="C100" s="96"/>
      <c r="D100" s="96"/>
      <c r="E100" s="96"/>
      <c r="F100" s="96"/>
      <c r="G100" s="96"/>
      <c r="H100" s="96"/>
      <c r="I100" s="96"/>
    </row>
    <row r="101" spans="1:13" x14ac:dyDescent="0.25">
      <c r="A101" s="131"/>
      <c r="B101" s="96"/>
      <c r="C101" s="96"/>
      <c r="D101" s="96"/>
      <c r="E101" s="96"/>
      <c r="F101" s="96"/>
      <c r="G101" s="96"/>
      <c r="H101" s="96"/>
      <c r="I101" s="96"/>
    </row>
    <row r="102" spans="1:13" x14ac:dyDescent="0.25">
      <c r="A102" s="131"/>
      <c r="B102" s="96"/>
      <c r="C102" s="96"/>
      <c r="D102" s="96"/>
      <c r="E102" s="96"/>
      <c r="F102" s="96"/>
      <c r="G102" s="96"/>
      <c r="H102" s="96"/>
      <c r="I102" s="96"/>
    </row>
    <row r="103" spans="1:13" x14ac:dyDescent="0.25">
      <c r="A103" s="131"/>
      <c r="B103" s="96"/>
      <c r="C103" s="96"/>
      <c r="D103" s="96"/>
      <c r="E103" s="96"/>
      <c r="F103" s="96"/>
      <c r="G103" s="96"/>
      <c r="H103" s="96"/>
      <c r="I103" s="96"/>
    </row>
    <row r="104" spans="1:13" x14ac:dyDescent="0.25">
      <c r="A104" s="131"/>
      <c r="B104" s="96"/>
      <c r="C104" s="96"/>
      <c r="D104" s="96"/>
      <c r="E104" s="96"/>
      <c r="F104" s="96"/>
      <c r="G104" s="96"/>
      <c r="H104" s="96"/>
      <c r="I104" s="96"/>
    </row>
    <row r="105" spans="1:13" x14ac:dyDescent="0.25">
      <c r="A105" s="131"/>
      <c r="B105" s="96"/>
      <c r="C105" s="96"/>
      <c r="D105" s="96"/>
      <c r="E105" s="96"/>
      <c r="F105" s="96"/>
      <c r="G105" s="96"/>
      <c r="H105" s="96"/>
      <c r="I105" s="96"/>
    </row>
    <row r="106" spans="1:13" x14ac:dyDescent="0.25">
      <c r="A106" s="131"/>
      <c r="B106" s="96"/>
      <c r="C106" s="96"/>
      <c r="D106" s="96"/>
      <c r="E106" s="96"/>
      <c r="F106" s="96"/>
      <c r="G106" s="96"/>
      <c r="H106" s="96"/>
      <c r="I106" s="96"/>
    </row>
    <row r="107" spans="1:13" x14ac:dyDescent="0.25">
      <c r="A107" s="131"/>
      <c r="B107" s="96"/>
      <c r="C107" s="96"/>
      <c r="D107" s="96"/>
      <c r="E107" s="96"/>
      <c r="F107" s="96"/>
      <c r="G107" s="96"/>
      <c r="H107" s="96"/>
      <c r="I107" s="96"/>
    </row>
    <row r="108" spans="1:13" x14ac:dyDescent="0.25">
      <c r="A108" s="131"/>
      <c r="B108" s="96"/>
      <c r="C108" s="96"/>
      <c r="D108" s="96"/>
      <c r="E108" s="96"/>
      <c r="F108" s="96"/>
      <c r="G108" s="96"/>
      <c r="H108" s="96"/>
      <c r="I108" s="96"/>
    </row>
    <row r="109" spans="1:13" x14ac:dyDescent="0.25">
      <c r="A109" s="131"/>
      <c r="B109" s="96"/>
      <c r="C109" s="96"/>
      <c r="D109" s="96"/>
      <c r="E109" s="96"/>
      <c r="F109" s="96"/>
      <c r="G109" s="96"/>
      <c r="H109" s="96"/>
      <c r="I109" s="96"/>
    </row>
    <row r="110" spans="1:13" x14ac:dyDescent="0.25">
      <c r="A110" s="131"/>
      <c r="B110" s="96"/>
      <c r="C110" s="96"/>
      <c r="D110" s="96"/>
      <c r="E110" s="96"/>
      <c r="F110" s="96"/>
      <c r="G110" s="96"/>
      <c r="H110" s="96"/>
      <c r="I110" s="96"/>
    </row>
    <row r="111" spans="1:13" x14ac:dyDescent="0.25">
      <c r="A111" s="131"/>
      <c r="B111" s="96"/>
      <c r="C111" s="96"/>
      <c r="D111" s="96"/>
      <c r="E111" s="96"/>
      <c r="F111" s="96"/>
      <c r="G111" s="96"/>
      <c r="H111" s="96"/>
      <c r="I111" s="96"/>
    </row>
    <row r="112" spans="1:13" x14ac:dyDescent="0.25">
      <c r="A112" s="131"/>
      <c r="B112" s="96"/>
      <c r="C112" s="96"/>
      <c r="D112" s="96"/>
      <c r="E112" s="96"/>
      <c r="F112" s="96"/>
      <c r="G112" s="96"/>
      <c r="H112" s="96"/>
      <c r="I112" s="96"/>
    </row>
    <row r="113" spans="1:9" x14ac:dyDescent="0.25">
      <c r="A113" s="131"/>
      <c r="B113" s="96"/>
      <c r="C113" s="96"/>
      <c r="D113" s="96"/>
      <c r="E113" s="96"/>
      <c r="F113" s="96"/>
      <c r="G113" s="96"/>
      <c r="H113" s="96"/>
      <c r="I113" s="96"/>
    </row>
    <row r="114" spans="1:9" x14ac:dyDescent="0.25">
      <c r="A114" s="131"/>
      <c r="B114" s="96"/>
      <c r="C114" s="96"/>
      <c r="D114" s="96"/>
      <c r="E114" s="96"/>
      <c r="F114" s="96"/>
      <c r="G114" s="96"/>
      <c r="H114" s="96"/>
      <c r="I114" s="96"/>
    </row>
    <row r="115" spans="1:9" x14ac:dyDescent="0.25">
      <c r="A115" s="131"/>
      <c r="B115" s="96"/>
      <c r="C115" s="96"/>
      <c r="D115" s="96"/>
      <c r="E115" s="96"/>
      <c r="F115" s="96"/>
      <c r="G115" s="96"/>
      <c r="H115" s="96"/>
      <c r="I115" s="96"/>
    </row>
    <row r="116" spans="1:9" x14ac:dyDescent="0.25">
      <c r="A116" s="131"/>
      <c r="B116" s="96"/>
      <c r="C116" s="96"/>
      <c r="D116" s="96"/>
      <c r="E116" s="96"/>
      <c r="F116" s="96"/>
      <c r="G116" s="96"/>
      <c r="H116" s="96"/>
      <c r="I116" s="96"/>
    </row>
    <row r="117" spans="1:9" x14ac:dyDescent="0.25">
      <c r="A117" s="131"/>
      <c r="B117" s="96"/>
      <c r="C117" s="96"/>
      <c r="D117" s="96"/>
      <c r="E117" s="96"/>
      <c r="F117" s="96"/>
      <c r="G117" s="96"/>
      <c r="H117" s="96"/>
      <c r="I117" s="96"/>
    </row>
    <row r="118" spans="1:9" x14ac:dyDescent="0.25">
      <c r="A118" s="131"/>
      <c r="B118" s="96"/>
      <c r="C118" s="96"/>
      <c r="D118" s="96"/>
      <c r="E118" s="96"/>
      <c r="F118" s="96"/>
      <c r="G118" s="96"/>
      <c r="H118" s="96"/>
      <c r="I118" s="96"/>
    </row>
    <row r="119" spans="1:9" x14ac:dyDescent="0.25">
      <c r="A119" s="131"/>
      <c r="B119" s="96"/>
      <c r="C119" s="96"/>
      <c r="D119" s="96"/>
      <c r="E119" s="96"/>
      <c r="F119" s="96"/>
      <c r="G119" s="96"/>
      <c r="H119" s="96"/>
      <c r="I119" s="96"/>
    </row>
    <row r="120" spans="1:9" x14ac:dyDescent="0.25">
      <c r="A120" s="131"/>
      <c r="B120" s="96"/>
      <c r="C120" s="96"/>
      <c r="D120" s="96"/>
      <c r="E120" s="96"/>
      <c r="F120" s="96"/>
      <c r="G120" s="96"/>
      <c r="H120" s="96"/>
      <c r="I120" s="96"/>
    </row>
    <row r="121" spans="1:9" x14ac:dyDescent="0.25">
      <c r="A121" s="131"/>
      <c r="B121" s="96"/>
      <c r="C121" s="96"/>
      <c r="D121" s="96"/>
      <c r="E121" s="96"/>
      <c r="F121" s="96"/>
      <c r="G121" s="96"/>
      <c r="H121" s="96"/>
      <c r="I121" s="96"/>
    </row>
    <row r="122" spans="1:9" x14ac:dyDescent="0.25">
      <c r="A122" s="131"/>
      <c r="B122" s="96"/>
      <c r="C122" s="96"/>
      <c r="D122" s="96"/>
      <c r="E122" s="96"/>
      <c r="F122" s="96"/>
      <c r="G122" s="96"/>
      <c r="H122" s="96"/>
      <c r="I122" s="96"/>
    </row>
    <row r="123" spans="1:9" x14ac:dyDescent="0.25">
      <c r="A123" s="131"/>
      <c r="B123" s="96"/>
      <c r="C123" s="96"/>
      <c r="D123" s="96"/>
      <c r="E123" s="96"/>
      <c r="F123" s="96"/>
      <c r="G123" s="96"/>
      <c r="H123" s="96"/>
      <c r="I123" s="96"/>
    </row>
    <row r="124" spans="1:9" x14ac:dyDescent="0.25">
      <c r="A124" s="131"/>
      <c r="B124" s="96"/>
      <c r="C124" s="96"/>
      <c r="D124" s="96"/>
      <c r="E124" s="96"/>
      <c r="F124" s="96"/>
      <c r="G124" s="96"/>
      <c r="H124" s="96"/>
      <c r="I124" s="96"/>
    </row>
    <row r="125" spans="1:9" x14ac:dyDescent="0.25">
      <c r="A125" s="131"/>
      <c r="B125" s="96"/>
      <c r="C125" s="96"/>
      <c r="D125" s="96"/>
      <c r="E125" s="96"/>
      <c r="F125" s="96"/>
      <c r="G125" s="96"/>
      <c r="H125" s="96"/>
      <c r="I125" s="96"/>
    </row>
    <row r="126" spans="1:9" x14ac:dyDescent="0.25">
      <c r="A126" s="131"/>
      <c r="B126" s="96"/>
      <c r="C126" s="96"/>
      <c r="D126" s="96"/>
      <c r="E126" s="96"/>
      <c r="F126" s="96"/>
      <c r="G126" s="96"/>
      <c r="H126" s="96"/>
      <c r="I126" s="96"/>
    </row>
    <row r="127" spans="1:9" x14ac:dyDescent="0.25">
      <c r="A127" s="131"/>
      <c r="B127" s="96"/>
      <c r="C127" s="96"/>
      <c r="D127" s="96"/>
      <c r="E127" s="96"/>
      <c r="F127" s="96"/>
      <c r="G127" s="96"/>
      <c r="H127" s="96"/>
      <c r="I127" s="96"/>
    </row>
    <row r="128" spans="1:9" x14ac:dyDescent="0.25">
      <c r="A128" s="131"/>
      <c r="B128" s="96"/>
      <c r="C128" s="96"/>
      <c r="D128" s="96"/>
      <c r="E128" s="96"/>
      <c r="F128" s="96"/>
      <c r="G128" s="96"/>
      <c r="H128" s="96"/>
      <c r="I128" s="96"/>
    </row>
    <row r="129" spans="1:9" x14ac:dyDescent="0.25">
      <c r="A129" s="131"/>
      <c r="B129" s="96"/>
      <c r="C129" s="96"/>
      <c r="D129" s="96"/>
      <c r="E129" s="96"/>
      <c r="F129" s="96"/>
      <c r="G129" s="96"/>
      <c r="H129" s="96"/>
      <c r="I129" s="96"/>
    </row>
    <row r="130" spans="1:9" x14ac:dyDescent="0.25">
      <c r="A130" s="131"/>
      <c r="B130" s="96"/>
      <c r="C130" s="96"/>
      <c r="D130" s="96"/>
      <c r="E130" s="96"/>
      <c r="F130" s="96"/>
      <c r="G130" s="96"/>
      <c r="H130" s="96"/>
      <c r="I130" s="96"/>
    </row>
    <row r="131" spans="1:9" x14ac:dyDescent="0.25">
      <c r="A131" s="131"/>
      <c r="B131" s="96"/>
      <c r="C131" s="96"/>
      <c r="D131" s="96"/>
      <c r="E131" s="96"/>
      <c r="F131" s="96"/>
      <c r="G131" s="96"/>
      <c r="H131" s="96"/>
      <c r="I131" s="96"/>
    </row>
    <row r="132" spans="1:9" x14ac:dyDescent="0.25">
      <c r="A132" s="131"/>
      <c r="B132" s="96"/>
      <c r="C132" s="96"/>
      <c r="D132" s="96"/>
      <c r="E132" s="96"/>
      <c r="F132" s="96"/>
      <c r="G132" s="96"/>
      <c r="H132" s="96"/>
      <c r="I132" s="96"/>
    </row>
    <row r="133" spans="1:9" x14ac:dyDescent="0.25">
      <c r="A133" s="131"/>
      <c r="B133" s="96"/>
      <c r="C133" s="96"/>
      <c r="D133" s="96"/>
      <c r="E133" s="96"/>
      <c r="F133" s="96"/>
      <c r="G133" s="96"/>
      <c r="H133" s="96"/>
      <c r="I133" s="96"/>
    </row>
    <row r="134" spans="1:9" x14ac:dyDescent="0.25">
      <c r="A134" s="131"/>
      <c r="B134" s="96"/>
      <c r="C134" s="96"/>
      <c r="D134" s="96"/>
      <c r="E134" s="96"/>
      <c r="F134" s="96"/>
      <c r="G134" s="96"/>
      <c r="H134" s="96"/>
      <c r="I134" s="96"/>
    </row>
    <row r="135" spans="1:9" x14ac:dyDescent="0.25">
      <c r="A135" s="131"/>
      <c r="B135" s="96"/>
      <c r="C135" s="96"/>
      <c r="D135" s="96"/>
      <c r="E135" s="96"/>
      <c r="F135" s="96"/>
      <c r="G135" s="96"/>
      <c r="H135" s="96"/>
      <c r="I135" s="96"/>
    </row>
    <row r="136" spans="1:9" x14ac:dyDescent="0.25">
      <c r="A136" s="131"/>
      <c r="B136" s="96"/>
      <c r="C136" s="96"/>
      <c r="D136" s="96"/>
      <c r="E136" s="96"/>
      <c r="F136" s="96"/>
      <c r="G136" s="96"/>
      <c r="H136" s="96"/>
      <c r="I136" s="96"/>
    </row>
    <row r="137" spans="1:9" x14ac:dyDescent="0.25">
      <c r="A137" s="131"/>
      <c r="B137" s="96"/>
      <c r="C137" s="96"/>
      <c r="D137" s="96"/>
      <c r="E137" s="96"/>
      <c r="F137" s="96"/>
      <c r="G137" s="96"/>
      <c r="H137" s="96"/>
      <c r="I137" s="96"/>
    </row>
    <row r="138" spans="1:9" x14ac:dyDescent="0.25">
      <c r="A138" s="131"/>
      <c r="B138" s="96"/>
      <c r="C138" s="96"/>
      <c r="D138" s="96"/>
      <c r="E138" s="96"/>
      <c r="F138" s="96"/>
      <c r="G138" s="96"/>
      <c r="H138" s="96"/>
      <c r="I138" s="96"/>
    </row>
    <row r="139" spans="1:9" x14ac:dyDescent="0.25">
      <c r="A139" s="131"/>
      <c r="B139" s="96"/>
      <c r="C139" s="96"/>
      <c r="D139" s="96"/>
      <c r="E139" s="96"/>
      <c r="F139" s="96"/>
      <c r="G139" s="96"/>
      <c r="H139" s="96"/>
      <c r="I139" s="96"/>
    </row>
    <row r="140" spans="1:9" x14ac:dyDescent="0.25">
      <c r="A140" s="131"/>
      <c r="B140" s="96"/>
      <c r="C140" s="96"/>
      <c r="D140" s="96"/>
      <c r="E140" s="96"/>
      <c r="F140" s="96"/>
      <c r="G140" s="96"/>
      <c r="H140" s="96"/>
      <c r="I140" s="96"/>
    </row>
    <row r="141" spans="1:9" x14ac:dyDescent="0.25">
      <c r="A141" s="131"/>
      <c r="B141" s="96"/>
      <c r="C141" s="96"/>
      <c r="D141" s="96"/>
      <c r="E141" s="96"/>
      <c r="F141" s="96"/>
      <c r="G141" s="96"/>
      <c r="H141" s="96"/>
      <c r="I141" s="96"/>
    </row>
    <row r="142" spans="1:9" x14ac:dyDescent="0.25">
      <c r="A142" s="131"/>
      <c r="B142" s="96"/>
      <c r="C142" s="96"/>
      <c r="D142" s="96"/>
      <c r="E142" s="96"/>
      <c r="F142" s="96"/>
      <c r="G142" s="96"/>
      <c r="H142" s="96"/>
      <c r="I142" s="96"/>
    </row>
    <row r="143" spans="1:9" x14ac:dyDescent="0.25">
      <c r="A143" s="131"/>
      <c r="B143" s="96"/>
      <c r="C143" s="96"/>
      <c r="D143" s="96"/>
      <c r="E143" s="96"/>
      <c r="F143" s="96"/>
      <c r="G143" s="96"/>
      <c r="H143" s="96"/>
      <c r="I143" s="96"/>
    </row>
    <row r="144" spans="1:9" x14ac:dyDescent="0.25">
      <c r="A144" s="131"/>
      <c r="B144" s="96"/>
      <c r="C144" s="96"/>
      <c r="D144" s="96"/>
      <c r="E144" s="96"/>
      <c r="F144" s="96"/>
      <c r="G144" s="96"/>
      <c r="H144" s="96"/>
      <c r="I144" s="96"/>
    </row>
    <row r="145" spans="1:9" x14ac:dyDescent="0.25">
      <c r="A145" s="131"/>
      <c r="B145" s="96"/>
      <c r="C145" s="96"/>
      <c r="D145" s="96"/>
      <c r="E145" s="96"/>
      <c r="F145" s="96"/>
      <c r="G145" s="96"/>
      <c r="H145" s="96"/>
      <c r="I145" s="96"/>
    </row>
    <row r="146" spans="1:9" x14ac:dyDescent="0.25">
      <c r="A146" s="131"/>
      <c r="B146" s="96"/>
      <c r="C146" s="96"/>
      <c r="D146" s="96"/>
      <c r="E146" s="96"/>
      <c r="F146" s="96"/>
      <c r="G146" s="96"/>
      <c r="H146" s="96"/>
      <c r="I146" s="96"/>
    </row>
    <row r="147" spans="1:9" x14ac:dyDescent="0.25">
      <c r="A147" s="131"/>
      <c r="B147" s="96"/>
      <c r="C147" s="96"/>
      <c r="D147" s="96"/>
      <c r="E147" s="96"/>
      <c r="F147" s="96"/>
      <c r="G147" s="96"/>
      <c r="H147" s="96"/>
      <c r="I147" s="96"/>
    </row>
    <row r="148" spans="1:9" x14ac:dyDescent="0.25">
      <c r="A148" s="131"/>
      <c r="B148" s="96"/>
      <c r="C148" s="96"/>
      <c r="D148" s="96"/>
      <c r="E148" s="96"/>
      <c r="F148" s="96"/>
      <c r="G148" s="96"/>
      <c r="H148" s="96"/>
      <c r="I148" s="96"/>
    </row>
    <row r="149" spans="1:9" x14ac:dyDescent="0.25">
      <c r="A149" s="131"/>
      <c r="B149" s="96"/>
      <c r="C149" s="96"/>
      <c r="D149" s="96"/>
      <c r="E149" s="96"/>
      <c r="F149" s="96"/>
      <c r="G149" s="96"/>
      <c r="H149" s="96"/>
      <c r="I149" s="96"/>
    </row>
    <row r="150" spans="1:9" x14ac:dyDescent="0.25">
      <c r="A150" s="131"/>
      <c r="B150" s="96"/>
      <c r="C150" s="96"/>
      <c r="D150" s="96"/>
      <c r="E150" s="96"/>
      <c r="F150" s="96"/>
      <c r="G150" s="96"/>
      <c r="H150" s="96"/>
      <c r="I150" s="96"/>
    </row>
    <row r="151" spans="1:9" x14ac:dyDescent="0.25">
      <c r="A151" s="131"/>
      <c r="B151" s="96"/>
      <c r="C151" s="96"/>
      <c r="D151" s="96"/>
      <c r="E151" s="96"/>
      <c r="F151" s="96"/>
      <c r="G151" s="96"/>
      <c r="H151" s="96"/>
      <c r="I151" s="96"/>
    </row>
    <row r="152" spans="1:9" x14ac:dyDescent="0.25">
      <c r="A152" s="131"/>
      <c r="B152" s="96"/>
      <c r="C152" s="96"/>
      <c r="D152" s="96"/>
      <c r="E152" s="96"/>
      <c r="F152" s="96"/>
      <c r="G152" s="96"/>
      <c r="H152" s="96"/>
      <c r="I152" s="96"/>
    </row>
    <row r="153" spans="1:9" x14ac:dyDescent="0.25">
      <c r="A153" s="131"/>
      <c r="B153" s="96"/>
      <c r="C153" s="96"/>
      <c r="D153" s="96"/>
      <c r="E153" s="96"/>
      <c r="F153" s="96"/>
      <c r="G153" s="96"/>
      <c r="H153" s="96"/>
      <c r="I153" s="96"/>
    </row>
    <row r="154" spans="1:9" x14ac:dyDescent="0.25">
      <c r="A154" s="131"/>
      <c r="B154" s="96"/>
      <c r="C154" s="96"/>
      <c r="D154" s="96"/>
      <c r="E154" s="96"/>
      <c r="F154" s="96"/>
      <c r="G154" s="96"/>
      <c r="H154" s="96"/>
      <c r="I154" s="96"/>
    </row>
    <row r="155" spans="1:9" x14ac:dyDescent="0.25">
      <c r="A155" s="131"/>
      <c r="B155" s="96"/>
      <c r="C155" s="96"/>
      <c r="D155" s="96"/>
      <c r="E155" s="96"/>
      <c r="F155" s="96"/>
      <c r="G155" s="96"/>
      <c r="H155" s="96"/>
      <c r="I155" s="96"/>
    </row>
    <row r="156" spans="1:9" x14ac:dyDescent="0.25">
      <c r="A156" s="131"/>
      <c r="B156" s="96"/>
      <c r="C156" s="96"/>
      <c r="D156" s="96"/>
      <c r="E156" s="96"/>
      <c r="F156" s="96"/>
      <c r="G156" s="96"/>
      <c r="H156" s="96"/>
      <c r="I156" s="96"/>
    </row>
    <row r="157" spans="1:9" x14ac:dyDescent="0.25">
      <c r="A157" s="131"/>
      <c r="B157" s="96"/>
      <c r="C157" s="96"/>
      <c r="D157" s="96"/>
      <c r="E157" s="96"/>
      <c r="F157" s="96"/>
      <c r="G157" s="96"/>
      <c r="H157" s="96"/>
      <c r="I157" s="96"/>
    </row>
    <row r="158" spans="1:9" x14ac:dyDescent="0.25">
      <c r="A158" s="131"/>
      <c r="B158" s="96"/>
      <c r="C158" s="96"/>
      <c r="D158" s="96"/>
      <c r="E158" s="96"/>
      <c r="F158" s="96"/>
      <c r="G158" s="96"/>
      <c r="H158" s="96"/>
      <c r="I158" s="96"/>
    </row>
    <row r="159" spans="1:9" x14ac:dyDescent="0.25">
      <c r="A159" s="131"/>
      <c r="B159" s="96"/>
      <c r="C159" s="96"/>
      <c r="D159" s="96"/>
      <c r="E159" s="96"/>
      <c r="F159" s="96"/>
      <c r="G159" s="96"/>
      <c r="H159" s="96"/>
      <c r="I159" s="96"/>
    </row>
    <row r="160" spans="1:9" x14ac:dyDescent="0.25">
      <c r="A160" s="131"/>
      <c r="B160" s="96"/>
      <c r="C160" s="96"/>
      <c r="D160" s="96"/>
      <c r="E160" s="96"/>
      <c r="F160" s="96"/>
      <c r="G160" s="96"/>
      <c r="H160" s="96"/>
      <c r="I160" s="96"/>
    </row>
    <row r="161" spans="1:9" x14ac:dyDescent="0.25">
      <c r="A161" s="131"/>
      <c r="B161" s="96"/>
      <c r="C161" s="96"/>
      <c r="D161" s="96"/>
      <c r="E161" s="96"/>
      <c r="F161" s="96"/>
      <c r="G161" s="96"/>
      <c r="H161" s="96"/>
      <c r="I161" s="96"/>
    </row>
    <row r="162" spans="1:9" x14ac:dyDescent="0.25">
      <c r="A162" s="131"/>
      <c r="B162" s="96"/>
      <c r="C162" s="96"/>
      <c r="D162" s="96"/>
      <c r="E162" s="96"/>
      <c r="F162" s="96"/>
      <c r="G162" s="96"/>
      <c r="H162" s="96"/>
      <c r="I162" s="96"/>
    </row>
    <row r="163" spans="1:9" x14ac:dyDescent="0.25">
      <c r="A163" s="131"/>
      <c r="B163" s="96"/>
      <c r="C163" s="96"/>
      <c r="D163" s="96"/>
      <c r="E163" s="96"/>
      <c r="F163" s="96"/>
      <c r="G163" s="96"/>
      <c r="H163" s="96"/>
      <c r="I163" s="96"/>
    </row>
    <row r="164" spans="1:9" x14ac:dyDescent="0.25">
      <c r="A164" s="131"/>
      <c r="B164" s="96"/>
      <c r="C164" s="96"/>
      <c r="D164" s="97"/>
      <c r="E164" s="97"/>
      <c r="F164" s="96"/>
      <c r="G164" s="96"/>
      <c r="H164" s="96"/>
      <c r="I164" s="96"/>
    </row>
    <row r="165" spans="1:9" x14ac:dyDescent="0.25">
      <c r="A165" s="131"/>
      <c r="B165" s="96"/>
      <c r="C165" s="96"/>
      <c r="D165" s="97"/>
      <c r="E165" s="97"/>
      <c r="F165" s="96"/>
      <c r="G165" s="96"/>
      <c r="H165" s="96"/>
      <c r="I165" s="96"/>
    </row>
    <row r="166" spans="1:9" x14ac:dyDescent="0.25">
      <c r="A166" s="131"/>
      <c r="B166" s="96"/>
      <c r="C166" s="96"/>
      <c r="D166" s="97"/>
      <c r="E166" s="97"/>
      <c r="F166" s="96"/>
      <c r="G166" s="96"/>
      <c r="H166" s="96"/>
      <c r="I166" s="96"/>
    </row>
    <row r="167" spans="1:9" x14ac:dyDescent="0.25">
      <c r="A167" s="131"/>
      <c r="B167" s="96"/>
      <c r="C167" s="96"/>
      <c r="D167" s="97"/>
      <c r="E167" s="97"/>
      <c r="F167" s="97"/>
      <c r="G167" s="96"/>
      <c r="H167" s="96"/>
      <c r="I167" s="96"/>
    </row>
    <row r="168" spans="1:9" x14ac:dyDescent="0.25">
      <c r="A168" s="131"/>
      <c r="B168" s="96"/>
      <c r="C168" s="96"/>
      <c r="D168" s="97"/>
      <c r="E168" s="97"/>
      <c r="F168" s="97"/>
      <c r="G168" s="96"/>
      <c r="H168" s="96"/>
      <c r="I168" s="96"/>
    </row>
    <row r="169" spans="1:9" x14ac:dyDescent="0.25">
      <c r="A169" s="131"/>
      <c r="B169" s="96"/>
      <c r="C169" s="96"/>
      <c r="D169" s="97"/>
      <c r="E169" s="97"/>
      <c r="F169" s="97"/>
      <c r="G169" s="96"/>
      <c r="H169" s="96"/>
      <c r="I169" s="96"/>
    </row>
    <row r="170" spans="1:9" x14ac:dyDescent="0.25">
      <c r="A170" s="131"/>
      <c r="B170" s="96"/>
      <c r="C170" s="96"/>
      <c r="D170" s="97"/>
      <c r="E170" s="97"/>
      <c r="F170" s="97"/>
      <c r="G170" s="96"/>
      <c r="H170" s="96"/>
      <c r="I170" s="96"/>
    </row>
    <row r="171" spans="1:9" x14ac:dyDescent="0.25">
      <c r="A171" s="131"/>
      <c r="B171" s="96"/>
      <c r="C171" s="96"/>
      <c r="D171" s="97"/>
      <c r="E171" s="97"/>
      <c r="F171" s="97"/>
      <c r="G171" s="96"/>
      <c r="H171" s="96"/>
      <c r="I171" s="96"/>
    </row>
    <row r="172" spans="1:9" x14ac:dyDescent="0.25">
      <c r="A172" s="131"/>
      <c r="B172" s="96"/>
      <c r="C172" s="96"/>
      <c r="D172" s="97"/>
      <c r="E172" s="97"/>
      <c r="F172" s="97"/>
      <c r="G172" s="96"/>
      <c r="H172" s="96"/>
      <c r="I172" s="96"/>
    </row>
    <row r="173" spans="1:9" x14ac:dyDescent="0.25">
      <c r="A173" s="131"/>
      <c r="B173" s="96"/>
      <c r="C173" s="96"/>
      <c r="D173" s="97"/>
      <c r="E173" s="97"/>
      <c r="F173" s="97"/>
      <c r="G173" s="96"/>
      <c r="H173" s="96"/>
      <c r="I173" s="96"/>
    </row>
    <row r="174" spans="1:9" x14ac:dyDescent="0.25">
      <c r="A174" s="131"/>
      <c r="B174" s="96"/>
      <c r="C174" s="96"/>
      <c r="D174" s="97"/>
      <c r="E174" s="97"/>
      <c r="F174" s="97"/>
      <c r="G174" s="96"/>
      <c r="H174" s="96"/>
      <c r="I174" s="96"/>
    </row>
    <row r="175" spans="1:9" x14ac:dyDescent="0.25">
      <c r="A175" s="131"/>
      <c r="B175" s="96"/>
      <c r="C175" s="96"/>
      <c r="D175" s="97"/>
      <c r="E175" s="97"/>
      <c r="F175" s="97"/>
      <c r="G175" s="96"/>
      <c r="H175" s="96"/>
      <c r="I175" s="96"/>
    </row>
    <row r="176" spans="1:9" x14ac:dyDescent="0.25">
      <c r="A176" s="131"/>
      <c r="B176" s="96"/>
      <c r="C176" s="96"/>
      <c r="D176" s="97"/>
      <c r="E176" s="97"/>
      <c r="F176" s="97"/>
      <c r="G176" s="96"/>
      <c r="H176" s="96"/>
      <c r="I176" s="96"/>
    </row>
    <row r="177" spans="1:9" x14ac:dyDescent="0.25">
      <c r="A177" s="131"/>
      <c r="B177" s="96"/>
      <c r="C177" s="96"/>
      <c r="D177" s="97"/>
      <c r="E177" s="97"/>
      <c r="F177" s="97"/>
      <c r="G177" s="96"/>
      <c r="H177" s="96"/>
      <c r="I177" s="96"/>
    </row>
    <row r="178" spans="1:9" x14ac:dyDescent="0.25">
      <c r="A178" s="131"/>
      <c r="B178" s="96"/>
      <c r="C178" s="96"/>
      <c r="D178" s="97"/>
      <c r="E178" s="97"/>
      <c r="F178" s="97"/>
      <c r="G178" s="96"/>
      <c r="H178" s="96"/>
      <c r="I178" s="96"/>
    </row>
    <row r="179" spans="1:9" x14ac:dyDescent="0.25">
      <c r="A179" s="131"/>
      <c r="B179" s="96"/>
      <c r="C179" s="96"/>
      <c r="D179" s="97"/>
      <c r="E179" s="97"/>
      <c r="F179" s="97"/>
      <c r="G179" s="96"/>
      <c r="H179" s="96"/>
      <c r="I179" s="96"/>
    </row>
    <row r="180" spans="1:9" x14ac:dyDescent="0.25">
      <c r="A180" s="131"/>
      <c r="B180" s="96"/>
      <c r="C180" s="96"/>
      <c r="D180" s="97"/>
      <c r="E180" s="97"/>
      <c r="F180" s="97"/>
      <c r="G180" s="96"/>
      <c r="H180" s="96"/>
      <c r="I180" s="96"/>
    </row>
    <row r="181" spans="1:9" x14ac:dyDescent="0.25">
      <c r="A181" s="131"/>
      <c r="B181" s="96" t="s">
        <v>9</v>
      </c>
      <c r="C181" s="96"/>
      <c r="D181" s="97"/>
      <c r="E181" s="97"/>
      <c r="F181" s="97"/>
      <c r="G181" s="96"/>
      <c r="H181" s="96"/>
      <c r="I181" s="96"/>
    </row>
    <row r="182" spans="1:9" x14ac:dyDescent="0.25">
      <c r="A182" s="131"/>
      <c r="B182" s="96"/>
      <c r="C182" s="96"/>
      <c r="D182" s="97"/>
      <c r="E182" s="97"/>
      <c r="F182" s="97"/>
      <c r="G182" s="96"/>
      <c r="H182" s="96"/>
      <c r="I182" s="96"/>
    </row>
    <row r="183" spans="1:9" x14ac:dyDescent="0.25">
      <c r="A183" s="131"/>
      <c r="B183" s="96"/>
      <c r="C183" s="96"/>
      <c r="D183" s="96"/>
      <c r="E183" s="96"/>
      <c r="F183" s="96"/>
      <c r="G183" s="96"/>
      <c r="H183" s="96"/>
      <c r="I183" s="96"/>
    </row>
    <row r="184" spans="1:9" x14ac:dyDescent="0.25">
      <c r="A184" s="131"/>
      <c r="B184" s="96"/>
      <c r="C184" s="96"/>
      <c r="D184" s="96"/>
      <c r="E184" s="96"/>
      <c r="F184" s="96"/>
      <c r="G184" s="96"/>
      <c r="H184" s="96"/>
      <c r="I184" s="96"/>
    </row>
    <row r="185" spans="1:9" x14ac:dyDescent="0.25">
      <c r="A185" s="131"/>
      <c r="B185" s="96"/>
      <c r="C185" s="96"/>
      <c r="D185" s="96"/>
      <c r="E185" s="96"/>
      <c r="F185" s="96"/>
      <c r="G185" s="96"/>
      <c r="H185" s="96"/>
      <c r="I185" s="96"/>
    </row>
    <row r="186" spans="1:9" x14ac:dyDescent="0.25">
      <c r="A186" s="131"/>
      <c r="B186" s="96"/>
      <c r="C186" s="96"/>
      <c r="D186" s="96"/>
      <c r="E186" s="96"/>
      <c r="F186" s="96"/>
      <c r="G186" s="96"/>
      <c r="H186" s="96"/>
      <c r="I186" s="96"/>
    </row>
    <row r="187" spans="1:9" x14ac:dyDescent="0.25">
      <c r="A187" s="131"/>
      <c r="B187" s="96"/>
      <c r="C187" s="96"/>
      <c r="D187" s="96"/>
      <c r="E187" s="96"/>
      <c r="F187" s="96"/>
      <c r="G187" s="96"/>
      <c r="H187" s="96"/>
      <c r="I187" s="96"/>
    </row>
    <row r="188" spans="1:9" x14ac:dyDescent="0.25">
      <c r="A188" s="131"/>
      <c r="B188" s="96"/>
      <c r="C188" s="96"/>
      <c r="D188" s="96"/>
      <c r="E188" s="96"/>
      <c r="F188" s="96"/>
      <c r="G188" s="96"/>
      <c r="H188" s="96"/>
      <c r="I188" s="96"/>
    </row>
    <row r="189" spans="1:9" x14ac:dyDescent="0.25">
      <c r="A189" s="131"/>
      <c r="B189" s="96"/>
      <c r="C189" s="96"/>
      <c r="D189" s="96"/>
      <c r="E189" s="96"/>
      <c r="F189" s="96"/>
      <c r="G189" s="96"/>
      <c r="H189" s="96"/>
      <c r="I189" s="96"/>
    </row>
    <row r="190" spans="1:9" x14ac:dyDescent="0.25">
      <c r="A190" s="131"/>
      <c r="B190" s="96"/>
      <c r="C190" s="96"/>
      <c r="D190" s="96"/>
      <c r="E190" s="96"/>
      <c r="F190" s="96"/>
      <c r="G190" s="96"/>
      <c r="H190" s="96"/>
      <c r="I190" s="96"/>
    </row>
    <row r="191" spans="1:9" x14ac:dyDescent="0.25">
      <c r="A191" s="131"/>
      <c r="B191" s="96"/>
      <c r="C191" s="96"/>
      <c r="D191" s="96"/>
      <c r="E191" s="96"/>
      <c r="F191" s="96"/>
      <c r="G191" s="96"/>
      <c r="H191" s="96"/>
      <c r="I191" s="96"/>
    </row>
    <row r="192" spans="1:9" x14ac:dyDescent="0.25">
      <c r="A192" s="131"/>
      <c r="B192" s="96"/>
      <c r="C192" s="96"/>
      <c r="D192" s="96"/>
      <c r="E192" s="96"/>
      <c r="F192" s="96"/>
      <c r="G192" s="96"/>
      <c r="H192" s="96"/>
      <c r="I192" s="96"/>
    </row>
    <row r="193" spans="1:9" x14ac:dyDescent="0.25">
      <c r="A193" s="131"/>
      <c r="B193" s="96"/>
      <c r="C193" s="96"/>
      <c r="D193" s="96"/>
      <c r="E193" s="96"/>
      <c r="F193" s="96"/>
      <c r="G193" s="96"/>
      <c r="H193" s="96"/>
      <c r="I193" s="96"/>
    </row>
    <row r="194" spans="1:9" x14ac:dyDescent="0.25">
      <c r="A194" s="131"/>
      <c r="B194" s="96"/>
      <c r="C194" s="96"/>
      <c r="D194" s="96"/>
      <c r="E194" s="96"/>
      <c r="F194" s="96"/>
      <c r="G194" s="96"/>
      <c r="H194" s="96"/>
      <c r="I194" s="96"/>
    </row>
    <row r="195" spans="1:9" x14ac:dyDescent="0.25">
      <c r="A195" s="131"/>
      <c r="B195" s="96"/>
      <c r="C195" s="96"/>
      <c r="D195" s="96"/>
      <c r="E195" s="96"/>
      <c r="F195" s="96"/>
      <c r="G195" s="96"/>
      <c r="H195" s="96"/>
      <c r="I195" s="96"/>
    </row>
    <row r="196" spans="1:9" x14ac:dyDescent="0.25">
      <c r="A196" s="131"/>
      <c r="B196" s="96"/>
      <c r="C196" s="96"/>
      <c r="D196" s="96"/>
      <c r="E196" s="96"/>
      <c r="F196" s="96"/>
      <c r="G196" s="96"/>
      <c r="H196" s="96"/>
      <c r="I196" s="96"/>
    </row>
    <row r="197" spans="1:9" x14ac:dyDescent="0.25">
      <c r="A197" s="131"/>
      <c r="B197" s="96"/>
      <c r="C197" s="96"/>
      <c r="D197" s="96"/>
      <c r="E197" s="96"/>
      <c r="F197" s="96"/>
      <c r="G197" s="96"/>
      <c r="H197" s="96"/>
      <c r="I197" s="96"/>
    </row>
    <row r="198" spans="1:9" x14ac:dyDescent="0.25">
      <c r="A198" s="131"/>
      <c r="B198" s="96"/>
      <c r="C198" s="96"/>
      <c r="D198" s="96"/>
      <c r="E198" s="96"/>
      <c r="F198" s="96"/>
      <c r="G198" s="96"/>
      <c r="H198" s="96"/>
      <c r="I198" s="96"/>
    </row>
    <row r="199" spans="1:9" x14ac:dyDescent="0.25">
      <c r="A199" s="131"/>
      <c r="B199" s="96"/>
      <c r="C199" s="96"/>
      <c r="D199" s="96"/>
      <c r="E199" s="96"/>
      <c r="F199" s="96"/>
      <c r="G199" s="96"/>
      <c r="H199" s="96"/>
      <c r="I199" s="96"/>
    </row>
    <row r="200" spans="1:9" x14ac:dyDescent="0.25">
      <c r="A200" s="131"/>
      <c r="B200" s="96"/>
      <c r="C200" s="96"/>
      <c r="D200" s="96"/>
      <c r="E200" s="96"/>
      <c r="F200" s="96"/>
      <c r="G200" s="96"/>
      <c r="H200" s="96"/>
      <c r="I200" s="96"/>
    </row>
    <row r="201" spans="1:9" x14ac:dyDescent="0.25">
      <c r="A201" s="131"/>
      <c r="B201" s="96"/>
      <c r="C201" s="96"/>
      <c r="D201" s="96"/>
      <c r="E201" s="96"/>
      <c r="F201" s="96"/>
      <c r="G201" s="96"/>
      <c r="H201" s="96"/>
      <c r="I201" s="96"/>
    </row>
    <row r="202" spans="1:9" x14ac:dyDescent="0.25">
      <c r="A202" s="131"/>
      <c r="B202" s="96"/>
      <c r="C202" s="96"/>
      <c r="D202" s="96"/>
      <c r="E202" s="96"/>
      <c r="F202" s="96"/>
      <c r="G202" s="96"/>
      <c r="H202" s="96"/>
      <c r="I202" s="96"/>
    </row>
    <row r="203" spans="1:9" x14ac:dyDescent="0.25">
      <c r="A203" s="131"/>
      <c r="B203" s="96"/>
      <c r="C203" s="96"/>
      <c r="D203" s="96"/>
      <c r="E203" s="96"/>
      <c r="F203" s="96"/>
      <c r="G203" s="96"/>
      <c r="H203" s="96"/>
      <c r="I203" s="96"/>
    </row>
    <row r="204" spans="1:9" x14ac:dyDescent="0.25">
      <c r="A204" s="131"/>
      <c r="B204" s="96"/>
      <c r="C204" s="96"/>
      <c r="D204" s="96"/>
      <c r="E204" s="96"/>
      <c r="F204" s="96"/>
      <c r="G204" s="96"/>
      <c r="H204" s="96"/>
      <c r="I204" s="96"/>
    </row>
    <row r="205" spans="1:9" x14ac:dyDescent="0.25">
      <c r="A205" s="131"/>
      <c r="B205" s="96"/>
      <c r="C205" s="96"/>
      <c r="D205" s="96"/>
      <c r="E205" s="96"/>
      <c r="F205" s="96"/>
      <c r="G205" s="96"/>
      <c r="H205" s="96"/>
      <c r="I205" s="96"/>
    </row>
    <row r="206" spans="1:9" x14ac:dyDescent="0.25">
      <c r="A206" s="131"/>
      <c r="B206" s="96"/>
      <c r="C206" s="96"/>
      <c r="D206" s="96"/>
      <c r="E206" s="96"/>
      <c r="F206" s="96"/>
      <c r="G206" s="96"/>
      <c r="H206" s="96"/>
      <c r="I206" s="96"/>
    </row>
    <row r="207" spans="1:9" x14ac:dyDescent="0.25">
      <c r="A207" s="131"/>
      <c r="B207" s="96"/>
      <c r="C207" s="96"/>
      <c r="D207" s="96"/>
      <c r="E207" s="96"/>
      <c r="F207" s="96"/>
      <c r="G207" s="96"/>
      <c r="H207" s="96"/>
      <c r="I207" s="96"/>
    </row>
    <row r="208" spans="1:9" x14ac:dyDescent="0.25">
      <c r="A208" s="131"/>
      <c r="B208" s="96"/>
      <c r="C208" s="96"/>
      <c r="D208" s="96"/>
      <c r="E208" s="96"/>
      <c r="F208" s="96"/>
      <c r="G208" s="96"/>
      <c r="H208" s="96"/>
      <c r="I208" s="96"/>
    </row>
    <row r="209" spans="1:9" x14ac:dyDescent="0.25">
      <c r="A209" s="131"/>
      <c r="B209" s="96"/>
      <c r="C209" s="96"/>
      <c r="D209" s="96"/>
      <c r="E209" s="96"/>
      <c r="F209" s="96"/>
      <c r="G209" s="96"/>
      <c r="H209" s="96"/>
      <c r="I209" s="96"/>
    </row>
    <row r="210" spans="1:9" x14ac:dyDescent="0.25">
      <c r="A210" s="131"/>
      <c r="B210" s="96"/>
      <c r="C210" s="96"/>
      <c r="D210" s="96"/>
      <c r="E210" s="96"/>
      <c r="F210" s="96"/>
      <c r="G210" s="96"/>
      <c r="H210" s="96"/>
      <c r="I210" s="96"/>
    </row>
    <row r="211" spans="1:9" x14ac:dyDescent="0.25">
      <c r="A211" s="131"/>
      <c r="B211" s="96"/>
      <c r="C211" s="96"/>
      <c r="D211" s="96"/>
      <c r="E211" s="96"/>
      <c r="F211" s="96"/>
      <c r="G211" s="96"/>
      <c r="H211" s="96"/>
      <c r="I211" s="96"/>
    </row>
    <row r="212" spans="1:9" x14ac:dyDescent="0.25">
      <c r="A212" s="131"/>
      <c r="B212" s="96"/>
      <c r="C212" s="96"/>
      <c r="D212" s="96"/>
      <c r="E212" s="96"/>
      <c r="F212" s="96"/>
      <c r="G212" s="96"/>
      <c r="H212" s="96"/>
      <c r="I212" s="96"/>
    </row>
    <row r="213" spans="1:9" x14ac:dyDescent="0.25">
      <c r="A213" s="131"/>
      <c r="B213" s="96"/>
      <c r="C213" s="96"/>
      <c r="D213" s="96"/>
      <c r="E213" s="96"/>
      <c r="F213" s="96"/>
      <c r="G213" s="96"/>
      <c r="H213" s="96"/>
      <c r="I213" s="96"/>
    </row>
    <row r="214" spans="1:9" x14ac:dyDescent="0.25">
      <c r="A214" s="131"/>
      <c r="B214" s="96"/>
      <c r="C214" s="96"/>
      <c r="D214" s="96"/>
      <c r="E214" s="96"/>
      <c r="F214" s="96"/>
      <c r="G214" s="96"/>
      <c r="H214" s="96"/>
      <c r="I214" s="96"/>
    </row>
    <row r="215" spans="1:9" x14ac:dyDescent="0.25">
      <c r="A215" s="131"/>
      <c r="B215" s="96"/>
      <c r="C215" s="96"/>
      <c r="D215" s="96"/>
      <c r="E215" s="96"/>
      <c r="F215" s="96"/>
      <c r="G215" s="96"/>
      <c r="H215" s="96"/>
      <c r="I215" s="96"/>
    </row>
    <row r="216" spans="1:9" x14ac:dyDescent="0.25">
      <c r="A216" s="131"/>
      <c r="B216" s="96"/>
      <c r="C216" s="96"/>
      <c r="D216" s="96"/>
      <c r="E216" s="96"/>
      <c r="F216" s="96"/>
      <c r="G216" s="96"/>
      <c r="H216" s="96"/>
      <c r="I216" s="96"/>
    </row>
    <row r="217" spans="1:9" x14ac:dyDescent="0.25">
      <c r="A217" s="131"/>
      <c r="B217" s="96"/>
      <c r="C217" s="96"/>
      <c r="D217" s="96"/>
      <c r="E217" s="96"/>
      <c r="F217" s="96"/>
      <c r="G217" s="96"/>
      <c r="H217" s="96"/>
      <c r="I217" s="96"/>
    </row>
    <row r="218" spans="1:9" x14ac:dyDescent="0.25">
      <c r="A218" s="131"/>
      <c r="B218" s="96"/>
      <c r="C218" s="96"/>
      <c r="D218" s="96"/>
      <c r="E218" s="96"/>
      <c r="F218" s="96"/>
      <c r="G218" s="96"/>
      <c r="H218" s="96"/>
      <c r="I218" s="96"/>
    </row>
    <row r="219" spans="1:9" x14ac:dyDescent="0.25">
      <c r="A219" s="131"/>
      <c r="B219" s="96"/>
      <c r="C219" s="96"/>
      <c r="D219" s="96"/>
      <c r="E219" s="96"/>
      <c r="F219" s="96"/>
      <c r="G219" s="96"/>
      <c r="H219" s="96"/>
      <c r="I219" s="96"/>
    </row>
    <row r="220" spans="1:9" x14ac:dyDescent="0.25">
      <c r="A220" s="131"/>
      <c r="B220" s="96"/>
      <c r="C220" s="96"/>
      <c r="D220" s="96"/>
      <c r="E220" s="96"/>
      <c r="F220" s="96"/>
      <c r="G220" s="96"/>
      <c r="H220" s="96"/>
      <c r="I220" s="96"/>
    </row>
    <row r="221" spans="1:9" x14ac:dyDescent="0.25">
      <c r="A221" s="131"/>
      <c r="B221" s="96"/>
      <c r="C221" s="96"/>
      <c r="D221" s="96"/>
      <c r="E221" s="96"/>
      <c r="F221" s="96"/>
      <c r="G221" s="96"/>
      <c r="H221" s="96"/>
      <c r="I221" s="96"/>
    </row>
    <row r="222" spans="1:9" x14ac:dyDescent="0.25">
      <c r="A222" s="131"/>
      <c r="B222" s="96"/>
      <c r="C222" s="96"/>
      <c r="D222" s="96"/>
      <c r="E222" s="96"/>
      <c r="F222" s="96"/>
      <c r="G222" s="96"/>
      <c r="H222" s="96"/>
      <c r="I222" s="96"/>
    </row>
    <row r="223" spans="1:9" x14ac:dyDescent="0.25">
      <c r="A223" s="131"/>
      <c r="B223" s="96"/>
      <c r="C223" s="96"/>
      <c r="D223" s="96"/>
      <c r="E223" s="96"/>
      <c r="F223" s="96"/>
      <c r="G223" s="96"/>
      <c r="H223" s="96"/>
      <c r="I223" s="96"/>
    </row>
    <row r="224" spans="1:9" x14ac:dyDescent="0.25">
      <c r="A224" s="131"/>
      <c r="B224" s="96"/>
      <c r="C224" s="96"/>
      <c r="D224" s="96"/>
      <c r="E224" s="96"/>
      <c r="F224" s="96"/>
      <c r="G224" s="96"/>
      <c r="H224" s="96"/>
      <c r="I224" s="96"/>
    </row>
    <row r="225" spans="1:9" x14ac:dyDescent="0.25">
      <c r="A225" s="131"/>
      <c r="B225" s="96"/>
      <c r="C225" s="96"/>
      <c r="D225" s="96"/>
      <c r="E225" s="96"/>
      <c r="F225" s="96"/>
      <c r="G225" s="96"/>
      <c r="H225" s="96"/>
      <c r="I225" s="96"/>
    </row>
    <row r="226" spans="1:9" x14ac:dyDescent="0.25">
      <c r="A226" s="131"/>
      <c r="B226" s="96"/>
      <c r="C226" s="96"/>
      <c r="D226" s="96"/>
      <c r="E226" s="96"/>
      <c r="F226" s="96"/>
      <c r="G226" s="96"/>
      <c r="H226" s="96"/>
      <c r="I226" s="96"/>
    </row>
    <row r="227" spans="1:9" x14ac:dyDescent="0.25">
      <c r="A227" s="131"/>
      <c r="B227" s="96"/>
      <c r="C227" s="96"/>
      <c r="D227" s="96"/>
      <c r="E227" s="96"/>
      <c r="F227" s="96"/>
      <c r="G227" s="96"/>
      <c r="H227" s="96"/>
      <c r="I227" s="96"/>
    </row>
    <row r="228" spans="1:9" x14ac:dyDescent="0.25">
      <c r="A228" s="131"/>
      <c r="B228" s="96"/>
      <c r="C228" s="96"/>
      <c r="D228" s="96"/>
      <c r="E228" s="96"/>
      <c r="F228" s="96"/>
      <c r="G228" s="96"/>
      <c r="H228" s="96"/>
      <c r="I228" s="96"/>
    </row>
    <row r="229" spans="1:9" x14ac:dyDescent="0.25">
      <c r="A229" s="131"/>
      <c r="B229" s="96"/>
      <c r="C229" s="96"/>
      <c r="D229" s="96"/>
      <c r="E229" s="96"/>
      <c r="F229" s="96"/>
      <c r="G229" s="96"/>
      <c r="H229" s="96"/>
      <c r="I229" s="96"/>
    </row>
    <row r="230" spans="1:9" x14ac:dyDescent="0.25">
      <c r="A230" s="131"/>
      <c r="B230" s="96"/>
      <c r="C230" s="96"/>
      <c r="D230" s="96"/>
      <c r="E230" s="96"/>
      <c r="F230" s="96"/>
      <c r="G230" s="96"/>
      <c r="H230" s="96"/>
      <c r="I230" s="96"/>
    </row>
    <row r="231" spans="1:9" x14ac:dyDescent="0.25">
      <c r="A231" s="131"/>
      <c r="B231" s="96"/>
      <c r="C231" s="96"/>
      <c r="D231" s="96"/>
      <c r="E231" s="96"/>
      <c r="F231" s="96"/>
      <c r="G231" s="96"/>
      <c r="H231" s="96"/>
      <c r="I231" s="96"/>
    </row>
    <row r="232" spans="1:9" x14ac:dyDescent="0.25">
      <c r="A232" s="131"/>
      <c r="B232" s="96"/>
      <c r="C232" s="96"/>
      <c r="D232" s="96"/>
      <c r="E232" s="96"/>
      <c r="F232" s="96"/>
      <c r="G232" s="96"/>
      <c r="H232" s="96"/>
      <c r="I232" s="96"/>
    </row>
    <row r="233" spans="1:9" x14ac:dyDescent="0.25">
      <c r="A233" s="131"/>
      <c r="B233" s="96"/>
      <c r="C233" s="96"/>
      <c r="D233" s="96"/>
      <c r="E233" s="96"/>
      <c r="F233" s="96"/>
      <c r="G233" s="96"/>
      <c r="H233" s="96"/>
      <c r="I233" s="96"/>
    </row>
    <row r="234" spans="1:9" x14ac:dyDescent="0.25">
      <c r="A234" s="131"/>
      <c r="B234" s="96"/>
      <c r="C234" s="96"/>
      <c r="D234" s="96"/>
      <c r="E234" s="96"/>
      <c r="F234" s="96"/>
      <c r="G234" s="96"/>
      <c r="H234" s="96"/>
      <c r="I234" s="96"/>
    </row>
    <row r="235" spans="1:9" x14ac:dyDescent="0.25">
      <c r="A235" s="131"/>
      <c r="B235" s="96"/>
      <c r="C235" s="96"/>
      <c r="D235" s="96"/>
      <c r="E235" s="96"/>
      <c r="F235" s="96"/>
      <c r="G235" s="96"/>
      <c r="H235" s="96"/>
      <c r="I235" s="96"/>
    </row>
    <row r="236" spans="1:9" x14ac:dyDescent="0.25">
      <c r="A236" s="131"/>
      <c r="B236" s="96"/>
      <c r="C236" s="96"/>
      <c r="D236" s="96"/>
      <c r="E236" s="96"/>
      <c r="F236" s="96"/>
      <c r="G236" s="96"/>
      <c r="H236" s="96"/>
      <c r="I236" s="96"/>
    </row>
    <row r="237" spans="1:9" x14ac:dyDescent="0.25">
      <c r="A237" s="131"/>
      <c r="B237" s="96"/>
      <c r="C237" s="96"/>
      <c r="D237" s="96"/>
      <c r="E237" s="96"/>
      <c r="F237" s="96"/>
      <c r="G237" s="96"/>
      <c r="H237" s="96"/>
      <c r="I237" s="96"/>
    </row>
    <row r="238" spans="1:9" x14ac:dyDescent="0.25">
      <c r="A238" s="131"/>
      <c r="B238" s="96"/>
      <c r="C238" s="96"/>
      <c r="D238" s="96"/>
      <c r="E238" s="96"/>
      <c r="F238" s="96"/>
      <c r="G238" s="96"/>
      <c r="H238" s="96"/>
      <c r="I238" s="96"/>
    </row>
    <row r="239" spans="1:9" x14ac:dyDescent="0.25">
      <c r="A239" s="131"/>
      <c r="B239" s="96"/>
      <c r="C239" s="96"/>
      <c r="D239" s="96"/>
      <c r="E239" s="96"/>
      <c r="F239" s="96"/>
      <c r="G239" s="96"/>
      <c r="H239" s="96"/>
      <c r="I239" s="96"/>
    </row>
    <row r="240" spans="1:9" x14ac:dyDescent="0.25">
      <c r="A240" s="131"/>
      <c r="B240" s="96"/>
      <c r="C240" s="96"/>
      <c r="D240" s="96"/>
      <c r="E240" s="96"/>
      <c r="F240" s="96"/>
      <c r="G240" s="96"/>
      <c r="H240" s="96"/>
      <c r="I240" s="96"/>
    </row>
    <row r="241" spans="1:9" x14ac:dyDescent="0.25">
      <c r="A241" s="131"/>
      <c r="B241" s="96"/>
      <c r="C241" s="96"/>
      <c r="D241" s="96"/>
      <c r="E241" s="96"/>
      <c r="F241" s="96"/>
      <c r="G241" s="96"/>
      <c r="H241" s="96"/>
      <c r="I241" s="96"/>
    </row>
    <row r="242" spans="1:9" x14ac:dyDescent="0.25">
      <c r="A242" s="131"/>
      <c r="B242" s="96"/>
      <c r="C242" s="96"/>
      <c r="D242" s="96"/>
      <c r="E242" s="96"/>
      <c r="F242" s="96"/>
      <c r="G242" s="96"/>
      <c r="H242" s="96"/>
      <c r="I242" s="96"/>
    </row>
    <row r="243" spans="1:9" x14ac:dyDescent="0.25">
      <c r="A243" s="131"/>
      <c r="B243" s="96"/>
      <c r="C243" s="96"/>
      <c r="D243" s="96"/>
      <c r="E243" s="96"/>
      <c r="F243" s="96"/>
      <c r="G243" s="96"/>
      <c r="H243" s="96"/>
      <c r="I243" s="96"/>
    </row>
    <row r="244" spans="1:9" x14ac:dyDescent="0.25">
      <c r="A244" s="131"/>
      <c r="B244" s="96"/>
      <c r="C244" s="96"/>
      <c r="D244" s="96"/>
      <c r="E244" s="96"/>
      <c r="F244" s="96"/>
      <c r="G244" s="96"/>
      <c r="H244" s="96"/>
      <c r="I244" s="96"/>
    </row>
    <row r="245" spans="1:9" x14ac:dyDescent="0.25">
      <c r="A245" s="131"/>
      <c r="B245" s="96"/>
      <c r="C245" s="96"/>
      <c r="D245" s="96"/>
      <c r="E245" s="96"/>
      <c r="F245" s="96"/>
      <c r="G245" s="96"/>
      <c r="H245" s="96"/>
      <c r="I245" s="96"/>
    </row>
    <row r="246" spans="1:9" x14ac:dyDescent="0.25">
      <c r="A246" s="131"/>
      <c r="B246" s="96"/>
      <c r="C246" s="96"/>
      <c r="D246" s="96"/>
      <c r="E246" s="96"/>
      <c r="F246" s="96"/>
      <c r="G246" s="96"/>
      <c r="H246" s="96"/>
      <c r="I246" s="96"/>
    </row>
    <row r="247" spans="1:9" x14ac:dyDescent="0.25">
      <c r="A247" s="131"/>
      <c r="B247" s="96"/>
      <c r="C247" s="96"/>
      <c r="D247" s="96"/>
      <c r="E247" s="96"/>
      <c r="F247" s="96"/>
      <c r="G247" s="96"/>
      <c r="H247" s="96"/>
      <c r="I247" s="96"/>
    </row>
    <row r="248" spans="1:9" x14ac:dyDescent="0.25">
      <c r="A248" s="131"/>
      <c r="B248" s="96"/>
      <c r="C248" s="96"/>
      <c r="D248" s="96"/>
      <c r="E248" s="96"/>
      <c r="F248" s="96"/>
      <c r="G248" s="96"/>
      <c r="H248" s="96"/>
      <c r="I248" s="96"/>
    </row>
    <row r="249" spans="1:9" x14ac:dyDescent="0.25">
      <c r="A249" s="131"/>
      <c r="B249" s="96"/>
      <c r="C249" s="96"/>
      <c r="D249" s="96"/>
      <c r="E249" s="96"/>
      <c r="F249" s="96"/>
      <c r="G249" s="96"/>
      <c r="H249" s="96"/>
      <c r="I249" s="96"/>
    </row>
    <row r="250" spans="1:9" x14ac:dyDescent="0.25">
      <c r="A250" s="131"/>
      <c r="B250" s="96"/>
      <c r="C250" s="96"/>
      <c r="D250" s="96"/>
      <c r="E250" s="96"/>
      <c r="F250" s="96"/>
      <c r="G250" s="96"/>
      <c r="H250" s="96"/>
      <c r="I250" s="96"/>
    </row>
    <row r="251" spans="1:9" x14ac:dyDescent="0.25">
      <c r="A251" s="131"/>
      <c r="B251" s="96"/>
      <c r="C251" s="96"/>
      <c r="D251" s="96"/>
      <c r="E251" s="96"/>
      <c r="F251" s="96"/>
      <c r="G251" s="96"/>
      <c r="H251" s="96"/>
      <c r="I251" s="96"/>
    </row>
    <row r="252" spans="1:9" x14ac:dyDescent="0.25">
      <c r="A252" s="131"/>
      <c r="B252" s="96"/>
      <c r="C252" s="96"/>
      <c r="D252" s="96"/>
      <c r="E252" s="96"/>
      <c r="F252" s="96"/>
      <c r="G252" s="96"/>
      <c r="H252" s="96"/>
      <c r="I252" s="96"/>
    </row>
    <row r="253" spans="1:9" x14ac:dyDescent="0.25">
      <c r="A253" s="131"/>
      <c r="B253" s="96"/>
      <c r="C253" s="96"/>
      <c r="D253" s="96"/>
      <c r="E253" s="96"/>
      <c r="F253" s="96"/>
      <c r="G253" s="96"/>
      <c r="H253" s="96"/>
      <c r="I253" s="96"/>
    </row>
    <row r="254" spans="1:9" x14ac:dyDescent="0.25">
      <c r="A254" s="131"/>
      <c r="B254" s="96"/>
      <c r="C254" s="96"/>
      <c r="D254" s="96"/>
      <c r="E254" s="96"/>
      <c r="F254" s="96"/>
      <c r="G254" s="96"/>
      <c r="H254" s="96"/>
      <c r="I254" s="96"/>
    </row>
    <row r="255" spans="1:9" x14ac:dyDescent="0.25">
      <c r="A255" s="131"/>
      <c r="B255" s="96"/>
      <c r="C255" s="96"/>
      <c r="D255" s="96"/>
      <c r="E255" s="96"/>
      <c r="F255" s="96"/>
      <c r="G255" s="96"/>
      <c r="H255" s="96"/>
      <c r="I255" s="96"/>
    </row>
    <row r="256" spans="1:9" x14ac:dyDescent="0.25">
      <c r="A256" s="131"/>
      <c r="B256" s="96"/>
      <c r="C256" s="96"/>
      <c r="D256" s="96"/>
      <c r="E256" s="96"/>
      <c r="F256" s="96"/>
      <c r="G256" s="96"/>
      <c r="H256" s="96"/>
      <c r="I256" s="96"/>
    </row>
    <row r="257" spans="1:9" x14ac:dyDescent="0.25">
      <c r="A257" s="131"/>
      <c r="B257" s="96"/>
      <c r="C257" s="96"/>
      <c r="D257" s="96"/>
      <c r="E257" s="96"/>
      <c r="F257" s="96"/>
      <c r="G257" s="96"/>
      <c r="H257" s="96"/>
      <c r="I257" s="96"/>
    </row>
    <row r="258" spans="1:9" x14ac:dyDescent="0.25">
      <c r="A258" s="131"/>
      <c r="B258" s="96"/>
      <c r="C258" s="96"/>
      <c r="D258" s="96"/>
      <c r="E258" s="96"/>
      <c r="F258" s="96"/>
      <c r="G258" s="96"/>
      <c r="H258" s="96"/>
      <c r="I258" s="96"/>
    </row>
    <row r="259" spans="1:9" x14ac:dyDescent="0.25">
      <c r="A259" s="131"/>
      <c r="B259" s="96"/>
      <c r="C259" s="96"/>
      <c r="D259" s="96"/>
      <c r="E259" s="96"/>
      <c r="F259" s="96"/>
      <c r="G259" s="96"/>
      <c r="H259" s="96"/>
      <c r="I259" s="96"/>
    </row>
    <row r="260" spans="1:9" x14ac:dyDescent="0.25">
      <c r="A260" s="131"/>
      <c r="B260" s="96"/>
      <c r="C260" s="96"/>
      <c r="D260" s="96"/>
      <c r="E260" s="96"/>
      <c r="F260" s="96"/>
      <c r="G260" s="96"/>
      <c r="H260" s="96"/>
      <c r="I260" s="96"/>
    </row>
    <row r="261" spans="1:9" x14ac:dyDescent="0.25">
      <c r="A261" s="131"/>
      <c r="B261" s="96"/>
      <c r="C261" s="96"/>
      <c r="D261" s="96"/>
      <c r="E261" s="96"/>
      <c r="F261" s="96"/>
      <c r="G261" s="96"/>
      <c r="H261" s="96"/>
      <c r="I261" s="96"/>
    </row>
    <row r="262" spans="1:9" x14ac:dyDescent="0.25">
      <c r="A262" s="131"/>
      <c r="B262" s="96"/>
      <c r="C262" s="96"/>
      <c r="D262" s="96"/>
      <c r="E262" s="96"/>
      <c r="F262" s="96"/>
      <c r="G262" s="96"/>
      <c r="H262" s="96"/>
      <c r="I262" s="96"/>
    </row>
    <row r="263" spans="1:9" x14ac:dyDescent="0.25">
      <c r="A263" s="131"/>
      <c r="B263" s="96"/>
      <c r="C263" s="96"/>
      <c r="D263" s="96"/>
      <c r="E263" s="96"/>
      <c r="F263" s="96"/>
      <c r="G263" s="96"/>
      <c r="H263" s="96"/>
      <c r="I263" s="96"/>
    </row>
    <row r="264" spans="1:9" x14ac:dyDescent="0.25">
      <c r="A264" s="131"/>
      <c r="B264" s="96"/>
      <c r="C264" s="96"/>
      <c r="D264" s="96"/>
      <c r="E264" s="96"/>
      <c r="F264" s="96"/>
      <c r="G264" s="96"/>
      <c r="H264" s="96"/>
      <c r="I264" s="96"/>
    </row>
    <row r="265" spans="1:9" x14ac:dyDescent="0.25">
      <c r="A265" s="131"/>
      <c r="B265" s="96"/>
      <c r="C265" s="96"/>
      <c r="D265" s="96"/>
      <c r="E265" s="96"/>
      <c r="F265" s="96"/>
      <c r="G265" s="96"/>
      <c r="H265" s="96"/>
      <c r="I265" s="96"/>
    </row>
    <row r="266" spans="1:9" x14ac:dyDescent="0.25">
      <c r="A266" s="131"/>
      <c r="B266" s="96"/>
      <c r="C266" s="96"/>
      <c r="D266" s="96"/>
      <c r="E266" s="96"/>
      <c r="F266" s="96"/>
      <c r="G266" s="96"/>
      <c r="H266" s="96"/>
      <c r="I266" s="96"/>
    </row>
    <row r="267" spans="1:9" x14ac:dyDescent="0.25">
      <c r="A267" s="131"/>
      <c r="B267" s="96"/>
      <c r="C267" s="96"/>
      <c r="D267" s="96"/>
      <c r="E267" s="96"/>
      <c r="F267" s="96"/>
      <c r="G267" s="96"/>
      <c r="H267" s="96"/>
      <c r="I267" s="96"/>
    </row>
    <row r="268" spans="1:9" x14ac:dyDescent="0.25">
      <c r="A268" s="131"/>
      <c r="B268" s="96"/>
      <c r="C268" s="96"/>
      <c r="D268" s="96"/>
      <c r="E268" s="96"/>
      <c r="F268" s="96"/>
      <c r="G268" s="96"/>
      <c r="H268" s="96"/>
      <c r="I268" s="96"/>
    </row>
    <row r="269" spans="1:9" x14ac:dyDescent="0.25">
      <c r="A269" s="131"/>
      <c r="B269" s="96"/>
      <c r="C269" s="96"/>
      <c r="D269" s="96"/>
      <c r="E269" s="96"/>
      <c r="F269" s="96"/>
      <c r="G269" s="96"/>
      <c r="H269" s="96"/>
      <c r="I269" s="96"/>
    </row>
    <row r="270" spans="1:9" x14ac:dyDescent="0.25">
      <c r="A270" s="131"/>
      <c r="B270" s="96"/>
      <c r="C270" s="96"/>
      <c r="D270" s="96"/>
      <c r="E270" s="96"/>
      <c r="F270" s="96"/>
      <c r="G270" s="96"/>
      <c r="H270" s="96"/>
      <c r="I270" s="96"/>
    </row>
    <row r="271" spans="1:9" x14ac:dyDescent="0.25">
      <c r="A271" s="131"/>
      <c r="B271" s="96"/>
      <c r="C271" s="96"/>
      <c r="D271" s="96"/>
      <c r="E271" s="96"/>
      <c r="F271" s="96"/>
      <c r="G271" s="96"/>
      <c r="H271" s="96"/>
      <c r="I271" s="96"/>
    </row>
    <row r="272" spans="1:9" x14ac:dyDescent="0.25">
      <c r="A272" s="131"/>
      <c r="B272" s="96"/>
      <c r="C272" s="96"/>
      <c r="D272" s="96"/>
      <c r="E272" s="96"/>
      <c r="F272" s="96"/>
      <c r="G272" s="96"/>
      <c r="H272" s="96"/>
      <c r="I272" s="96"/>
    </row>
    <row r="273" spans="1:9" x14ac:dyDescent="0.25">
      <c r="A273" s="131"/>
      <c r="B273" s="96"/>
      <c r="C273" s="96"/>
      <c r="D273" s="96"/>
      <c r="E273" s="96"/>
      <c r="F273" s="96"/>
      <c r="G273" s="96"/>
      <c r="H273" s="96"/>
      <c r="I273" s="96"/>
    </row>
    <row r="274" spans="1:9" x14ac:dyDescent="0.25">
      <c r="A274" s="131"/>
      <c r="B274" s="96"/>
      <c r="C274" s="96"/>
      <c r="D274" s="96"/>
      <c r="E274" s="96"/>
      <c r="F274" s="96"/>
      <c r="G274" s="96"/>
      <c r="H274" s="96"/>
      <c r="I274" s="96"/>
    </row>
    <row r="275" spans="1:9" x14ac:dyDescent="0.25">
      <c r="A275" s="131"/>
      <c r="B275" s="96"/>
      <c r="C275" s="96"/>
      <c r="D275" s="96"/>
      <c r="E275" s="96"/>
      <c r="F275" s="96"/>
      <c r="G275" s="96"/>
      <c r="H275" s="96"/>
      <c r="I275" s="96"/>
    </row>
    <row r="276" spans="1:9" x14ac:dyDescent="0.25">
      <c r="A276" s="131"/>
      <c r="B276" s="96"/>
      <c r="C276" s="96"/>
      <c r="D276" s="96"/>
      <c r="E276" s="96"/>
      <c r="F276" s="96"/>
      <c r="G276" s="96"/>
      <c r="H276" s="96"/>
      <c r="I276" s="96"/>
    </row>
    <row r="277" spans="1:9" x14ac:dyDescent="0.25">
      <c r="A277" s="131"/>
      <c r="B277" s="96"/>
      <c r="C277" s="96"/>
      <c r="D277" s="96"/>
      <c r="E277" s="96"/>
      <c r="F277" s="96"/>
      <c r="G277" s="96"/>
      <c r="H277" s="96"/>
      <c r="I277" s="96"/>
    </row>
    <row r="278" spans="1:9" x14ac:dyDescent="0.25">
      <c r="A278" s="131"/>
      <c r="B278" s="96"/>
      <c r="C278" s="96"/>
      <c r="D278" s="96"/>
      <c r="E278" s="96"/>
      <c r="F278" s="96"/>
      <c r="G278" s="96"/>
      <c r="H278" s="96"/>
      <c r="I278" s="96"/>
    </row>
    <row r="279" spans="1:9" x14ac:dyDescent="0.25">
      <c r="A279" s="131"/>
      <c r="B279" s="96"/>
      <c r="C279" s="96"/>
      <c r="D279" s="96"/>
      <c r="E279" s="96"/>
      <c r="F279" s="96"/>
      <c r="G279" s="96"/>
      <c r="H279" s="96"/>
      <c r="I279" s="96"/>
    </row>
    <row r="280" spans="1:9" x14ac:dyDescent="0.25">
      <c r="A280" s="131"/>
      <c r="B280" s="96"/>
      <c r="C280" s="96"/>
      <c r="D280" s="96"/>
      <c r="E280" s="96"/>
      <c r="F280" s="96"/>
      <c r="G280" s="96"/>
      <c r="H280" s="96"/>
      <c r="I280" s="96"/>
    </row>
    <row r="281" spans="1:9" x14ac:dyDescent="0.25">
      <c r="A281" s="131"/>
      <c r="B281" s="96"/>
      <c r="C281" s="96"/>
      <c r="D281" s="96"/>
      <c r="E281" s="96"/>
      <c r="F281" s="96"/>
      <c r="G281" s="96"/>
      <c r="H281" s="96"/>
      <c r="I281" s="96"/>
    </row>
    <row r="282" spans="1:9" x14ac:dyDescent="0.25">
      <c r="A282" s="131"/>
      <c r="B282" s="96"/>
      <c r="C282" s="96"/>
      <c r="D282" s="96"/>
      <c r="E282" s="96"/>
      <c r="F282" s="96"/>
      <c r="G282" s="96"/>
      <c r="H282" s="96"/>
      <c r="I282" s="96"/>
    </row>
    <row r="283" spans="1:9" x14ac:dyDescent="0.25">
      <c r="A283" s="131"/>
      <c r="B283" s="96"/>
      <c r="C283" s="96"/>
      <c r="D283" s="96"/>
      <c r="E283" s="96"/>
      <c r="F283" s="96"/>
      <c r="G283" s="96"/>
      <c r="H283" s="96"/>
      <c r="I283" s="96"/>
    </row>
    <row r="284" spans="1:9" x14ac:dyDescent="0.25">
      <c r="A284" s="131"/>
      <c r="B284" s="96"/>
      <c r="C284" s="96"/>
      <c r="D284" s="96"/>
      <c r="E284" s="96"/>
      <c r="F284" s="96"/>
      <c r="G284" s="96"/>
      <c r="H284" s="96"/>
      <c r="I284" s="96"/>
    </row>
    <row r="285" spans="1:9" x14ac:dyDescent="0.25">
      <c r="A285" s="131"/>
      <c r="B285" s="96"/>
      <c r="C285" s="96"/>
      <c r="D285" s="96"/>
      <c r="E285" s="96"/>
      <c r="F285" s="96"/>
      <c r="G285" s="96"/>
      <c r="H285" s="96"/>
      <c r="I285" s="96"/>
    </row>
    <row r="286" spans="1:9" x14ac:dyDescent="0.25">
      <c r="A286" s="131"/>
      <c r="B286" s="96"/>
      <c r="C286" s="96"/>
      <c r="D286" s="96"/>
      <c r="E286" s="96"/>
      <c r="F286" s="96"/>
      <c r="G286" s="96"/>
      <c r="H286" s="96"/>
      <c r="I286" s="96"/>
    </row>
    <row r="287" spans="1:9" x14ac:dyDescent="0.25">
      <c r="A287" s="131"/>
      <c r="B287" s="96"/>
      <c r="C287" s="96"/>
      <c r="D287" s="96"/>
      <c r="E287" s="96"/>
      <c r="F287" s="96"/>
      <c r="G287" s="96"/>
      <c r="H287" s="96"/>
      <c r="I287" s="96"/>
    </row>
    <row r="288" spans="1:9" x14ac:dyDescent="0.25">
      <c r="A288" s="131"/>
      <c r="B288" s="96"/>
      <c r="C288" s="96"/>
      <c r="D288" s="96"/>
      <c r="E288" s="96"/>
      <c r="F288" s="96"/>
      <c r="G288" s="96"/>
      <c r="H288" s="96"/>
      <c r="I288" s="96"/>
    </row>
    <row r="289" spans="1:9" x14ac:dyDescent="0.25">
      <c r="A289" s="131"/>
      <c r="B289" s="96"/>
      <c r="C289" s="96"/>
      <c r="D289" s="96"/>
      <c r="E289" s="96"/>
      <c r="F289" s="96"/>
      <c r="G289" s="96"/>
      <c r="H289" s="96"/>
      <c r="I289" s="96"/>
    </row>
    <row r="290" spans="1:9" x14ac:dyDescent="0.25">
      <c r="A290" s="131"/>
      <c r="B290" s="96"/>
      <c r="C290" s="96"/>
      <c r="D290" s="96"/>
      <c r="E290" s="96"/>
      <c r="F290" s="96"/>
      <c r="G290" s="96"/>
      <c r="H290" s="96"/>
      <c r="I290" s="96"/>
    </row>
    <row r="291" spans="1:9" x14ac:dyDescent="0.25">
      <c r="A291" s="131"/>
      <c r="B291" s="96"/>
      <c r="C291" s="96"/>
      <c r="D291" s="96"/>
      <c r="E291" s="96"/>
      <c r="F291" s="96"/>
      <c r="G291" s="96"/>
      <c r="H291" s="96"/>
      <c r="I291" s="96"/>
    </row>
    <row r="292" spans="1:9" x14ac:dyDescent="0.25">
      <c r="A292" s="131"/>
      <c r="B292" s="96"/>
      <c r="C292" s="96"/>
      <c r="D292" s="96"/>
      <c r="E292" s="96"/>
      <c r="F292" s="96"/>
      <c r="G292" s="96"/>
      <c r="H292" s="96"/>
      <c r="I292" s="96"/>
    </row>
    <row r="293" spans="1:9" x14ac:dyDescent="0.25">
      <c r="A293" s="131"/>
      <c r="B293" s="96"/>
      <c r="C293" s="96"/>
      <c r="D293" s="96"/>
      <c r="E293" s="96"/>
      <c r="F293" s="96"/>
      <c r="G293" s="96"/>
      <c r="H293" s="96"/>
      <c r="I293" s="96"/>
    </row>
    <row r="294" spans="1:9" x14ac:dyDescent="0.25">
      <c r="A294" s="131"/>
      <c r="B294" s="96"/>
      <c r="C294" s="96"/>
      <c r="D294" s="96"/>
      <c r="E294" s="96"/>
      <c r="F294" s="96"/>
      <c r="G294" s="96"/>
      <c r="H294" s="96"/>
      <c r="I294" s="96"/>
    </row>
    <row r="295" spans="1:9" x14ac:dyDescent="0.25">
      <c r="A295" s="131"/>
      <c r="B295" s="96"/>
      <c r="C295" s="96"/>
      <c r="D295" s="96"/>
      <c r="E295" s="96"/>
      <c r="F295" s="96"/>
      <c r="G295" s="96"/>
      <c r="H295" s="96"/>
      <c r="I295" s="96"/>
    </row>
    <row r="296" spans="1:9" x14ac:dyDescent="0.25">
      <c r="A296" s="131"/>
      <c r="B296" s="96"/>
      <c r="C296" s="96"/>
      <c r="D296" s="96"/>
      <c r="E296" s="96"/>
      <c r="F296" s="96"/>
      <c r="G296" s="96"/>
      <c r="H296" s="96"/>
      <c r="I296" s="96"/>
    </row>
    <row r="297" spans="1:9" x14ac:dyDescent="0.25">
      <c r="A297" s="131"/>
      <c r="B297" s="96"/>
      <c r="C297" s="96"/>
      <c r="D297" s="96"/>
      <c r="E297" s="96"/>
      <c r="F297" s="96"/>
      <c r="G297" s="96"/>
      <c r="H297" s="96"/>
      <c r="I297" s="96"/>
    </row>
    <row r="298" spans="1:9" x14ac:dyDescent="0.25">
      <c r="A298" s="131"/>
      <c r="B298" s="96"/>
      <c r="C298" s="96"/>
      <c r="D298" s="96"/>
      <c r="E298" s="96"/>
      <c r="F298" s="96"/>
      <c r="G298" s="96"/>
      <c r="H298" s="96"/>
      <c r="I298" s="96"/>
    </row>
    <row r="299" spans="1:9" x14ac:dyDescent="0.25">
      <c r="A299" s="131"/>
      <c r="B299" s="96"/>
      <c r="C299" s="96"/>
      <c r="D299" s="96"/>
      <c r="E299" s="96"/>
      <c r="F299" s="96"/>
      <c r="G299" s="96"/>
      <c r="H299" s="96"/>
      <c r="I299" s="96"/>
    </row>
    <row r="300" spans="1:9" x14ac:dyDescent="0.25">
      <c r="A300" s="131"/>
      <c r="B300" s="96"/>
      <c r="C300" s="96"/>
      <c r="D300" s="96"/>
      <c r="E300" s="96"/>
      <c r="F300" s="96"/>
      <c r="G300" s="96"/>
      <c r="H300" s="96"/>
      <c r="I300" s="96"/>
    </row>
    <row r="301" spans="1:9" x14ac:dyDescent="0.25">
      <c r="A301" s="131"/>
      <c r="B301" s="96"/>
      <c r="C301" s="96"/>
      <c r="D301" s="96"/>
      <c r="E301" s="96"/>
      <c r="F301" s="96"/>
      <c r="G301" s="96"/>
      <c r="H301" s="96"/>
      <c r="I301" s="96"/>
    </row>
    <row r="302" spans="1:9" x14ac:dyDescent="0.25">
      <c r="A302" s="131"/>
      <c r="B302" s="96"/>
      <c r="C302" s="96"/>
      <c r="D302" s="96"/>
      <c r="E302" s="96"/>
      <c r="F302" s="96"/>
      <c r="G302" s="96"/>
      <c r="H302" s="96"/>
      <c r="I302" s="96"/>
    </row>
    <row r="303" spans="1:9" x14ac:dyDescent="0.25">
      <c r="A303" s="131"/>
      <c r="B303" s="96"/>
      <c r="C303" s="96"/>
      <c r="D303" s="96"/>
      <c r="E303" s="96"/>
      <c r="F303" s="96"/>
      <c r="G303" s="96"/>
      <c r="H303" s="96"/>
      <c r="I303" s="96"/>
    </row>
    <row r="304" spans="1:9" x14ac:dyDescent="0.25">
      <c r="A304" s="131"/>
      <c r="B304" s="96"/>
      <c r="C304" s="96"/>
      <c r="D304" s="96"/>
      <c r="E304" s="96"/>
      <c r="F304" s="96"/>
      <c r="G304" s="96"/>
      <c r="H304" s="96"/>
      <c r="I304" s="96"/>
    </row>
    <row r="305" spans="1:9" x14ac:dyDescent="0.25">
      <c r="A305" s="131"/>
      <c r="B305" s="96"/>
      <c r="C305" s="96"/>
      <c r="D305" s="96"/>
      <c r="E305" s="96"/>
      <c r="F305" s="96"/>
      <c r="G305" s="96"/>
      <c r="H305" s="96"/>
      <c r="I305" s="96"/>
    </row>
    <row r="306" spans="1:9" x14ac:dyDescent="0.25">
      <c r="A306" s="131"/>
      <c r="B306" s="96"/>
      <c r="C306" s="96"/>
      <c r="D306" s="96"/>
      <c r="E306" s="96"/>
      <c r="F306" s="96"/>
      <c r="G306" s="96"/>
      <c r="H306" s="96"/>
      <c r="I306" s="96"/>
    </row>
    <row r="307" spans="1:9" x14ac:dyDescent="0.25">
      <c r="A307" s="131"/>
      <c r="B307" s="96"/>
      <c r="C307" s="96"/>
      <c r="D307" s="96"/>
      <c r="E307" s="96"/>
      <c r="F307" s="96"/>
      <c r="G307" s="96"/>
      <c r="H307" s="96"/>
      <c r="I307" s="96"/>
    </row>
    <row r="308" spans="1:9" x14ac:dyDescent="0.25">
      <c r="A308" s="131"/>
      <c r="B308" s="96"/>
      <c r="C308" s="96"/>
      <c r="D308" s="96"/>
      <c r="E308" s="96"/>
      <c r="F308" s="96"/>
      <c r="G308" s="96"/>
      <c r="H308" s="96"/>
      <c r="I308" s="96"/>
    </row>
    <row r="309" spans="1:9" x14ac:dyDescent="0.25">
      <c r="A309" s="131"/>
      <c r="B309" s="96"/>
      <c r="C309" s="96"/>
      <c r="D309" s="96"/>
      <c r="E309" s="96"/>
      <c r="F309" s="96"/>
      <c r="G309" s="96"/>
      <c r="H309" s="96"/>
      <c r="I309" s="96"/>
    </row>
    <row r="310" spans="1:9" x14ac:dyDescent="0.25">
      <c r="A310" s="131"/>
      <c r="B310" s="96"/>
      <c r="C310" s="96"/>
      <c r="D310" s="96"/>
      <c r="E310" s="96"/>
      <c r="F310" s="96"/>
      <c r="G310" s="96"/>
      <c r="H310" s="96"/>
      <c r="I310" s="96"/>
    </row>
    <row r="311" spans="1:9" x14ac:dyDescent="0.25">
      <c r="A311" s="131"/>
      <c r="B311" s="96"/>
      <c r="C311" s="96"/>
      <c r="D311" s="96"/>
      <c r="E311" s="96"/>
      <c r="F311" s="96"/>
      <c r="G311" s="96"/>
      <c r="H311" s="96"/>
      <c r="I311" s="96"/>
    </row>
    <row r="312" spans="1:9" x14ac:dyDescent="0.25">
      <c r="A312" s="131"/>
      <c r="B312" s="96"/>
      <c r="C312" s="96"/>
      <c r="D312" s="96"/>
      <c r="E312" s="96"/>
      <c r="F312" s="96"/>
      <c r="G312" s="96"/>
      <c r="H312" s="96"/>
      <c r="I312" s="96"/>
    </row>
    <row r="313" spans="1:9" x14ac:dyDescent="0.25">
      <c r="A313" s="131"/>
      <c r="B313" s="96"/>
      <c r="C313" s="96"/>
      <c r="D313" s="96"/>
      <c r="E313" s="96"/>
      <c r="F313" s="96"/>
      <c r="G313" s="96"/>
      <c r="H313" s="96"/>
      <c r="I313" s="96"/>
    </row>
    <row r="314" spans="1:9" x14ac:dyDescent="0.25">
      <c r="A314" s="131"/>
      <c r="B314" s="96"/>
      <c r="C314" s="96"/>
      <c r="D314" s="96"/>
      <c r="E314" s="96"/>
      <c r="F314" s="96"/>
      <c r="G314" s="96"/>
      <c r="H314" s="96"/>
      <c r="I314" s="96"/>
    </row>
    <row r="315" spans="1:9" x14ac:dyDescent="0.25">
      <c r="A315" s="131"/>
      <c r="B315" s="96"/>
      <c r="C315" s="96"/>
      <c r="D315" s="96"/>
      <c r="E315" s="96"/>
      <c r="F315" s="96"/>
      <c r="G315" s="96"/>
      <c r="H315" s="96"/>
      <c r="I315" s="96"/>
    </row>
    <row r="316" spans="1:9" x14ac:dyDescent="0.25">
      <c r="A316" s="131"/>
      <c r="B316" s="96"/>
      <c r="C316" s="96"/>
      <c r="D316" s="96"/>
      <c r="E316" s="96"/>
      <c r="F316" s="96"/>
      <c r="G316" s="96"/>
      <c r="H316" s="96"/>
      <c r="I316" s="96"/>
    </row>
    <row r="317" spans="1:9" x14ac:dyDescent="0.25">
      <c r="A317" s="131"/>
      <c r="B317" s="96"/>
      <c r="C317" s="96"/>
      <c r="D317" s="96"/>
      <c r="E317" s="96"/>
      <c r="F317" s="96"/>
      <c r="G317" s="96"/>
      <c r="H317" s="96"/>
      <c r="I317" s="96"/>
    </row>
    <row r="318" spans="1:9" x14ac:dyDescent="0.25">
      <c r="A318" s="131"/>
      <c r="B318" s="96"/>
      <c r="C318" s="96"/>
      <c r="D318" s="96"/>
      <c r="E318" s="96"/>
      <c r="F318" s="96"/>
      <c r="G318" s="96"/>
      <c r="H318" s="96"/>
      <c r="I318" s="96"/>
    </row>
    <row r="319" spans="1:9" x14ac:dyDescent="0.25">
      <c r="A319" s="131"/>
      <c r="B319" s="96"/>
      <c r="C319" s="96"/>
      <c r="D319" s="96"/>
      <c r="E319" s="96"/>
      <c r="F319" s="96"/>
      <c r="G319" s="96"/>
      <c r="H319" s="96"/>
      <c r="I319" s="96"/>
    </row>
    <row r="320" spans="1:9" x14ac:dyDescent="0.25">
      <c r="A320" s="131"/>
      <c r="B320" s="96"/>
      <c r="C320" s="96"/>
      <c r="D320" s="96"/>
      <c r="E320" s="96"/>
      <c r="F320" s="96"/>
      <c r="G320" s="96"/>
      <c r="H320" s="96"/>
      <c r="I320" s="96"/>
    </row>
    <row r="321" spans="1:9" x14ac:dyDescent="0.25">
      <c r="A321" s="131"/>
      <c r="B321" s="96"/>
      <c r="C321" s="96"/>
      <c r="D321" s="96"/>
      <c r="E321" s="96"/>
      <c r="F321" s="96"/>
      <c r="G321" s="96"/>
      <c r="H321" s="96"/>
      <c r="I321" s="96"/>
    </row>
    <row r="322" spans="1:9" x14ac:dyDescent="0.25">
      <c r="A322" s="131"/>
      <c r="B322" s="96"/>
      <c r="C322" s="96"/>
      <c r="D322" s="96"/>
      <c r="E322" s="96"/>
      <c r="F322" s="96"/>
      <c r="G322" s="96"/>
      <c r="H322" s="96"/>
      <c r="I322" s="96"/>
    </row>
    <row r="323" spans="1:9" x14ac:dyDescent="0.25">
      <c r="A323" s="131"/>
      <c r="B323" s="96"/>
      <c r="C323" s="96"/>
      <c r="D323" s="96"/>
      <c r="E323" s="96"/>
      <c r="F323" s="96"/>
      <c r="G323" s="96"/>
      <c r="H323" s="96"/>
      <c r="I323" s="96"/>
    </row>
    <row r="324" spans="1:9" x14ac:dyDescent="0.25">
      <c r="A324" s="131"/>
      <c r="B324" s="96"/>
      <c r="C324" s="96"/>
      <c r="D324" s="96"/>
      <c r="E324" s="96"/>
      <c r="F324" s="96"/>
      <c r="G324" s="96"/>
      <c r="H324" s="96"/>
      <c r="I324" s="96"/>
    </row>
    <row r="325" spans="1:9" x14ac:dyDescent="0.25">
      <c r="A325" s="131"/>
      <c r="B325" s="96"/>
      <c r="C325" s="96"/>
      <c r="D325" s="96"/>
      <c r="E325" s="96"/>
      <c r="F325" s="96"/>
      <c r="G325" s="96"/>
      <c r="H325" s="96"/>
      <c r="I325" s="96"/>
    </row>
    <row r="326" spans="1:9" x14ac:dyDescent="0.25">
      <c r="A326" s="131"/>
      <c r="B326" s="96"/>
      <c r="C326" s="96"/>
      <c r="D326" s="96"/>
      <c r="E326" s="96"/>
      <c r="F326" s="96"/>
      <c r="G326" s="96"/>
      <c r="H326" s="96"/>
      <c r="I326" s="96"/>
    </row>
    <row r="327" spans="1:9" x14ac:dyDescent="0.25">
      <c r="A327" s="131"/>
      <c r="B327" s="96"/>
      <c r="C327" s="96"/>
      <c r="D327" s="96"/>
      <c r="E327" s="96"/>
      <c r="F327" s="96"/>
      <c r="G327" s="96"/>
      <c r="H327" s="96"/>
      <c r="I327" s="96"/>
    </row>
    <row r="328" spans="1:9" x14ac:dyDescent="0.25">
      <c r="A328" s="131"/>
      <c r="B328" s="96"/>
      <c r="C328" s="96"/>
      <c r="D328" s="96"/>
      <c r="E328" s="96"/>
      <c r="F328" s="96"/>
      <c r="G328" s="96"/>
      <c r="H328" s="96"/>
      <c r="I328" s="96"/>
    </row>
    <row r="329" spans="1:9" x14ac:dyDescent="0.25">
      <c r="A329" s="131"/>
      <c r="B329" s="96"/>
      <c r="C329" s="96"/>
      <c r="D329" s="96"/>
      <c r="E329" s="96"/>
      <c r="F329" s="96"/>
      <c r="G329" s="96"/>
      <c r="H329" s="96"/>
      <c r="I329" s="96"/>
    </row>
    <row r="330" spans="1:9" x14ac:dyDescent="0.25">
      <c r="A330" s="131"/>
      <c r="B330" s="96"/>
      <c r="C330" s="96"/>
      <c r="D330" s="96"/>
      <c r="E330" s="96"/>
      <c r="F330" s="96"/>
      <c r="G330" s="96"/>
      <c r="H330" s="96"/>
      <c r="I330" s="96"/>
    </row>
    <row r="331" spans="1:9" x14ac:dyDescent="0.25">
      <c r="A331" s="131"/>
      <c r="B331" s="96"/>
      <c r="C331" s="96"/>
      <c r="D331" s="96"/>
      <c r="E331" s="96"/>
      <c r="F331" s="96"/>
      <c r="G331" s="96"/>
      <c r="H331" s="96"/>
      <c r="I331" s="96"/>
    </row>
    <row r="332" spans="1:9" x14ac:dyDescent="0.25">
      <c r="A332" s="131"/>
      <c r="B332" s="96"/>
      <c r="C332" s="96"/>
      <c r="D332" s="96"/>
      <c r="E332" s="96"/>
      <c r="F332" s="96"/>
      <c r="G332" s="96"/>
      <c r="H332" s="96"/>
      <c r="I332" s="96"/>
    </row>
    <row r="333" spans="1:9" x14ac:dyDescent="0.25">
      <c r="A333" s="131"/>
      <c r="B333" s="96"/>
      <c r="C333" s="96"/>
      <c r="D333" s="96"/>
      <c r="E333" s="96"/>
      <c r="F333" s="96"/>
      <c r="G333" s="96"/>
      <c r="H333" s="96"/>
      <c r="I333" s="96"/>
    </row>
    <row r="334" spans="1:9" x14ac:dyDescent="0.25">
      <c r="A334" s="131"/>
      <c r="B334" s="96"/>
      <c r="C334" s="96"/>
      <c r="D334" s="96"/>
      <c r="E334" s="96"/>
      <c r="F334" s="96"/>
      <c r="G334" s="96"/>
      <c r="H334" s="96"/>
      <c r="I334" s="96"/>
    </row>
    <row r="335" spans="1:9" x14ac:dyDescent="0.25">
      <c r="A335" s="131"/>
      <c r="B335" s="96"/>
      <c r="C335" s="96"/>
      <c r="D335" s="96"/>
      <c r="E335" s="96"/>
      <c r="F335" s="96"/>
      <c r="G335" s="96"/>
      <c r="H335" s="96"/>
      <c r="I335" s="96"/>
    </row>
    <row r="336" spans="1:9" x14ac:dyDescent="0.25">
      <c r="A336" s="131"/>
      <c r="B336" s="96"/>
      <c r="C336" s="96"/>
      <c r="D336" s="96"/>
      <c r="E336" s="96"/>
      <c r="F336" s="96"/>
      <c r="G336" s="96"/>
      <c r="H336" s="96"/>
      <c r="I336" s="96"/>
    </row>
    <row r="337" spans="1:9" x14ac:dyDescent="0.25">
      <c r="A337" s="131"/>
      <c r="B337" s="96"/>
      <c r="C337" s="96"/>
      <c r="D337" s="96"/>
      <c r="E337" s="96"/>
      <c r="F337" s="96"/>
      <c r="G337" s="96"/>
      <c r="H337" s="96"/>
      <c r="I337" s="96"/>
    </row>
    <row r="338" spans="1:9" x14ac:dyDescent="0.25">
      <c r="A338" s="131"/>
      <c r="B338" s="96"/>
      <c r="C338" s="96"/>
      <c r="D338" s="96"/>
      <c r="E338" s="96"/>
      <c r="F338" s="96"/>
      <c r="G338" s="96"/>
      <c r="H338" s="96"/>
      <c r="I338" s="96"/>
    </row>
    <row r="339" spans="1:9" x14ac:dyDescent="0.25">
      <c r="A339" s="131"/>
      <c r="B339" s="96"/>
      <c r="C339" s="96"/>
      <c r="D339" s="96"/>
      <c r="E339" s="96"/>
      <c r="F339" s="96"/>
      <c r="G339" s="96"/>
      <c r="H339" s="96"/>
      <c r="I339" s="96"/>
    </row>
    <row r="340" spans="1:9" x14ac:dyDescent="0.25">
      <c r="A340" s="131"/>
      <c r="B340" s="96"/>
      <c r="C340" s="96"/>
      <c r="D340" s="96"/>
      <c r="E340" s="96"/>
      <c r="F340" s="96"/>
      <c r="G340" s="96"/>
      <c r="H340" s="96"/>
      <c r="I340" s="96"/>
    </row>
    <row r="341" spans="1:9" x14ac:dyDescent="0.25">
      <c r="A341" s="131"/>
      <c r="B341" s="96"/>
      <c r="C341" s="96"/>
      <c r="D341" s="96"/>
      <c r="E341" s="96"/>
      <c r="F341" s="96"/>
      <c r="G341" s="96"/>
      <c r="H341" s="96"/>
      <c r="I341" s="96"/>
    </row>
    <row r="342" spans="1:9" x14ac:dyDescent="0.25">
      <c r="A342" s="131"/>
      <c r="B342" s="96"/>
      <c r="C342" s="96"/>
      <c r="D342" s="96"/>
      <c r="E342" s="96"/>
      <c r="F342" s="96"/>
      <c r="G342" s="96"/>
      <c r="H342" s="96"/>
      <c r="I342" s="96"/>
    </row>
    <row r="343" spans="1:9" x14ac:dyDescent="0.25">
      <c r="A343" s="131"/>
      <c r="B343" s="96"/>
      <c r="C343" s="96"/>
      <c r="D343" s="96"/>
      <c r="E343" s="96"/>
      <c r="F343" s="96"/>
      <c r="G343" s="96"/>
      <c r="H343" s="96"/>
      <c r="I343" s="96"/>
    </row>
    <row r="344" spans="1:9" x14ac:dyDescent="0.25">
      <c r="A344" s="131"/>
      <c r="B344" s="96"/>
      <c r="C344" s="96"/>
      <c r="D344" s="96"/>
      <c r="E344" s="96"/>
      <c r="F344" s="96"/>
      <c r="G344" s="96"/>
      <c r="H344" s="96"/>
      <c r="I344" s="96"/>
    </row>
    <row r="345" spans="1:9" x14ac:dyDescent="0.25">
      <c r="A345" s="131"/>
      <c r="B345" s="96"/>
      <c r="C345" s="96"/>
      <c r="D345" s="96"/>
      <c r="E345" s="96"/>
      <c r="F345" s="96"/>
      <c r="G345" s="96"/>
      <c r="H345" s="96"/>
      <c r="I345" s="96"/>
    </row>
    <row r="346" spans="1:9" x14ac:dyDescent="0.25">
      <c r="A346" s="131"/>
      <c r="B346" s="96"/>
      <c r="C346" s="96"/>
      <c r="D346" s="96"/>
      <c r="E346" s="96"/>
      <c r="F346" s="96"/>
      <c r="G346" s="96"/>
      <c r="H346" s="96"/>
      <c r="I346" s="96"/>
    </row>
    <row r="347" spans="1:9" x14ac:dyDescent="0.25">
      <c r="A347" s="131"/>
      <c r="B347" s="96"/>
      <c r="C347" s="96"/>
      <c r="D347" s="96"/>
      <c r="E347" s="96"/>
      <c r="F347" s="96"/>
      <c r="G347" s="96"/>
      <c r="H347" s="96"/>
      <c r="I347" s="96"/>
    </row>
    <row r="348" spans="1:9" x14ac:dyDescent="0.25">
      <c r="A348" s="131"/>
      <c r="B348" s="96"/>
      <c r="C348" s="96"/>
      <c r="D348" s="96"/>
      <c r="E348" s="96"/>
      <c r="F348" s="96"/>
      <c r="G348" s="96"/>
      <c r="H348" s="96"/>
      <c r="I348" s="96"/>
    </row>
    <row r="349" spans="1:9" x14ac:dyDescent="0.25">
      <c r="A349" s="131"/>
      <c r="B349" s="96"/>
      <c r="C349" s="96"/>
      <c r="D349" s="96"/>
      <c r="E349" s="96"/>
      <c r="F349" s="96"/>
      <c r="G349" s="96"/>
      <c r="H349" s="96"/>
      <c r="I349" s="96"/>
    </row>
    <row r="350" spans="1:9" x14ac:dyDescent="0.25">
      <c r="A350" s="131"/>
      <c r="B350" s="96"/>
      <c r="C350" s="96"/>
      <c r="D350" s="96"/>
      <c r="E350" s="96"/>
      <c r="F350" s="96"/>
      <c r="G350" s="96"/>
      <c r="H350" s="96"/>
      <c r="I350" s="96"/>
    </row>
    <row r="351" spans="1:9" x14ac:dyDescent="0.25">
      <c r="A351" s="131"/>
      <c r="B351" s="96"/>
      <c r="C351" s="96"/>
      <c r="D351" s="96"/>
      <c r="E351" s="96"/>
      <c r="F351" s="96"/>
      <c r="G351" s="96"/>
      <c r="H351" s="96"/>
      <c r="I351" s="96"/>
    </row>
    <row r="352" spans="1:9" x14ac:dyDescent="0.25">
      <c r="A352" s="131"/>
      <c r="B352" s="96"/>
      <c r="C352" s="96"/>
      <c r="D352" s="96"/>
      <c r="E352" s="96"/>
      <c r="F352" s="96"/>
      <c r="G352" s="96"/>
      <c r="H352" s="96"/>
      <c r="I352" s="96"/>
    </row>
    <row r="353" spans="1:9" x14ac:dyDescent="0.25">
      <c r="A353" s="131"/>
      <c r="B353" s="96"/>
      <c r="C353" s="96"/>
      <c r="D353" s="96"/>
      <c r="E353" s="96"/>
      <c r="F353" s="96"/>
      <c r="G353" s="96"/>
      <c r="H353" s="96"/>
      <c r="I353" s="96"/>
    </row>
    <row r="354" spans="1:9" x14ac:dyDescent="0.25">
      <c r="A354" s="131"/>
      <c r="B354" s="96"/>
      <c r="C354" s="96"/>
      <c r="D354" s="96"/>
      <c r="E354" s="96"/>
      <c r="F354" s="96"/>
      <c r="G354" s="96"/>
      <c r="H354" s="96"/>
      <c r="I354" s="96"/>
    </row>
    <row r="355" spans="1:9" x14ac:dyDescent="0.25">
      <c r="A355" s="131"/>
      <c r="B355" s="96"/>
      <c r="C355" s="96"/>
      <c r="D355" s="96"/>
      <c r="E355" s="96"/>
      <c r="F355" s="96"/>
      <c r="G355" s="96"/>
      <c r="H355" s="96"/>
      <c r="I355" s="96"/>
    </row>
    <row r="356" spans="1:9" x14ac:dyDescent="0.25">
      <c r="A356" s="131"/>
      <c r="B356" s="96"/>
      <c r="C356" s="96"/>
      <c r="D356" s="96"/>
      <c r="E356" s="96"/>
      <c r="F356" s="96"/>
      <c r="G356" s="96"/>
      <c r="H356" s="96"/>
      <c r="I356" s="96"/>
    </row>
    <row r="357" spans="1:9" x14ac:dyDescent="0.25">
      <c r="A357" s="131"/>
      <c r="B357" s="96"/>
      <c r="C357" s="96"/>
      <c r="D357" s="96"/>
      <c r="E357" s="96"/>
      <c r="F357" s="96"/>
      <c r="G357" s="96"/>
      <c r="H357" s="96"/>
      <c r="I357" s="96"/>
    </row>
    <row r="358" spans="1:9" x14ac:dyDescent="0.25">
      <c r="A358" s="131"/>
      <c r="B358" s="96"/>
      <c r="C358" s="96"/>
      <c r="D358" s="96"/>
      <c r="E358" s="96"/>
      <c r="F358" s="96"/>
      <c r="G358" s="96"/>
      <c r="H358" s="96"/>
      <c r="I358" s="96"/>
    </row>
    <row r="359" spans="1:9" x14ac:dyDescent="0.25">
      <c r="A359" s="131"/>
      <c r="B359" s="96"/>
      <c r="C359" s="96"/>
      <c r="D359" s="96"/>
      <c r="E359" s="96"/>
      <c r="F359" s="96"/>
      <c r="G359" s="96"/>
      <c r="H359" s="96"/>
      <c r="I359" s="96"/>
    </row>
    <row r="360" spans="1:9" x14ac:dyDescent="0.25">
      <c r="A360" s="131"/>
      <c r="B360" s="96"/>
      <c r="C360" s="96"/>
      <c r="D360" s="96"/>
      <c r="E360" s="96"/>
      <c r="F360" s="96"/>
      <c r="G360" s="96"/>
      <c r="H360" s="96"/>
      <c r="I360" s="96"/>
    </row>
    <row r="361" spans="1:9" x14ac:dyDescent="0.25">
      <c r="A361" s="131"/>
      <c r="B361" s="96"/>
      <c r="C361" s="96"/>
      <c r="D361" s="96"/>
      <c r="E361" s="96"/>
      <c r="F361" s="96"/>
      <c r="G361" s="96"/>
      <c r="H361" s="96"/>
      <c r="I361" s="96"/>
    </row>
    <row r="362" spans="1:9" x14ac:dyDescent="0.25">
      <c r="A362" s="131"/>
      <c r="B362" s="96"/>
      <c r="C362" s="96"/>
      <c r="D362" s="96"/>
      <c r="E362" s="96"/>
      <c r="F362" s="96"/>
      <c r="G362" s="96"/>
      <c r="H362" s="96"/>
      <c r="I362" s="96"/>
    </row>
    <row r="363" spans="1:9" x14ac:dyDescent="0.25">
      <c r="A363" s="131"/>
      <c r="B363" s="96"/>
      <c r="C363" s="96"/>
      <c r="D363" s="96"/>
      <c r="E363" s="96"/>
      <c r="F363" s="96"/>
      <c r="G363" s="96"/>
      <c r="H363" s="96"/>
      <c r="I363" s="96"/>
    </row>
    <row r="364" spans="1:9" x14ac:dyDescent="0.25">
      <c r="A364" s="131"/>
      <c r="B364" s="96"/>
      <c r="C364" s="96"/>
      <c r="D364" s="96"/>
      <c r="E364" s="96"/>
      <c r="F364" s="96"/>
      <c r="G364" s="96"/>
      <c r="H364" s="96"/>
      <c r="I364" s="96"/>
    </row>
    <row r="365" spans="1:9" x14ac:dyDescent="0.25">
      <c r="A365" s="131"/>
      <c r="B365" s="96"/>
      <c r="C365" s="96"/>
      <c r="D365" s="96"/>
      <c r="E365" s="96"/>
      <c r="F365" s="96"/>
      <c r="G365" s="96"/>
      <c r="H365" s="96"/>
      <c r="I365" s="96"/>
    </row>
    <row r="366" spans="1:9" x14ac:dyDescent="0.25">
      <c r="A366" s="131"/>
      <c r="B366" s="96"/>
      <c r="C366" s="96"/>
      <c r="D366" s="96"/>
      <c r="E366" s="96"/>
      <c r="F366" s="96"/>
      <c r="G366" s="96"/>
      <c r="H366" s="96"/>
      <c r="I366" s="96"/>
    </row>
    <row r="367" spans="1:9" x14ac:dyDescent="0.25">
      <c r="A367" s="131"/>
      <c r="B367" s="96"/>
      <c r="C367" s="96"/>
      <c r="D367" s="96"/>
      <c r="E367" s="96"/>
      <c r="F367" s="96"/>
      <c r="G367" s="96"/>
      <c r="H367" s="96"/>
      <c r="I367" s="96"/>
    </row>
    <row r="368" spans="1:9" x14ac:dyDescent="0.25">
      <c r="A368" s="131"/>
      <c r="B368" s="96"/>
      <c r="C368" s="96"/>
      <c r="D368" s="96"/>
      <c r="E368" s="96"/>
      <c r="F368" s="96"/>
      <c r="G368" s="96"/>
      <c r="H368" s="96"/>
      <c r="I368" s="96"/>
    </row>
    <row r="369" spans="1:9" x14ac:dyDescent="0.25">
      <c r="A369" s="131"/>
      <c r="B369" s="96"/>
      <c r="C369" s="96"/>
      <c r="D369" s="96"/>
      <c r="E369" s="96"/>
      <c r="F369" s="96"/>
      <c r="G369" s="96"/>
      <c r="H369" s="96"/>
      <c r="I369" s="96"/>
    </row>
    <row r="370" spans="1:9" x14ac:dyDescent="0.25">
      <c r="A370" s="131"/>
      <c r="B370" s="96"/>
      <c r="C370" s="96"/>
      <c r="D370" s="96"/>
      <c r="E370" s="96"/>
      <c r="F370" s="96"/>
      <c r="G370" s="96"/>
      <c r="H370" s="96"/>
      <c r="I370" s="96"/>
    </row>
    <row r="371" spans="1:9" x14ac:dyDescent="0.25">
      <c r="A371" s="131"/>
      <c r="B371" s="96"/>
      <c r="C371" s="96"/>
      <c r="D371" s="96"/>
      <c r="E371" s="96"/>
      <c r="F371" s="96"/>
      <c r="G371" s="96"/>
      <c r="H371" s="96"/>
      <c r="I371" s="96"/>
    </row>
    <row r="372" spans="1:9" x14ac:dyDescent="0.25">
      <c r="A372" s="131"/>
      <c r="B372" s="96"/>
      <c r="C372" s="96"/>
      <c r="D372" s="96"/>
      <c r="E372" s="96"/>
      <c r="F372" s="96"/>
      <c r="G372" s="96"/>
      <c r="H372" s="96"/>
      <c r="I372" s="96"/>
    </row>
    <row r="373" spans="1:9" x14ac:dyDescent="0.25">
      <c r="A373" s="131"/>
      <c r="B373" s="96"/>
      <c r="C373" s="96"/>
      <c r="D373" s="96"/>
      <c r="E373" s="96"/>
      <c r="F373" s="96"/>
      <c r="G373" s="96"/>
      <c r="H373" s="96"/>
      <c r="I373" s="96"/>
    </row>
    <row r="374" spans="1:9" x14ac:dyDescent="0.25">
      <c r="A374" s="131"/>
      <c r="B374" s="96"/>
      <c r="C374" s="96"/>
      <c r="D374" s="96"/>
      <c r="E374" s="96"/>
      <c r="F374" s="96"/>
      <c r="G374" s="96"/>
      <c r="H374" s="96"/>
      <c r="I374" s="96"/>
    </row>
    <row r="375" spans="1:9" x14ac:dyDescent="0.25">
      <c r="A375" s="131"/>
      <c r="B375" s="96"/>
      <c r="C375" s="96"/>
      <c r="D375" s="96"/>
      <c r="E375" s="96"/>
      <c r="F375" s="96"/>
      <c r="G375" s="96"/>
      <c r="H375" s="96"/>
      <c r="I375" s="96"/>
    </row>
    <row r="376" spans="1:9" x14ac:dyDescent="0.25">
      <c r="A376" s="131"/>
      <c r="B376" s="96"/>
      <c r="C376" s="96"/>
      <c r="D376" s="96"/>
      <c r="E376" s="96"/>
      <c r="F376" s="96"/>
      <c r="G376" s="96"/>
      <c r="H376" s="96"/>
      <c r="I376" s="96"/>
    </row>
    <row r="377" spans="1:9" x14ac:dyDescent="0.25">
      <c r="A377" s="131"/>
      <c r="B377" s="96"/>
      <c r="C377" s="96"/>
      <c r="D377" s="96"/>
      <c r="E377" s="96"/>
      <c r="F377" s="96"/>
      <c r="G377" s="96"/>
      <c r="H377" s="96"/>
      <c r="I377" s="96"/>
    </row>
    <row r="378" spans="1:9" x14ac:dyDescent="0.25">
      <c r="A378" s="131"/>
      <c r="B378" s="96"/>
      <c r="C378" s="96"/>
      <c r="D378" s="96"/>
      <c r="E378" s="96"/>
      <c r="F378" s="96"/>
      <c r="G378" s="96"/>
      <c r="H378" s="96"/>
      <c r="I378" s="96"/>
    </row>
    <row r="379" spans="1:9" x14ac:dyDescent="0.25">
      <c r="A379" s="131"/>
      <c r="B379" s="96"/>
      <c r="C379" s="96"/>
      <c r="D379" s="96"/>
      <c r="E379" s="96"/>
      <c r="F379" s="96"/>
      <c r="G379" s="96"/>
      <c r="H379" s="96"/>
      <c r="I379" s="96"/>
    </row>
    <row r="380" spans="1:9" x14ac:dyDescent="0.25">
      <c r="A380" s="131"/>
      <c r="B380" s="96"/>
      <c r="C380" s="96"/>
      <c r="D380" s="96"/>
      <c r="E380" s="96"/>
      <c r="F380" s="96"/>
      <c r="G380" s="96"/>
      <c r="H380" s="96"/>
      <c r="I380" s="96"/>
    </row>
    <row r="381" spans="1:9" x14ac:dyDescent="0.25">
      <c r="A381" s="131"/>
      <c r="B381" s="96"/>
      <c r="C381" s="96"/>
      <c r="D381" s="96"/>
      <c r="E381" s="96"/>
      <c r="F381" s="96"/>
      <c r="G381" s="96"/>
      <c r="H381" s="96"/>
      <c r="I381" s="96"/>
    </row>
    <row r="382" spans="1:9" x14ac:dyDescent="0.25">
      <c r="A382" s="131"/>
      <c r="B382" s="96"/>
      <c r="C382" s="96"/>
      <c r="D382" s="96"/>
      <c r="E382" s="96"/>
      <c r="F382" s="96"/>
      <c r="G382" s="96"/>
      <c r="H382" s="96"/>
      <c r="I382" s="96"/>
    </row>
    <row r="383" spans="1:9" x14ac:dyDescent="0.25">
      <c r="A383" s="131"/>
      <c r="B383" s="96"/>
      <c r="C383" s="96"/>
      <c r="D383" s="96"/>
      <c r="E383" s="96"/>
      <c r="F383" s="96"/>
      <c r="G383" s="96"/>
      <c r="H383" s="96"/>
      <c r="I383" s="96"/>
    </row>
    <row r="384" spans="1:9" x14ac:dyDescent="0.25">
      <c r="A384" s="131"/>
      <c r="B384" s="96"/>
      <c r="C384" s="96"/>
      <c r="D384" s="96"/>
      <c r="E384" s="96"/>
      <c r="F384" s="96"/>
      <c r="G384" s="96"/>
      <c r="H384" s="96"/>
      <c r="I384" s="96"/>
    </row>
    <row r="385" spans="1:9" x14ac:dyDescent="0.25">
      <c r="A385" s="131"/>
      <c r="B385" s="96"/>
      <c r="C385" s="96"/>
      <c r="D385" s="96"/>
      <c r="E385" s="96"/>
      <c r="F385" s="96"/>
      <c r="G385" s="96"/>
      <c r="H385" s="96"/>
      <c r="I385" s="96"/>
    </row>
    <row r="386" spans="1:9" x14ac:dyDescent="0.25">
      <c r="A386" s="131"/>
      <c r="B386" s="96"/>
      <c r="C386" s="96"/>
      <c r="D386" s="96"/>
      <c r="E386" s="96"/>
      <c r="F386" s="96"/>
      <c r="G386" s="96"/>
      <c r="H386" s="96"/>
      <c r="I386" s="96"/>
    </row>
    <row r="387" spans="1:9" x14ac:dyDescent="0.25">
      <c r="A387" s="131"/>
      <c r="B387" s="96"/>
      <c r="C387" s="96"/>
      <c r="D387" s="96"/>
      <c r="E387" s="96"/>
      <c r="F387" s="96"/>
      <c r="G387" s="96"/>
      <c r="H387" s="96"/>
      <c r="I387" s="96"/>
    </row>
    <row r="388" spans="1:9" x14ac:dyDescent="0.25">
      <c r="A388" s="131"/>
      <c r="B388" s="96"/>
      <c r="C388" s="96"/>
      <c r="D388" s="96"/>
      <c r="E388" s="96"/>
      <c r="F388" s="96"/>
      <c r="G388" s="96"/>
      <c r="H388" s="96"/>
      <c r="I388" s="96"/>
    </row>
    <row r="389" spans="1:9" x14ac:dyDescent="0.25">
      <c r="A389" s="131"/>
      <c r="B389" s="96"/>
      <c r="C389" s="96"/>
      <c r="D389" s="96"/>
      <c r="E389" s="96"/>
      <c r="F389" s="96"/>
      <c r="G389" s="96"/>
      <c r="H389" s="96"/>
      <c r="I389" s="96"/>
    </row>
    <row r="390" spans="1:9" x14ac:dyDescent="0.25">
      <c r="A390" s="131"/>
      <c r="B390" s="96"/>
      <c r="C390" s="96"/>
      <c r="D390" s="96"/>
      <c r="E390" s="96"/>
      <c r="F390" s="96"/>
      <c r="G390" s="96"/>
      <c r="H390" s="96"/>
      <c r="I390" s="96"/>
    </row>
    <row r="391" spans="1:9" x14ac:dyDescent="0.25">
      <c r="A391" s="131"/>
      <c r="B391" s="96"/>
      <c r="C391" s="96"/>
      <c r="D391" s="96"/>
      <c r="E391" s="96"/>
      <c r="F391" s="96"/>
      <c r="G391" s="96"/>
      <c r="H391" s="96"/>
      <c r="I391" s="96"/>
    </row>
    <row r="392" spans="1:9" x14ac:dyDescent="0.25">
      <c r="A392" s="131"/>
      <c r="B392" s="96"/>
      <c r="C392" s="96"/>
      <c r="D392" s="96"/>
      <c r="E392" s="96"/>
      <c r="F392" s="96"/>
      <c r="G392" s="96"/>
      <c r="H392" s="96"/>
      <c r="I392" s="96"/>
    </row>
    <row r="393" spans="1:9" x14ac:dyDescent="0.25">
      <c r="A393" s="131"/>
      <c r="B393" s="96"/>
      <c r="C393" s="96"/>
      <c r="D393" s="96"/>
      <c r="E393" s="96"/>
      <c r="F393" s="96"/>
      <c r="G393" s="96"/>
      <c r="H393" s="96"/>
      <c r="I393" s="96"/>
    </row>
    <row r="394" spans="1:9" x14ac:dyDescent="0.25">
      <c r="A394" s="131"/>
      <c r="B394" s="96"/>
      <c r="C394" s="96"/>
      <c r="D394" s="96"/>
      <c r="E394" s="96"/>
      <c r="F394" s="96"/>
      <c r="G394" s="96"/>
      <c r="H394" s="96"/>
      <c r="I394" s="96"/>
    </row>
    <row r="395" spans="1:9" x14ac:dyDescent="0.25">
      <c r="A395" s="131"/>
      <c r="B395" s="96"/>
      <c r="C395" s="96"/>
      <c r="D395" s="96"/>
      <c r="E395" s="96"/>
      <c r="F395" s="96"/>
      <c r="G395" s="96"/>
      <c r="H395" s="96"/>
      <c r="I395" s="96"/>
    </row>
    <row r="396" spans="1:9" x14ac:dyDescent="0.25">
      <c r="A396" s="131"/>
      <c r="B396" s="96"/>
      <c r="C396" s="96"/>
      <c r="D396" s="96"/>
      <c r="E396" s="96"/>
      <c r="F396" s="96"/>
      <c r="G396" s="96"/>
      <c r="H396" s="96"/>
      <c r="I396" s="96"/>
    </row>
    <row r="397" spans="1:9" x14ac:dyDescent="0.25">
      <c r="A397" s="131"/>
      <c r="B397" s="96"/>
      <c r="C397" s="96"/>
      <c r="D397" s="96"/>
      <c r="E397" s="96"/>
      <c r="F397" s="96"/>
      <c r="G397" s="96"/>
      <c r="H397" s="96"/>
      <c r="I397" s="96"/>
    </row>
    <row r="398" spans="1:9" x14ac:dyDescent="0.25">
      <c r="A398" s="131"/>
      <c r="B398" s="96"/>
      <c r="C398" s="96"/>
      <c r="D398" s="96"/>
      <c r="E398" s="96"/>
      <c r="F398" s="96"/>
      <c r="G398" s="96"/>
      <c r="H398" s="96"/>
      <c r="I398" s="96"/>
    </row>
    <row r="399" spans="1:9" x14ac:dyDescent="0.25">
      <c r="A399" s="131"/>
      <c r="B399" s="96"/>
      <c r="C399" s="96"/>
      <c r="D399" s="96"/>
      <c r="E399" s="96"/>
      <c r="F399" s="96"/>
      <c r="G399" s="96"/>
      <c r="H399" s="96"/>
      <c r="I399" s="96"/>
    </row>
    <row r="400" spans="1:9" x14ac:dyDescent="0.25">
      <c r="A400" s="131"/>
      <c r="B400" s="96"/>
      <c r="C400" s="96"/>
      <c r="D400" s="96"/>
      <c r="E400" s="96"/>
      <c r="F400" s="96"/>
      <c r="G400" s="96"/>
      <c r="H400" s="96"/>
      <c r="I400" s="96"/>
    </row>
    <row r="401" spans="1:9" x14ac:dyDescent="0.25">
      <c r="A401" s="131"/>
      <c r="B401" s="96"/>
      <c r="C401" s="96"/>
      <c r="D401" s="96"/>
      <c r="E401" s="96"/>
      <c r="F401" s="96"/>
      <c r="G401" s="96"/>
      <c r="H401" s="96"/>
      <c r="I401" s="96"/>
    </row>
    <row r="402" spans="1:9" x14ac:dyDescent="0.25">
      <c r="A402" s="131"/>
      <c r="B402" s="96"/>
      <c r="C402" s="96"/>
      <c r="D402" s="96"/>
      <c r="E402" s="96"/>
      <c r="F402" s="96"/>
      <c r="G402" s="96"/>
      <c r="H402" s="96"/>
      <c r="I402" s="96"/>
    </row>
    <row r="403" spans="1:9" x14ac:dyDescent="0.25">
      <c r="A403" s="131"/>
      <c r="B403" s="96"/>
      <c r="C403" s="96"/>
      <c r="D403" s="96"/>
      <c r="E403" s="96"/>
      <c r="F403" s="96"/>
      <c r="G403" s="96"/>
      <c r="H403" s="96"/>
      <c r="I403" s="96"/>
    </row>
    <row r="404" spans="1:9" x14ac:dyDescent="0.25">
      <c r="A404" s="131"/>
      <c r="B404" s="96"/>
      <c r="C404" s="96"/>
      <c r="D404" s="96"/>
      <c r="E404" s="96"/>
      <c r="F404" s="96"/>
      <c r="G404" s="96"/>
      <c r="H404" s="96"/>
      <c r="I404" s="96"/>
    </row>
    <row r="405" spans="1:9" x14ac:dyDescent="0.25">
      <c r="A405" s="131"/>
      <c r="B405" s="96"/>
      <c r="C405" s="96"/>
      <c r="D405" s="96"/>
      <c r="E405" s="96"/>
      <c r="F405" s="96"/>
      <c r="G405" s="96"/>
      <c r="H405" s="96"/>
      <c r="I405" s="96"/>
    </row>
    <row r="406" spans="1:9" x14ac:dyDescent="0.25">
      <c r="A406" s="131"/>
      <c r="B406" s="96"/>
      <c r="C406" s="96"/>
      <c r="D406" s="96"/>
      <c r="E406" s="96"/>
      <c r="F406" s="96"/>
      <c r="G406" s="96"/>
      <c r="H406" s="96"/>
      <c r="I406" s="96"/>
    </row>
    <row r="407" spans="1:9" x14ac:dyDescent="0.25">
      <c r="A407" s="131"/>
      <c r="B407" s="96"/>
      <c r="C407" s="96"/>
      <c r="D407" s="96"/>
      <c r="E407" s="96"/>
      <c r="F407" s="96"/>
      <c r="G407" s="96"/>
      <c r="H407" s="96"/>
      <c r="I407" s="96"/>
    </row>
    <row r="408" spans="1:9" x14ac:dyDescent="0.25">
      <c r="A408" s="131"/>
      <c r="B408" s="96"/>
      <c r="C408" s="96"/>
      <c r="D408" s="96"/>
      <c r="E408" s="96"/>
      <c r="F408" s="96"/>
      <c r="G408" s="96"/>
      <c r="H408" s="96"/>
      <c r="I408" s="96"/>
    </row>
    <row r="409" spans="1:9" x14ac:dyDescent="0.25">
      <c r="A409" s="131"/>
      <c r="B409" s="96"/>
      <c r="C409" s="96"/>
      <c r="D409" s="96"/>
      <c r="E409" s="96"/>
      <c r="F409" s="96"/>
      <c r="G409" s="96"/>
      <c r="H409" s="96"/>
      <c r="I409" s="96"/>
    </row>
    <row r="410" spans="1:9" x14ac:dyDescent="0.25">
      <c r="A410" s="131"/>
      <c r="B410" s="96"/>
      <c r="C410" s="96"/>
      <c r="D410" s="96"/>
      <c r="E410" s="96"/>
      <c r="F410" s="96"/>
      <c r="G410" s="96"/>
      <c r="H410" s="96"/>
      <c r="I410" s="96"/>
    </row>
    <row r="411" spans="1:9" x14ac:dyDescent="0.25">
      <c r="A411" s="131"/>
      <c r="B411" s="96"/>
      <c r="C411" s="96"/>
      <c r="D411" s="96"/>
      <c r="E411" s="96"/>
      <c r="F411" s="96"/>
      <c r="G411" s="96"/>
      <c r="H411" s="96"/>
      <c r="I411" s="96"/>
    </row>
    <row r="412" spans="1:9" x14ac:dyDescent="0.25">
      <c r="A412" s="131"/>
      <c r="B412" s="96"/>
      <c r="C412" s="96"/>
      <c r="D412" s="96"/>
      <c r="E412" s="96"/>
      <c r="F412" s="96"/>
      <c r="G412" s="96"/>
      <c r="H412" s="96"/>
      <c r="I412" s="96"/>
    </row>
    <row r="413" spans="1:9" x14ac:dyDescent="0.25">
      <c r="A413" s="131"/>
      <c r="B413" s="96"/>
      <c r="C413" s="96"/>
      <c r="D413" s="96"/>
      <c r="E413" s="96"/>
      <c r="F413" s="96"/>
      <c r="G413" s="96"/>
      <c r="H413" s="96"/>
      <c r="I413" s="96"/>
    </row>
    <row r="414" spans="1:9" x14ac:dyDescent="0.25">
      <c r="A414" s="131"/>
      <c r="B414" s="96"/>
      <c r="C414" s="96"/>
      <c r="D414" s="96"/>
      <c r="E414" s="96"/>
      <c r="F414" s="96"/>
      <c r="G414" s="96"/>
      <c r="H414" s="96"/>
      <c r="I414" s="96"/>
    </row>
    <row r="415" spans="1:9" x14ac:dyDescent="0.25">
      <c r="A415" s="131"/>
      <c r="B415" s="96"/>
      <c r="C415" s="96"/>
      <c r="D415" s="96"/>
      <c r="E415" s="96"/>
      <c r="F415" s="96"/>
      <c r="G415" s="96"/>
      <c r="H415" s="96"/>
      <c r="I415" s="96"/>
    </row>
    <row r="416" spans="1:9" x14ac:dyDescent="0.25">
      <c r="A416" s="131"/>
      <c r="B416" s="96"/>
      <c r="C416" s="96"/>
      <c r="D416" s="96"/>
      <c r="E416" s="96"/>
      <c r="F416" s="96"/>
      <c r="G416" s="96"/>
      <c r="H416" s="96"/>
      <c r="I416" s="96"/>
    </row>
    <row r="417" spans="1:9" x14ac:dyDescent="0.25">
      <c r="A417" s="131"/>
      <c r="B417" s="96"/>
      <c r="C417" s="96"/>
      <c r="D417" s="96"/>
      <c r="E417" s="96"/>
      <c r="F417" s="96"/>
      <c r="G417" s="96"/>
      <c r="H417" s="96"/>
      <c r="I417" s="96"/>
    </row>
    <row r="418" spans="1:9" x14ac:dyDescent="0.25">
      <c r="A418" s="131"/>
      <c r="B418" s="96"/>
      <c r="C418" s="96"/>
      <c r="D418" s="96"/>
      <c r="E418" s="96"/>
      <c r="F418" s="96"/>
      <c r="G418" s="96"/>
      <c r="H418" s="96"/>
      <c r="I418" s="96"/>
    </row>
    <row r="419" spans="1:9" x14ac:dyDescent="0.25">
      <c r="A419" s="131"/>
      <c r="B419" s="96"/>
      <c r="C419" s="96"/>
      <c r="D419" s="96"/>
      <c r="E419" s="96"/>
      <c r="F419" s="96"/>
      <c r="G419" s="96"/>
      <c r="H419" s="96"/>
      <c r="I419" s="96"/>
    </row>
    <row r="420" spans="1:9" x14ac:dyDescent="0.25">
      <c r="A420" s="131"/>
      <c r="B420" s="96"/>
      <c r="C420" s="96"/>
      <c r="D420" s="96"/>
      <c r="E420" s="96"/>
      <c r="F420" s="96"/>
      <c r="G420" s="96"/>
      <c r="H420" s="96"/>
      <c r="I420" s="96"/>
    </row>
    <row r="421" spans="1:9" x14ac:dyDescent="0.25">
      <c r="A421" s="131"/>
      <c r="B421" s="96"/>
      <c r="C421" s="96"/>
      <c r="D421" s="96"/>
      <c r="E421" s="96"/>
      <c r="F421" s="96"/>
      <c r="G421" s="96"/>
      <c r="H421" s="96"/>
      <c r="I421" s="96"/>
    </row>
    <row r="422" spans="1:9" x14ac:dyDescent="0.25">
      <c r="A422" s="131"/>
      <c r="B422" s="96"/>
      <c r="C422" s="96"/>
      <c r="D422" s="96"/>
      <c r="E422" s="96"/>
      <c r="F422" s="96"/>
      <c r="G422" s="96"/>
      <c r="H422" s="96"/>
      <c r="I422" s="96"/>
    </row>
    <row r="423" spans="1:9" x14ac:dyDescent="0.25">
      <c r="A423" s="131"/>
      <c r="B423" s="96"/>
      <c r="C423" s="96"/>
      <c r="D423" s="96"/>
      <c r="E423" s="96"/>
      <c r="F423" s="96"/>
      <c r="G423" s="96"/>
      <c r="H423" s="96"/>
      <c r="I423" s="96"/>
    </row>
    <row r="424" spans="1:9" x14ac:dyDescent="0.25">
      <c r="A424" s="131"/>
      <c r="B424" s="96"/>
      <c r="C424" s="96"/>
      <c r="D424" s="96"/>
      <c r="E424" s="96"/>
      <c r="F424" s="96"/>
      <c r="G424" s="96"/>
      <c r="H424" s="96"/>
      <c r="I424" s="96"/>
    </row>
    <row r="425" spans="1:9" x14ac:dyDescent="0.25">
      <c r="A425" s="131"/>
      <c r="B425" s="96"/>
      <c r="C425" s="96"/>
      <c r="D425" s="96"/>
      <c r="E425" s="96"/>
      <c r="F425" s="96"/>
      <c r="G425" s="96"/>
      <c r="H425" s="96"/>
      <c r="I425" s="96"/>
    </row>
    <row r="426" spans="1:9" x14ac:dyDescent="0.25">
      <c r="A426" s="131"/>
      <c r="B426" s="96"/>
      <c r="C426" s="96"/>
      <c r="D426" s="96"/>
      <c r="E426" s="96"/>
      <c r="F426" s="96"/>
      <c r="G426" s="96"/>
      <c r="H426" s="96"/>
      <c r="I426" s="96"/>
    </row>
    <row r="427" spans="1:9" x14ac:dyDescent="0.25">
      <c r="A427" s="131"/>
      <c r="B427" s="96"/>
      <c r="C427" s="96"/>
      <c r="D427" s="96"/>
      <c r="E427" s="96"/>
      <c r="F427" s="96"/>
      <c r="G427" s="96"/>
      <c r="H427" s="96"/>
      <c r="I427" s="96"/>
    </row>
    <row r="428" spans="1:9" x14ac:dyDescent="0.25">
      <c r="A428" s="131"/>
      <c r="B428" s="96"/>
      <c r="C428" s="96"/>
      <c r="D428" s="96"/>
      <c r="E428" s="96"/>
      <c r="F428" s="96"/>
      <c r="G428" s="96"/>
      <c r="H428" s="96"/>
      <c r="I428" s="96"/>
    </row>
    <row r="429" spans="1:9" x14ac:dyDescent="0.25">
      <c r="A429" s="131"/>
      <c r="B429" s="96"/>
      <c r="C429" s="96"/>
      <c r="D429" s="96"/>
      <c r="E429" s="96"/>
      <c r="F429" s="96"/>
      <c r="G429" s="96"/>
      <c r="H429" s="96"/>
      <c r="I429" s="96"/>
    </row>
    <row r="430" spans="1:9" x14ac:dyDescent="0.25">
      <c r="A430" s="131"/>
      <c r="B430" s="96"/>
      <c r="C430" s="96"/>
      <c r="D430" s="96"/>
      <c r="E430" s="96"/>
      <c r="F430" s="96"/>
      <c r="G430" s="96"/>
      <c r="H430" s="96"/>
      <c r="I430" s="96"/>
    </row>
    <row r="431" spans="1:9" x14ac:dyDescent="0.25">
      <c r="A431" s="131"/>
      <c r="B431" s="96"/>
      <c r="C431" s="96"/>
      <c r="D431" s="96"/>
      <c r="E431" s="96"/>
      <c r="F431" s="96"/>
      <c r="G431" s="96"/>
      <c r="H431" s="96"/>
      <c r="I431" s="96"/>
    </row>
    <row r="432" spans="1:9" x14ac:dyDescent="0.25">
      <c r="A432" s="131"/>
      <c r="B432" s="96"/>
      <c r="C432" s="96"/>
      <c r="D432" s="96"/>
      <c r="E432" s="96"/>
      <c r="F432" s="96"/>
      <c r="G432" s="96"/>
      <c r="H432" s="96"/>
      <c r="I432" s="96"/>
    </row>
    <row r="433" spans="1:9" x14ac:dyDescent="0.25">
      <c r="A433" s="131"/>
      <c r="B433" s="96"/>
      <c r="C433" s="96"/>
      <c r="D433" s="96"/>
      <c r="E433" s="96"/>
      <c r="F433" s="96"/>
      <c r="G433" s="96"/>
      <c r="H433" s="96"/>
      <c r="I433" s="96"/>
    </row>
    <row r="434" spans="1:9" x14ac:dyDescent="0.25">
      <c r="A434" s="131"/>
      <c r="B434" s="96"/>
      <c r="C434" s="96"/>
      <c r="D434" s="96"/>
      <c r="E434" s="96"/>
      <c r="F434" s="96"/>
      <c r="G434" s="96"/>
      <c r="H434" s="96"/>
      <c r="I434" s="96"/>
    </row>
    <row r="435" spans="1:9" x14ac:dyDescent="0.25">
      <c r="A435" s="131"/>
      <c r="B435" s="96"/>
      <c r="C435" s="96"/>
      <c r="D435" s="96"/>
      <c r="E435" s="96"/>
      <c r="F435" s="96"/>
      <c r="G435" s="96"/>
      <c r="H435" s="96"/>
      <c r="I435" s="96"/>
    </row>
    <row r="436" spans="1:9" x14ac:dyDescent="0.25">
      <c r="A436" s="131"/>
      <c r="B436" s="96"/>
      <c r="C436" s="96"/>
      <c r="D436" s="96"/>
      <c r="E436" s="96"/>
      <c r="F436" s="96"/>
      <c r="G436" s="96"/>
      <c r="H436" s="96"/>
      <c r="I436" s="96"/>
    </row>
    <row r="437" spans="1:9" x14ac:dyDescent="0.25">
      <c r="A437" s="131"/>
      <c r="B437" s="96"/>
      <c r="C437" s="96"/>
      <c r="D437" s="96"/>
      <c r="E437" s="96"/>
      <c r="F437" s="96"/>
      <c r="G437" s="96"/>
      <c r="H437" s="96"/>
      <c r="I437" s="96"/>
    </row>
    <row r="438" spans="1:9" x14ac:dyDescent="0.25">
      <c r="A438" s="131"/>
      <c r="B438" s="96"/>
      <c r="C438" s="96"/>
      <c r="D438" s="96"/>
      <c r="E438" s="96"/>
      <c r="F438" s="96"/>
      <c r="G438" s="96"/>
      <c r="H438" s="96"/>
      <c r="I438" s="96"/>
    </row>
    <row r="439" spans="1:9" x14ac:dyDescent="0.25">
      <c r="A439" s="131"/>
      <c r="B439" s="96"/>
      <c r="C439" s="96"/>
      <c r="D439" s="96"/>
      <c r="E439" s="96"/>
      <c r="F439" s="96"/>
      <c r="G439" s="96"/>
      <c r="H439" s="96"/>
      <c r="I439" s="96"/>
    </row>
    <row r="440" spans="1:9" x14ac:dyDescent="0.25">
      <c r="A440" s="131"/>
      <c r="B440" s="96"/>
      <c r="C440" s="96"/>
      <c r="D440" s="96"/>
      <c r="E440" s="96"/>
      <c r="F440" s="96"/>
      <c r="G440" s="96"/>
      <c r="H440" s="96"/>
      <c r="I440" s="96"/>
    </row>
    <row r="441" spans="1:9" x14ac:dyDescent="0.25">
      <c r="A441" s="131"/>
      <c r="B441" s="96"/>
      <c r="C441" s="96"/>
      <c r="D441" s="96"/>
      <c r="E441" s="96"/>
      <c r="F441" s="96"/>
      <c r="G441" s="96"/>
      <c r="H441" s="96"/>
      <c r="I441" s="96"/>
    </row>
    <row r="442" spans="1:9" x14ac:dyDescent="0.25">
      <c r="A442" s="131"/>
      <c r="B442" s="96"/>
      <c r="C442" s="96"/>
      <c r="D442" s="96"/>
      <c r="E442" s="96"/>
      <c r="F442" s="96"/>
      <c r="G442" s="96"/>
      <c r="H442" s="96"/>
      <c r="I442" s="96"/>
    </row>
    <row r="443" spans="1:9" x14ac:dyDescent="0.25">
      <c r="A443" s="131"/>
      <c r="B443" s="96"/>
      <c r="C443" s="96"/>
      <c r="D443" s="96"/>
      <c r="E443" s="96"/>
      <c r="F443" s="96"/>
      <c r="G443" s="96"/>
      <c r="H443" s="96"/>
      <c r="I443" s="96"/>
    </row>
    <row r="444" spans="1:9" x14ac:dyDescent="0.25">
      <c r="A444" s="131"/>
      <c r="B444" s="96"/>
      <c r="C444" s="96"/>
      <c r="D444" s="96"/>
      <c r="E444" s="96"/>
      <c r="F444" s="96"/>
      <c r="G444" s="96"/>
      <c r="H444" s="96"/>
      <c r="I444" s="96"/>
    </row>
    <row r="445" spans="1:9" x14ac:dyDescent="0.25">
      <c r="A445" s="131"/>
      <c r="B445" s="96"/>
      <c r="C445" s="96"/>
      <c r="D445" s="96"/>
      <c r="E445" s="96"/>
      <c r="F445" s="96"/>
      <c r="G445" s="96"/>
      <c r="H445" s="96"/>
      <c r="I445" s="96"/>
    </row>
    <row r="446" spans="1:9" x14ac:dyDescent="0.25">
      <c r="A446" s="131"/>
      <c r="B446" s="96"/>
      <c r="C446" s="96"/>
      <c r="D446" s="96"/>
      <c r="E446" s="96"/>
      <c r="F446" s="96"/>
      <c r="G446" s="96"/>
      <c r="H446" s="96"/>
      <c r="I446" s="96"/>
    </row>
    <row r="447" spans="1:9" x14ac:dyDescent="0.25">
      <c r="A447" s="131"/>
      <c r="B447" s="96"/>
      <c r="C447" s="96"/>
      <c r="D447" s="96"/>
      <c r="E447" s="96"/>
      <c r="F447" s="96"/>
      <c r="G447" s="96"/>
      <c r="H447" s="96"/>
      <c r="I447" s="96"/>
    </row>
    <row r="448" spans="1:9" x14ac:dyDescent="0.25">
      <c r="A448" s="131"/>
      <c r="B448" s="96"/>
      <c r="C448" s="96"/>
      <c r="D448" s="96"/>
      <c r="E448" s="96"/>
      <c r="F448" s="96"/>
      <c r="G448" s="96"/>
      <c r="H448" s="96"/>
      <c r="I448" s="96"/>
    </row>
    <row r="449" spans="1:9" x14ac:dyDescent="0.25">
      <c r="A449" s="131"/>
      <c r="B449" s="96"/>
      <c r="C449" s="96"/>
      <c r="D449" s="96"/>
      <c r="E449" s="96"/>
      <c r="F449" s="96"/>
      <c r="G449" s="96"/>
      <c r="H449" s="96"/>
      <c r="I449" s="96"/>
    </row>
    <row r="450" spans="1:9" x14ac:dyDescent="0.25">
      <c r="A450" s="131"/>
      <c r="B450" s="96"/>
      <c r="C450" s="96"/>
      <c r="D450" s="96"/>
      <c r="E450" s="96"/>
      <c r="F450" s="96"/>
      <c r="G450" s="96"/>
      <c r="H450" s="96"/>
      <c r="I450" s="96"/>
    </row>
    <row r="451" spans="1:9" x14ac:dyDescent="0.25">
      <c r="A451" s="131"/>
      <c r="B451" s="96"/>
      <c r="C451" s="96"/>
      <c r="D451" s="96"/>
      <c r="E451" s="96"/>
      <c r="F451" s="96"/>
      <c r="G451" s="96"/>
      <c r="H451" s="96"/>
      <c r="I451" s="96"/>
    </row>
    <row r="452" spans="1:9" x14ac:dyDescent="0.25">
      <c r="A452" s="131"/>
      <c r="B452" s="96"/>
      <c r="C452" s="96"/>
      <c r="D452" s="96"/>
      <c r="E452" s="96"/>
      <c r="F452" s="96"/>
      <c r="G452" s="96"/>
      <c r="H452" s="96"/>
      <c r="I452" s="96"/>
    </row>
    <row r="453" spans="1:9" x14ac:dyDescent="0.25">
      <c r="A453" s="131"/>
      <c r="B453" s="96"/>
      <c r="C453" s="96"/>
      <c r="D453" s="96"/>
      <c r="E453" s="96"/>
      <c r="F453" s="96"/>
      <c r="G453" s="96"/>
      <c r="H453" s="96"/>
      <c r="I453" s="96"/>
    </row>
    <row r="454" spans="1:9" x14ac:dyDescent="0.25">
      <c r="A454" s="131"/>
      <c r="B454" s="96"/>
      <c r="C454" s="96"/>
      <c r="D454" s="96"/>
      <c r="E454" s="96"/>
      <c r="F454" s="96"/>
      <c r="G454" s="96"/>
      <c r="H454" s="96"/>
      <c r="I454" s="96"/>
    </row>
    <row r="455" spans="1:9" x14ac:dyDescent="0.25">
      <c r="A455" s="131"/>
      <c r="B455" s="96"/>
      <c r="C455" s="96"/>
      <c r="D455" s="96"/>
      <c r="E455" s="96"/>
      <c r="F455" s="96"/>
      <c r="G455" s="96"/>
      <c r="H455" s="96"/>
      <c r="I455" s="96"/>
    </row>
    <row r="456" spans="1:9" x14ac:dyDescent="0.25">
      <c r="A456" s="131"/>
      <c r="B456" s="96"/>
      <c r="C456" s="96"/>
      <c r="D456" s="96"/>
      <c r="E456" s="96"/>
      <c r="F456" s="96"/>
      <c r="G456" s="96"/>
      <c r="H456" s="96"/>
      <c r="I456" s="96"/>
    </row>
    <row r="457" spans="1:9" x14ac:dyDescent="0.25">
      <c r="A457" s="131"/>
      <c r="B457" s="96"/>
      <c r="C457" s="96"/>
      <c r="D457" s="96"/>
      <c r="E457" s="96"/>
      <c r="F457" s="96"/>
      <c r="G457" s="96"/>
      <c r="H457" s="96"/>
      <c r="I457" s="96"/>
    </row>
    <row r="458" spans="1:9" x14ac:dyDescent="0.25">
      <c r="A458" s="131"/>
      <c r="B458" s="96"/>
      <c r="C458" s="96"/>
      <c r="D458" s="96"/>
      <c r="E458" s="96"/>
      <c r="F458" s="96"/>
      <c r="G458" s="96"/>
      <c r="H458" s="96"/>
      <c r="I458" s="96"/>
    </row>
    <row r="459" spans="1:9" x14ac:dyDescent="0.25">
      <c r="A459" s="131"/>
      <c r="B459" s="96"/>
      <c r="C459" s="96"/>
      <c r="D459" s="96"/>
      <c r="E459" s="96"/>
      <c r="F459" s="96"/>
      <c r="G459" s="96"/>
      <c r="H459" s="96"/>
      <c r="I459" s="96"/>
    </row>
    <row r="460" spans="1:9" x14ac:dyDescent="0.25">
      <c r="A460" s="131"/>
      <c r="B460" s="96"/>
      <c r="C460" s="96"/>
      <c r="D460" s="96"/>
      <c r="E460" s="96"/>
      <c r="F460" s="96"/>
      <c r="G460" s="96"/>
      <c r="H460" s="96"/>
      <c r="I460" s="96"/>
    </row>
    <row r="461" spans="1:9" x14ac:dyDescent="0.25">
      <c r="A461" s="131"/>
      <c r="B461" s="96"/>
      <c r="C461" s="96"/>
      <c r="D461" s="96"/>
      <c r="E461" s="96"/>
      <c r="F461" s="96"/>
      <c r="G461" s="96"/>
      <c r="H461" s="96"/>
      <c r="I461" s="96"/>
    </row>
    <row r="462" spans="1:9" x14ac:dyDescent="0.25">
      <c r="A462" s="131"/>
      <c r="B462" s="96"/>
      <c r="C462" s="96"/>
      <c r="D462" s="96"/>
      <c r="E462" s="96"/>
      <c r="F462" s="96"/>
      <c r="G462" s="96"/>
      <c r="H462" s="96"/>
      <c r="I462" s="96"/>
    </row>
    <row r="463" spans="1:9" x14ac:dyDescent="0.25">
      <c r="A463" s="131"/>
      <c r="B463" s="96"/>
      <c r="C463" s="96"/>
      <c r="D463" s="96"/>
      <c r="E463" s="96"/>
      <c r="F463" s="96"/>
      <c r="G463" s="96"/>
      <c r="H463" s="96"/>
      <c r="I463" s="96"/>
    </row>
    <row r="464" spans="1:9" x14ac:dyDescent="0.25">
      <c r="A464" s="131"/>
      <c r="B464" s="96"/>
      <c r="C464" s="96"/>
      <c r="D464" s="96"/>
      <c r="E464" s="96"/>
      <c r="F464" s="96"/>
      <c r="G464" s="96"/>
      <c r="H464" s="96"/>
      <c r="I464" s="96"/>
    </row>
    <row r="465" spans="1:9" x14ac:dyDescent="0.25">
      <c r="A465" s="131"/>
      <c r="B465" s="96"/>
      <c r="C465" s="96"/>
      <c r="D465" s="96"/>
      <c r="E465" s="96"/>
      <c r="F465" s="96"/>
      <c r="G465" s="96"/>
      <c r="H465" s="96"/>
      <c r="I465" s="96"/>
    </row>
    <row r="466" spans="1:9" x14ac:dyDescent="0.25">
      <c r="A466" s="131"/>
      <c r="B466" s="96"/>
      <c r="C466" s="96"/>
      <c r="D466" s="96"/>
      <c r="E466" s="96"/>
      <c r="F466" s="96"/>
      <c r="G466" s="96"/>
      <c r="H466" s="96"/>
      <c r="I466" s="96"/>
    </row>
    <row r="467" spans="1:9" x14ac:dyDescent="0.25">
      <c r="A467" s="131"/>
      <c r="B467" s="96"/>
      <c r="C467" s="96"/>
      <c r="D467" s="96"/>
      <c r="E467" s="96"/>
      <c r="F467" s="96"/>
      <c r="G467" s="96"/>
      <c r="H467" s="96"/>
      <c r="I467" s="96"/>
    </row>
    <row r="468" spans="1:9" x14ac:dyDescent="0.25">
      <c r="A468" s="131"/>
      <c r="B468" s="96"/>
      <c r="C468" s="96"/>
      <c r="D468" s="96"/>
      <c r="E468" s="96"/>
      <c r="F468" s="96"/>
      <c r="G468" s="96"/>
      <c r="H468" s="96"/>
      <c r="I468" s="96"/>
    </row>
    <row r="469" spans="1:9" x14ac:dyDescent="0.25">
      <c r="A469" s="131"/>
      <c r="B469" s="96"/>
      <c r="C469" s="96"/>
      <c r="D469" s="96"/>
      <c r="E469" s="96"/>
      <c r="F469" s="96"/>
      <c r="G469" s="96"/>
      <c r="H469" s="96"/>
      <c r="I469" s="96"/>
    </row>
    <row r="470" spans="1:9" x14ac:dyDescent="0.25">
      <c r="A470" s="131"/>
      <c r="B470" s="96"/>
      <c r="C470" s="96"/>
      <c r="D470" s="96"/>
      <c r="E470" s="96"/>
      <c r="F470" s="96"/>
      <c r="G470" s="96"/>
      <c r="H470" s="96"/>
      <c r="I470" s="96"/>
    </row>
    <row r="471" spans="1:9" x14ac:dyDescent="0.25">
      <c r="A471" s="131"/>
      <c r="B471" s="96"/>
      <c r="C471" s="96"/>
      <c r="D471" s="96"/>
      <c r="E471" s="96"/>
      <c r="F471" s="96"/>
      <c r="G471" s="96"/>
      <c r="H471" s="96"/>
      <c r="I471" s="96"/>
    </row>
    <row r="472" spans="1:9" x14ac:dyDescent="0.25">
      <c r="A472" s="131"/>
      <c r="B472" s="96"/>
      <c r="C472" s="96"/>
      <c r="D472" s="96"/>
      <c r="E472" s="96"/>
      <c r="F472" s="96"/>
      <c r="G472" s="96"/>
      <c r="H472" s="96"/>
      <c r="I472" s="96"/>
    </row>
    <row r="473" spans="1:9" x14ac:dyDescent="0.25">
      <c r="A473" s="131"/>
      <c r="B473" s="96"/>
      <c r="C473" s="96"/>
      <c r="D473" s="96"/>
      <c r="E473" s="96"/>
      <c r="F473" s="96"/>
      <c r="G473" s="96"/>
      <c r="H473" s="96"/>
      <c r="I473" s="96"/>
    </row>
    <row r="474" spans="1:9" x14ac:dyDescent="0.25">
      <c r="A474" s="131"/>
      <c r="B474" s="96"/>
      <c r="C474" s="96"/>
      <c r="D474" s="96"/>
      <c r="E474" s="96"/>
      <c r="F474" s="96"/>
      <c r="G474" s="96"/>
      <c r="H474" s="96"/>
      <c r="I474" s="96"/>
    </row>
    <row r="475" spans="1:9" x14ac:dyDescent="0.25">
      <c r="A475" s="131"/>
      <c r="B475" s="96"/>
      <c r="C475" s="96"/>
      <c r="D475" s="96"/>
      <c r="E475" s="96"/>
      <c r="F475" s="96"/>
      <c r="G475" s="96"/>
      <c r="H475" s="96"/>
      <c r="I475" s="96"/>
    </row>
    <row r="476" spans="1:9" x14ac:dyDescent="0.25">
      <c r="A476" s="131"/>
      <c r="B476" s="96"/>
      <c r="C476" s="96"/>
      <c r="D476" s="96"/>
      <c r="E476" s="96"/>
      <c r="F476" s="96"/>
      <c r="G476" s="96"/>
      <c r="H476" s="96"/>
      <c r="I476" s="96"/>
    </row>
    <row r="477" spans="1:9" x14ac:dyDescent="0.25">
      <c r="A477" s="131"/>
      <c r="B477" s="96"/>
      <c r="C477" s="96"/>
      <c r="D477" s="96"/>
      <c r="E477" s="96"/>
      <c r="F477" s="96"/>
      <c r="G477" s="96"/>
      <c r="H477" s="96"/>
      <c r="I477" s="96"/>
    </row>
    <row r="478" spans="1:9" x14ac:dyDescent="0.25">
      <c r="A478" s="131"/>
      <c r="B478" s="96"/>
      <c r="C478" s="96"/>
      <c r="D478" s="96"/>
      <c r="E478" s="96"/>
      <c r="F478" s="96"/>
      <c r="G478" s="96"/>
      <c r="H478" s="96"/>
      <c r="I478" s="96"/>
    </row>
    <row r="479" spans="1:9" x14ac:dyDescent="0.25">
      <c r="A479" s="131"/>
      <c r="B479" s="96"/>
      <c r="C479" s="96"/>
      <c r="D479" s="96"/>
      <c r="E479" s="96"/>
      <c r="F479" s="96"/>
      <c r="G479" s="96"/>
      <c r="H479" s="96"/>
      <c r="I479" s="96"/>
    </row>
    <row r="480" spans="1:9" x14ac:dyDescent="0.25">
      <c r="A480" s="131"/>
      <c r="B480" s="96"/>
      <c r="C480" s="96"/>
      <c r="D480" s="96"/>
      <c r="E480" s="96"/>
      <c r="F480" s="96"/>
      <c r="G480" s="96"/>
      <c r="H480" s="96"/>
      <c r="I480" s="96"/>
    </row>
    <row r="481" spans="1:9" x14ac:dyDescent="0.25">
      <c r="A481" s="131"/>
      <c r="B481" s="96"/>
      <c r="C481" s="96"/>
      <c r="D481" s="96"/>
      <c r="E481" s="96"/>
      <c r="F481" s="96"/>
      <c r="G481" s="96"/>
      <c r="H481" s="96"/>
      <c r="I481" s="96"/>
    </row>
    <row r="482" spans="1:9" x14ac:dyDescent="0.25">
      <c r="A482" s="131"/>
      <c r="B482" s="96"/>
      <c r="C482" s="96"/>
      <c r="D482" s="96"/>
      <c r="E482" s="96"/>
      <c r="F482" s="96"/>
      <c r="G482" s="96"/>
      <c r="H482" s="96"/>
      <c r="I482" s="96"/>
    </row>
    <row r="483" spans="1:9" x14ac:dyDescent="0.25">
      <c r="A483" s="131"/>
      <c r="B483" s="96"/>
      <c r="C483" s="96"/>
      <c r="D483" s="96"/>
      <c r="E483" s="96"/>
      <c r="F483" s="96"/>
      <c r="G483" s="96"/>
      <c r="H483" s="96"/>
      <c r="I483" s="96"/>
    </row>
    <row r="484" spans="1:9" x14ac:dyDescent="0.25">
      <c r="A484" s="131"/>
      <c r="B484" s="96"/>
      <c r="C484" s="96"/>
      <c r="D484" s="96"/>
      <c r="E484" s="96"/>
      <c r="F484" s="96"/>
      <c r="G484" s="96"/>
      <c r="H484" s="96"/>
      <c r="I484" s="96"/>
    </row>
    <row r="485" spans="1:9" x14ac:dyDescent="0.25">
      <c r="A485" s="131"/>
      <c r="B485" s="96"/>
      <c r="C485" s="96"/>
      <c r="D485" s="96"/>
      <c r="E485" s="96"/>
      <c r="F485" s="96"/>
      <c r="G485" s="96"/>
      <c r="H485" s="96"/>
      <c r="I485" s="96"/>
    </row>
    <row r="486" spans="1:9" x14ac:dyDescent="0.25">
      <c r="A486" s="131"/>
      <c r="B486" s="96"/>
      <c r="C486" s="96"/>
      <c r="D486" s="96"/>
      <c r="E486" s="96"/>
      <c r="F486" s="96"/>
      <c r="G486" s="96"/>
      <c r="H486" s="96"/>
      <c r="I486" s="96"/>
    </row>
    <row r="487" spans="1:9" x14ac:dyDescent="0.25">
      <c r="A487" s="131"/>
      <c r="B487" s="96"/>
      <c r="C487" s="96"/>
      <c r="D487" s="96"/>
      <c r="E487" s="96"/>
      <c r="F487" s="96"/>
      <c r="G487" s="96"/>
      <c r="H487" s="96"/>
      <c r="I487" s="96"/>
    </row>
    <row r="488" spans="1:9" x14ac:dyDescent="0.25">
      <c r="A488" s="131"/>
      <c r="B488" s="96"/>
      <c r="C488" s="96"/>
      <c r="D488" s="96"/>
      <c r="E488" s="96"/>
      <c r="F488" s="96"/>
      <c r="G488" s="96"/>
      <c r="H488" s="96"/>
      <c r="I488" s="96"/>
    </row>
    <row r="489" spans="1:9" x14ac:dyDescent="0.25">
      <c r="A489" s="131"/>
      <c r="B489" s="96"/>
      <c r="C489" s="96"/>
      <c r="D489" s="96"/>
      <c r="E489" s="96"/>
      <c r="F489" s="96"/>
      <c r="G489" s="96"/>
      <c r="H489" s="96"/>
      <c r="I489" s="96"/>
    </row>
    <row r="490" spans="1:9" x14ac:dyDescent="0.25">
      <c r="A490" s="131"/>
      <c r="B490" s="96"/>
      <c r="C490" s="96"/>
      <c r="D490" s="96"/>
      <c r="E490" s="96"/>
      <c r="F490" s="96"/>
      <c r="G490" s="96"/>
      <c r="H490" s="96"/>
      <c r="I490" s="96"/>
    </row>
    <row r="491" spans="1:9" x14ac:dyDescent="0.25">
      <c r="A491" s="131"/>
      <c r="B491" s="96"/>
      <c r="C491" s="96"/>
      <c r="D491" s="96"/>
      <c r="E491" s="96"/>
      <c r="F491" s="96"/>
      <c r="G491" s="96"/>
      <c r="H491" s="96"/>
      <c r="I491" s="96"/>
    </row>
    <row r="492" spans="1:9" x14ac:dyDescent="0.25">
      <c r="A492" s="131"/>
      <c r="B492" s="96"/>
      <c r="C492" s="96"/>
      <c r="D492" s="96"/>
      <c r="E492" s="96"/>
      <c r="F492" s="96"/>
      <c r="G492" s="96"/>
      <c r="H492" s="96"/>
      <c r="I492" s="96"/>
    </row>
    <row r="493" spans="1:9" x14ac:dyDescent="0.25">
      <c r="A493" s="131"/>
      <c r="B493" s="96"/>
      <c r="C493" s="96"/>
      <c r="D493" s="96"/>
      <c r="E493" s="96"/>
      <c r="F493" s="96"/>
      <c r="G493" s="96"/>
      <c r="H493" s="96"/>
      <c r="I493" s="96"/>
    </row>
    <row r="494" spans="1:9" x14ac:dyDescent="0.25">
      <c r="A494" s="131"/>
      <c r="B494" s="96"/>
      <c r="C494" s="96"/>
      <c r="D494" s="96"/>
      <c r="E494" s="96"/>
      <c r="F494" s="96"/>
      <c r="G494" s="96"/>
      <c r="H494" s="96"/>
      <c r="I494" s="96"/>
    </row>
    <row r="495" spans="1:9" x14ac:dyDescent="0.25">
      <c r="A495" s="131"/>
      <c r="B495" s="96"/>
      <c r="C495" s="96"/>
      <c r="D495" s="96"/>
      <c r="E495" s="96"/>
      <c r="F495" s="96"/>
      <c r="G495" s="96"/>
      <c r="H495" s="96"/>
      <c r="I495" s="96"/>
    </row>
    <row r="496" spans="1:9" x14ac:dyDescent="0.25">
      <c r="A496" s="131"/>
      <c r="B496" s="96"/>
      <c r="C496" s="96"/>
      <c r="D496" s="96"/>
      <c r="E496" s="96"/>
      <c r="F496" s="96"/>
      <c r="G496" s="96"/>
      <c r="H496" s="96"/>
      <c r="I496" s="96"/>
    </row>
    <row r="497" spans="1:9" x14ac:dyDescent="0.25">
      <c r="A497" s="131"/>
      <c r="B497" s="96"/>
      <c r="C497" s="96"/>
      <c r="D497" s="96"/>
      <c r="E497" s="96"/>
      <c r="F497" s="96"/>
      <c r="G497" s="96"/>
      <c r="H497" s="96"/>
      <c r="I497" s="96"/>
    </row>
    <row r="498" spans="1:9" x14ac:dyDescent="0.25">
      <c r="A498" s="131"/>
      <c r="B498" s="96"/>
      <c r="C498" s="96"/>
      <c r="D498" s="96"/>
      <c r="E498" s="96"/>
      <c r="F498" s="96"/>
      <c r="G498" s="96"/>
      <c r="H498" s="96"/>
      <c r="I498" s="96"/>
    </row>
    <row r="499" spans="1:9" x14ac:dyDescent="0.25">
      <c r="A499" s="131"/>
      <c r="B499" s="96"/>
      <c r="C499" s="96"/>
      <c r="D499" s="96"/>
      <c r="E499" s="96"/>
      <c r="F499" s="96"/>
      <c r="G499" s="96"/>
      <c r="H499" s="96"/>
      <c r="I499" s="96"/>
    </row>
    <row r="500" spans="1:9" x14ac:dyDescent="0.25">
      <c r="A500" s="131"/>
      <c r="B500" s="96"/>
      <c r="C500" s="96"/>
      <c r="D500" s="96"/>
      <c r="E500" s="96"/>
      <c r="F500" s="96"/>
      <c r="G500" s="96"/>
      <c r="H500" s="96"/>
      <c r="I500" s="96"/>
    </row>
    <row r="501" spans="1:9" x14ac:dyDescent="0.25">
      <c r="A501" s="131"/>
      <c r="B501" s="96"/>
      <c r="C501" s="96"/>
      <c r="D501" s="96"/>
      <c r="E501" s="96"/>
      <c r="F501" s="96"/>
      <c r="G501" s="96"/>
      <c r="H501" s="96"/>
      <c r="I501" s="96"/>
    </row>
    <row r="502" spans="1:9" x14ac:dyDescent="0.25">
      <c r="A502" s="131"/>
      <c r="B502" s="96"/>
      <c r="C502" s="96"/>
      <c r="D502" s="96"/>
      <c r="E502" s="96"/>
      <c r="F502" s="96"/>
      <c r="G502" s="96"/>
      <c r="H502" s="96"/>
      <c r="I502" s="96"/>
    </row>
    <row r="503" spans="1:9" x14ac:dyDescent="0.25">
      <c r="A503" s="131"/>
      <c r="B503" s="96"/>
      <c r="C503" s="96"/>
      <c r="D503" s="96"/>
      <c r="E503" s="96"/>
      <c r="F503" s="96"/>
      <c r="G503" s="96"/>
      <c r="H503" s="96"/>
      <c r="I503" s="96"/>
    </row>
    <row r="504" spans="1:9" x14ac:dyDescent="0.25">
      <c r="A504" s="131"/>
      <c r="B504" s="96"/>
      <c r="C504" s="96"/>
      <c r="D504" s="96"/>
      <c r="E504" s="96"/>
      <c r="F504" s="96"/>
      <c r="G504" s="96"/>
      <c r="H504" s="96"/>
      <c r="I504" s="96"/>
    </row>
    <row r="505" spans="1:9" x14ac:dyDescent="0.25">
      <c r="A505" s="131"/>
      <c r="B505" s="96"/>
      <c r="C505" s="96"/>
      <c r="D505" s="96"/>
      <c r="E505" s="96"/>
      <c r="F505" s="96"/>
      <c r="G505" s="96"/>
      <c r="H505" s="96"/>
      <c r="I505" s="96"/>
    </row>
    <row r="506" spans="1:9" x14ac:dyDescent="0.25">
      <c r="A506" s="131"/>
      <c r="B506" s="96"/>
      <c r="C506" s="96"/>
      <c r="D506" s="96"/>
      <c r="E506" s="96"/>
      <c r="F506" s="96"/>
      <c r="G506" s="96"/>
      <c r="H506" s="96"/>
      <c r="I506" s="96"/>
    </row>
    <row r="507" spans="1:9" x14ac:dyDescent="0.25">
      <c r="A507" s="131"/>
      <c r="B507" s="96"/>
      <c r="C507" s="96"/>
      <c r="D507" s="96"/>
      <c r="E507" s="96"/>
      <c r="F507" s="96"/>
      <c r="G507" s="96"/>
      <c r="H507" s="96"/>
      <c r="I507" s="96"/>
    </row>
    <row r="508" spans="1:9" x14ac:dyDescent="0.25">
      <c r="A508" s="131"/>
      <c r="B508" s="96"/>
      <c r="C508" s="96"/>
      <c r="D508" s="96"/>
      <c r="E508" s="96"/>
      <c r="F508" s="96"/>
      <c r="G508" s="96"/>
      <c r="H508" s="96"/>
      <c r="I508" s="96"/>
    </row>
    <row r="509" spans="1:9" x14ac:dyDescent="0.25">
      <c r="A509" s="131"/>
      <c r="B509" s="96"/>
      <c r="C509" s="96"/>
      <c r="D509" s="96"/>
      <c r="E509" s="96"/>
      <c r="F509" s="96"/>
      <c r="G509" s="96"/>
      <c r="H509" s="96"/>
      <c r="I509" s="96"/>
    </row>
    <row r="510" spans="1:9" x14ac:dyDescent="0.25">
      <c r="A510" s="131"/>
      <c r="B510" s="96"/>
      <c r="C510" s="96"/>
      <c r="D510" s="96"/>
      <c r="E510" s="96"/>
      <c r="F510" s="96"/>
      <c r="G510" s="96"/>
      <c r="H510" s="96"/>
      <c r="I510" s="96"/>
    </row>
    <row r="511" spans="1:9" x14ac:dyDescent="0.25">
      <c r="A511" s="131"/>
      <c r="B511" s="96"/>
      <c r="C511" s="96"/>
      <c r="D511" s="96"/>
      <c r="E511" s="96"/>
      <c r="F511" s="96"/>
      <c r="G511" s="96"/>
      <c r="H511" s="96"/>
      <c r="I511" s="96"/>
    </row>
    <row r="512" spans="1:9" x14ac:dyDescent="0.25">
      <c r="A512" s="131"/>
      <c r="B512" s="96"/>
      <c r="C512" s="96"/>
      <c r="D512" s="96"/>
      <c r="E512" s="96"/>
      <c r="F512" s="96"/>
      <c r="G512" s="96"/>
      <c r="H512" s="96"/>
      <c r="I512" s="96"/>
    </row>
    <row r="513" spans="1:9" x14ac:dyDescent="0.25">
      <c r="A513" s="131"/>
      <c r="B513" s="96"/>
      <c r="C513" s="96"/>
      <c r="D513" s="96"/>
      <c r="E513" s="96"/>
      <c r="F513" s="96"/>
      <c r="G513" s="96"/>
      <c r="H513" s="96"/>
      <c r="I513" s="96"/>
    </row>
    <row r="514" spans="1:9" x14ac:dyDescent="0.25">
      <c r="A514" s="131"/>
      <c r="B514" s="96"/>
      <c r="C514" s="96"/>
      <c r="D514" s="96"/>
      <c r="E514" s="96"/>
      <c r="F514" s="96"/>
      <c r="G514" s="96"/>
      <c r="H514" s="96"/>
      <c r="I514" s="96"/>
    </row>
    <row r="515" spans="1:9" x14ac:dyDescent="0.25">
      <c r="A515" s="131"/>
      <c r="B515" s="96"/>
      <c r="C515" s="96"/>
      <c r="D515" s="96"/>
      <c r="E515" s="96"/>
      <c r="F515" s="96"/>
      <c r="G515" s="96"/>
      <c r="H515" s="96"/>
      <c r="I515" s="96"/>
    </row>
    <row r="516" spans="1:9" x14ac:dyDescent="0.25">
      <c r="A516" s="131"/>
      <c r="B516" s="96"/>
      <c r="C516" s="96"/>
      <c r="D516" s="96"/>
      <c r="E516" s="96"/>
      <c r="F516" s="96"/>
      <c r="G516" s="96"/>
      <c r="H516" s="96"/>
      <c r="I516" s="96"/>
    </row>
    <row r="517" spans="1:9" x14ac:dyDescent="0.25">
      <c r="A517" s="131"/>
      <c r="B517" s="96"/>
      <c r="C517" s="96"/>
      <c r="D517" s="96"/>
      <c r="E517" s="96"/>
      <c r="F517" s="96"/>
      <c r="G517" s="96"/>
      <c r="H517" s="96"/>
      <c r="I517" s="96"/>
    </row>
    <row r="518" spans="1:9" x14ac:dyDescent="0.25">
      <c r="A518" s="131"/>
      <c r="B518" s="96"/>
      <c r="C518" s="96"/>
      <c r="D518" s="96"/>
      <c r="E518" s="96"/>
      <c r="F518" s="96"/>
      <c r="G518" s="96"/>
      <c r="H518" s="96"/>
      <c r="I518" s="96"/>
    </row>
    <row r="519" spans="1:9" x14ac:dyDescent="0.25">
      <c r="A519" s="131"/>
      <c r="B519" s="96"/>
      <c r="C519" s="96"/>
      <c r="D519" s="96"/>
      <c r="E519" s="96"/>
      <c r="F519" s="96"/>
      <c r="G519" s="96"/>
      <c r="H519" s="96"/>
      <c r="I519" s="96"/>
    </row>
    <row r="520" spans="1:9" x14ac:dyDescent="0.25">
      <c r="A520" s="131"/>
      <c r="B520" s="96"/>
      <c r="C520" s="96"/>
      <c r="D520" s="96"/>
      <c r="E520" s="96"/>
      <c r="F520" s="96"/>
      <c r="G520" s="96"/>
      <c r="H520" s="96"/>
      <c r="I520" s="96"/>
    </row>
    <row r="521" spans="1:9" x14ac:dyDescent="0.25">
      <c r="A521" s="131"/>
      <c r="B521" s="96"/>
      <c r="C521" s="96"/>
      <c r="D521" s="96"/>
      <c r="E521" s="96"/>
      <c r="F521" s="96"/>
      <c r="G521" s="96"/>
      <c r="H521" s="96"/>
      <c r="I521" s="96"/>
    </row>
    <row r="522" spans="1:9" x14ac:dyDescent="0.25">
      <c r="A522" s="131"/>
      <c r="B522" s="96"/>
      <c r="C522" s="96"/>
      <c r="D522" s="96"/>
      <c r="E522" s="96"/>
      <c r="F522" s="96"/>
      <c r="G522" s="96"/>
      <c r="H522" s="96"/>
      <c r="I522" s="96"/>
    </row>
    <row r="523" spans="1:9" x14ac:dyDescent="0.25">
      <c r="A523" s="131"/>
      <c r="B523" s="96"/>
      <c r="C523" s="96"/>
      <c r="D523" s="96"/>
      <c r="E523" s="96"/>
      <c r="F523" s="96"/>
      <c r="G523" s="96"/>
      <c r="H523" s="96"/>
      <c r="I523" s="96"/>
    </row>
    <row r="524" spans="1:9" x14ac:dyDescent="0.25">
      <c r="A524" s="131"/>
      <c r="B524" s="96"/>
      <c r="C524" s="96"/>
      <c r="D524" s="96"/>
      <c r="E524" s="96"/>
      <c r="F524" s="96"/>
      <c r="G524" s="96"/>
      <c r="H524" s="96"/>
      <c r="I524" s="96"/>
    </row>
    <row r="525" spans="1:9" x14ac:dyDescent="0.25">
      <c r="A525" s="131"/>
      <c r="B525" s="96"/>
      <c r="C525" s="96"/>
      <c r="D525" s="96"/>
      <c r="E525" s="96"/>
      <c r="F525" s="96"/>
      <c r="G525" s="96"/>
      <c r="H525" s="96"/>
      <c r="I525" s="96"/>
    </row>
    <row r="526" spans="1:9" x14ac:dyDescent="0.25">
      <c r="A526" s="131"/>
      <c r="B526" s="96"/>
      <c r="C526" s="96"/>
      <c r="D526" s="96"/>
      <c r="E526" s="96"/>
      <c r="F526" s="96"/>
      <c r="G526" s="96"/>
      <c r="H526" s="96"/>
      <c r="I526" s="96"/>
    </row>
    <row r="527" spans="1:9" x14ac:dyDescent="0.25">
      <c r="A527" s="131"/>
      <c r="B527" s="96"/>
      <c r="C527" s="96"/>
      <c r="D527" s="96"/>
      <c r="E527" s="96"/>
      <c r="F527" s="96"/>
      <c r="G527" s="96"/>
      <c r="H527" s="96"/>
      <c r="I527" s="96"/>
    </row>
    <row r="528" spans="1:9" x14ac:dyDescent="0.25">
      <c r="A528" s="131"/>
      <c r="B528" s="96"/>
      <c r="C528" s="96"/>
      <c r="D528" s="96"/>
      <c r="E528" s="96"/>
      <c r="F528" s="96"/>
      <c r="G528" s="96"/>
      <c r="H528" s="96"/>
      <c r="I528" s="96"/>
    </row>
    <row r="529" spans="1:9" x14ac:dyDescent="0.25">
      <c r="A529" s="131"/>
      <c r="B529" s="96"/>
      <c r="C529" s="96"/>
      <c r="D529" s="96"/>
      <c r="E529" s="96"/>
      <c r="F529" s="96"/>
      <c r="G529" s="96"/>
      <c r="H529" s="96"/>
      <c r="I529" s="96"/>
    </row>
    <row r="530" spans="1:9" x14ac:dyDescent="0.25">
      <c r="A530" s="131"/>
      <c r="B530" s="96"/>
      <c r="C530" s="96"/>
      <c r="D530" s="96"/>
      <c r="E530" s="96"/>
      <c r="F530" s="96"/>
      <c r="G530" s="96"/>
      <c r="H530" s="96"/>
      <c r="I530" s="96"/>
    </row>
    <row r="531" spans="1:9" x14ac:dyDescent="0.25">
      <c r="A531" s="131"/>
      <c r="B531" s="96"/>
      <c r="C531" s="96"/>
      <c r="D531" s="96"/>
      <c r="E531" s="96"/>
      <c r="F531" s="96"/>
      <c r="G531" s="96"/>
      <c r="H531" s="96"/>
      <c r="I531" s="96"/>
    </row>
    <row r="532" spans="1:9" x14ac:dyDescent="0.25">
      <c r="A532" s="131"/>
      <c r="B532" s="96"/>
      <c r="C532" s="96"/>
      <c r="D532" s="96"/>
      <c r="E532" s="96"/>
      <c r="F532" s="96"/>
      <c r="G532" s="96"/>
      <c r="H532" s="96"/>
      <c r="I532" s="96"/>
    </row>
    <row r="533" spans="1:9" x14ac:dyDescent="0.25">
      <c r="A533" s="131"/>
      <c r="B533" s="96"/>
      <c r="C533" s="96"/>
      <c r="D533" s="96"/>
      <c r="E533" s="96"/>
      <c r="F533" s="96"/>
      <c r="G533" s="96"/>
      <c r="H533" s="96"/>
      <c r="I533" s="96"/>
    </row>
    <row r="534" spans="1:9" x14ac:dyDescent="0.25">
      <c r="A534" s="131"/>
      <c r="B534" s="96"/>
      <c r="C534" s="96"/>
      <c r="D534" s="96"/>
      <c r="E534" s="96"/>
      <c r="F534" s="96"/>
      <c r="G534" s="96"/>
      <c r="H534" s="96"/>
      <c r="I534" s="96"/>
    </row>
    <row r="535" spans="1:9" x14ac:dyDescent="0.25">
      <c r="A535" s="131"/>
      <c r="B535" s="96"/>
      <c r="C535" s="96"/>
      <c r="D535" s="96"/>
      <c r="E535" s="96"/>
      <c r="F535" s="96"/>
      <c r="G535" s="96"/>
      <c r="H535" s="96"/>
      <c r="I535" s="96"/>
    </row>
    <row r="536" spans="1:9" x14ac:dyDescent="0.25">
      <c r="A536" s="131"/>
      <c r="B536" s="96"/>
      <c r="C536" s="96"/>
      <c r="D536" s="96"/>
      <c r="E536" s="96"/>
      <c r="F536" s="96"/>
      <c r="G536" s="96"/>
      <c r="H536" s="96"/>
      <c r="I536" s="96"/>
    </row>
    <row r="537" spans="1:9" x14ac:dyDescent="0.25">
      <c r="A537" s="131"/>
      <c r="B537" s="96"/>
      <c r="C537" s="96"/>
      <c r="D537" s="96"/>
      <c r="E537" s="96"/>
      <c r="F537" s="96"/>
      <c r="G537" s="96"/>
      <c r="H537" s="96"/>
      <c r="I537" s="96"/>
    </row>
    <row r="538" spans="1:9" x14ac:dyDescent="0.25">
      <c r="A538" s="131"/>
      <c r="B538" s="96"/>
      <c r="C538" s="96"/>
      <c r="D538" s="96"/>
      <c r="E538" s="96"/>
      <c r="F538" s="96"/>
      <c r="G538" s="96"/>
      <c r="H538" s="96"/>
      <c r="I538" s="96"/>
    </row>
    <row r="539" spans="1:9" x14ac:dyDescent="0.25">
      <c r="A539" s="131"/>
      <c r="B539" s="96"/>
      <c r="C539" s="96"/>
      <c r="D539" s="96"/>
      <c r="E539" s="96"/>
      <c r="F539" s="96"/>
      <c r="G539" s="96"/>
      <c r="H539" s="96"/>
      <c r="I539" s="96"/>
    </row>
    <row r="540" spans="1:9" x14ac:dyDescent="0.25">
      <c r="A540" s="131"/>
      <c r="B540" s="96"/>
      <c r="C540" s="96"/>
      <c r="D540" s="96"/>
      <c r="E540" s="96"/>
      <c r="F540" s="96"/>
      <c r="G540" s="96"/>
      <c r="H540" s="96"/>
      <c r="I540" s="96"/>
    </row>
    <row r="541" spans="1:9" x14ac:dyDescent="0.25">
      <c r="A541" s="131"/>
      <c r="B541" s="96"/>
      <c r="C541" s="96"/>
      <c r="D541" s="96"/>
      <c r="E541" s="96"/>
      <c r="F541" s="96"/>
      <c r="G541" s="96"/>
      <c r="H541" s="96"/>
      <c r="I541" s="96"/>
    </row>
    <row r="542" spans="1:9" x14ac:dyDescent="0.25">
      <c r="A542" s="131"/>
      <c r="B542" s="96"/>
      <c r="C542" s="96"/>
      <c r="D542" s="96"/>
      <c r="E542" s="96"/>
      <c r="F542" s="96"/>
      <c r="G542" s="96"/>
      <c r="H542" s="96"/>
      <c r="I542" s="96"/>
    </row>
    <row r="543" spans="1:9" x14ac:dyDescent="0.25">
      <c r="A543" s="131"/>
      <c r="B543" s="96"/>
      <c r="C543" s="96"/>
      <c r="D543" s="96"/>
      <c r="E543" s="96"/>
      <c r="F543" s="96"/>
      <c r="G543" s="96"/>
      <c r="H543" s="96"/>
      <c r="I543" s="96"/>
    </row>
    <row r="544" spans="1:9" x14ac:dyDescent="0.25">
      <c r="A544" s="131"/>
      <c r="B544" s="96"/>
      <c r="C544" s="96"/>
      <c r="D544" s="96"/>
      <c r="E544" s="96"/>
      <c r="F544" s="96"/>
      <c r="G544" s="96"/>
      <c r="H544" s="96"/>
      <c r="I544" s="96"/>
    </row>
    <row r="545" spans="1:9" x14ac:dyDescent="0.25">
      <c r="A545" s="131"/>
      <c r="B545" s="96"/>
      <c r="C545" s="96"/>
      <c r="D545" s="96"/>
      <c r="E545" s="96"/>
      <c r="F545" s="96"/>
      <c r="G545" s="96"/>
      <c r="H545" s="96"/>
      <c r="I545" s="96"/>
    </row>
    <row r="546" spans="1:9" x14ac:dyDescent="0.25">
      <c r="A546" s="131"/>
      <c r="B546" s="96"/>
      <c r="C546" s="96"/>
      <c r="D546" s="96"/>
      <c r="E546" s="96"/>
      <c r="F546" s="96"/>
      <c r="G546" s="96"/>
      <c r="H546" s="96"/>
      <c r="I546" s="96"/>
    </row>
    <row r="547" spans="1:9" x14ac:dyDescent="0.25">
      <c r="A547" s="131"/>
      <c r="B547" s="96"/>
      <c r="C547" s="96"/>
      <c r="D547" s="96"/>
      <c r="E547" s="96"/>
      <c r="F547" s="96"/>
      <c r="G547" s="96"/>
      <c r="H547" s="96"/>
      <c r="I547" s="96"/>
    </row>
    <row r="548" spans="1:9" x14ac:dyDescent="0.25">
      <c r="A548" s="131"/>
      <c r="B548" s="96"/>
      <c r="C548" s="96"/>
      <c r="D548" s="96"/>
      <c r="E548" s="96"/>
      <c r="F548" s="96"/>
      <c r="G548" s="96"/>
      <c r="H548" s="96"/>
      <c r="I548" s="96"/>
    </row>
    <row r="549" spans="1:9" x14ac:dyDescent="0.25">
      <c r="A549" s="131"/>
      <c r="B549" s="96"/>
      <c r="C549" s="96"/>
      <c r="D549" s="96"/>
      <c r="E549" s="96"/>
      <c r="F549" s="96"/>
      <c r="G549" s="96"/>
      <c r="H549" s="96"/>
      <c r="I549" s="96"/>
    </row>
    <row r="550" spans="1:9" x14ac:dyDescent="0.25">
      <c r="A550" s="131"/>
      <c r="B550" s="96"/>
      <c r="C550" s="96"/>
      <c r="D550" s="96"/>
      <c r="E550" s="96"/>
      <c r="F550" s="96"/>
      <c r="G550" s="96"/>
      <c r="H550" s="96"/>
      <c r="I550" s="96"/>
    </row>
    <row r="551" spans="1:9" x14ac:dyDescent="0.25">
      <c r="A551" s="131"/>
      <c r="B551" s="96"/>
      <c r="C551" s="96"/>
      <c r="D551" s="96"/>
      <c r="E551" s="96"/>
      <c r="F551" s="96"/>
      <c r="G551" s="96"/>
      <c r="H551" s="96"/>
      <c r="I551" s="96"/>
    </row>
    <row r="552" spans="1:9" x14ac:dyDescent="0.25">
      <c r="A552" s="131"/>
      <c r="B552" s="96"/>
      <c r="C552" s="96"/>
      <c r="D552" s="96"/>
      <c r="E552" s="96"/>
      <c r="F552" s="96"/>
      <c r="G552" s="96"/>
      <c r="H552" s="96"/>
      <c r="I552" s="96"/>
    </row>
    <row r="553" spans="1:9" x14ac:dyDescent="0.25">
      <c r="A553" s="131"/>
      <c r="B553" s="96"/>
      <c r="C553" s="96"/>
      <c r="D553" s="96"/>
      <c r="E553" s="96"/>
      <c r="F553" s="96"/>
      <c r="G553" s="96"/>
      <c r="H553" s="96"/>
      <c r="I553" s="96"/>
    </row>
    <row r="554" spans="1:9" x14ac:dyDescent="0.25">
      <c r="A554" s="131"/>
      <c r="B554" s="96"/>
      <c r="C554" s="96"/>
      <c r="D554" s="96"/>
      <c r="E554" s="96"/>
      <c r="F554" s="96"/>
      <c r="G554" s="96"/>
      <c r="H554" s="96"/>
      <c r="I554" s="96"/>
    </row>
    <row r="555" spans="1:9" x14ac:dyDescent="0.25">
      <c r="A555" s="131"/>
      <c r="B555" s="96"/>
      <c r="C555" s="96"/>
      <c r="D555" s="96"/>
      <c r="E555" s="96"/>
      <c r="F555" s="96"/>
      <c r="G555" s="96"/>
      <c r="H555" s="96"/>
      <c r="I555" s="96"/>
    </row>
    <row r="556" spans="1:9" x14ac:dyDescent="0.25">
      <c r="A556" s="131"/>
      <c r="B556" s="96"/>
      <c r="C556" s="96"/>
      <c r="D556" s="96"/>
      <c r="E556" s="96"/>
      <c r="F556" s="96"/>
      <c r="G556" s="96"/>
      <c r="H556" s="96"/>
      <c r="I556" s="96"/>
    </row>
    <row r="557" spans="1:9" x14ac:dyDescent="0.25">
      <c r="A557" s="131"/>
      <c r="B557" s="96"/>
      <c r="C557" s="96"/>
      <c r="D557" s="96"/>
      <c r="E557" s="96"/>
      <c r="F557" s="96"/>
      <c r="G557" s="96"/>
      <c r="H557" s="96"/>
      <c r="I557" s="96"/>
    </row>
    <row r="558" spans="1:9" x14ac:dyDescent="0.25">
      <c r="A558" s="131"/>
      <c r="B558" s="96"/>
      <c r="C558" s="96"/>
      <c r="D558" s="96"/>
      <c r="E558" s="96"/>
      <c r="F558" s="96"/>
      <c r="G558" s="96"/>
      <c r="H558" s="96"/>
      <c r="I558" s="96"/>
    </row>
    <row r="559" spans="1:9" x14ac:dyDescent="0.25">
      <c r="A559" s="131"/>
      <c r="B559" s="96"/>
      <c r="C559" s="96"/>
      <c r="D559" s="96"/>
      <c r="E559" s="96"/>
      <c r="F559" s="96"/>
      <c r="G559" s="96"/>
      <c r="H559" s="96"/>
      <c r="I559" s="96"/>
    </row>
    <row r="560" spans="1:9" x14ac:dyDescent="0.25">
      <c r="A560" s="131"/>
      <c r="B560" s="96"/>
      <c r="C560" s="96"/>
      <c r="D560" s="96"/>
      <c r="E560" s="96"/>
      <c r="F560" s="96"/>
      <c r="G560" s="96"/>
      <c r="H560" s="96"/>
      <c r="I560" s="96"/>
    </row>
    <row r="561" spans="1:9" x14ac:dyDescent="0.25">
      <c r="A561" s="131"/>
      <c r="B561" s="96"/>
      <c r="C561" s="96"/>
      <c r="D561" s="96"/>
      <c r="E561" s="96"/>
      <c r="F561" s="96"/>
      <c r="G561" s="96"/>
      <c r="H561" s="96"/>
      <c r="I561" s="96"/>
    </row>
    <row r="562" spans="1:9" x14ac:dyDescent="0.25">
      <c r="A562" s="131"/>
      <c r="B562" s="96"/>
      <c r="C562" s="96"/>
      <c r="D562" s="96"/>
      <c r="E562" s="96"/>
      <c r="F562" s="96"/>
      <c r="G562" s="96"/>
      <c r="H562" s="96"/>
      <c r="I562" s="96"/>
    </row>
    <row r="563" spans="1:9" x14ac:dyDescent="0.25">
      <c r="A563" s="131"/>
      <c r="B563" s="96"/>
      <c r="C563" s="96"/>
      <c r="D563" s="96"/>
      <c r="E563" s="96"/>
      <c r="F563" s="96"/>
      <c r="G563" s="96"/>
      <c r="H563" s="96"/>
      <c r="I563" s="96"/>
    </row>
    <row r="564" spans="1:9" x14ac:dyDescent="0.25">
      <c r="A564" s="131"/>
      <c r="B564" s="96"/>
      <c r="C564" s="96"/>
      <c r="D564" s="96"/>
      <c r="E564" s="96"/>
      <c r="F564" s="96"/>
      <c r="G564" s="96"/>
      <c r="H564" s="96"/>
      <c r="I564" s="96"/>
    </row>
    <row r="565" spans="1:9" x14ac:dyDescent="0.25">
      <c r="A565" s="131"/>
      <c r="B565" s="96"/>
      <c r="C565" s="96"/>
      <c r="D565" s="96"/>
      <c r="E565" s="96"/>
      <c r="F565" s="96"/>
      <c r="G565" s="96"/>
      <c r="H565" s="96"/>
      <c r="I565" s="96"/>
    </row>
    <row r="566" spans="1:9" x14ac:dyDescent="0.25">
      <c r="A566" s="131"/>
      <c r="B566" s="96"/>
      <c r="C566" s="96"/>
      <c r="D566" s="96"/>
      <c r="E566" s="96"/>
      <c r="F566" s="96"/>
      <c r="G566" s="96"/>
      <c r="H566" s="96"/>
      <c r="I566" s="96"/>
    </row>
    <row r="567" spans="1:9" x14ac:dyDescent="0.25">
      <c r="A567" s="131"/>
      <c r="B567" s="96"/>
      <c r="C567" s="96"/>
      <c r="D567" s="96"/>
      <c r="E567" s="96"/>
      <c r="F567" s="96"/>
      <c r="G567" s="96"/>
      <c r="H567" s="96"/>
      <c r="I567" s="96"/>
    </row>
    <row r="568" spans="1:9" x14ac:dyDescent="0.25">
      <c r="A568" s="131"/>
      <c r="B568" s="96"/>
      <c r="C568" s="96"/>
      <c r="D568" s="96"/>
      <c r="E568" s="96"/>
      <c r="F568" s="96"/>
      <c r="G568" s="96"/>
      <c r="H568" s="96"/>
      <c r="I568" s="96"/>
    </row>
    <row r="569" spans="1:9" x14ac:dyDescent="0.25">
      <c r="A569" s="131"/>
      <c r="B569" s="96"/>
      <c r="C569" s="96"/>
      <c r="D569" s="96"/>
      <c r="E569" s="96"/>
      <c r="F569" s="96"/>
      <c r="G569" s="96"/>
      <c r="H569" s="96"/>
      <c r="I569" s="96"/>
    </row>
    <row r="570" spans="1:9" x14ac:dyDescent="0.25">
      <c r="A570" s="131"/>
      <c r="B570" s="96"/>
      <c r="C570" s="96"/>
      <c r="D570" s="96"/>
      <c r="E570" s="96"/>
      <c r="F570" s="96"/>
      <c r="G570" s="96"/>
      <c r="H570" s="96"/>
      <c r="I570" s="96"/>
    </row>
    <row r="571" spans="1:9" x14ac:dyDescent="0.25">
      <c r="A571" s="131"/>
      <c r="B571" s="96"/>
      <c r="C571" s="96"/>
      <c r="D571" s="96"/>
      <c r="E571" s="96"/>
      <c r="F571" s="96"/>
      <c r="G571" s="96"/>
      <c r="H571" s="96"/>
      <c r="I571" s="96"/>
    </row>
    <row r="572" spans="1:9" x14ac:dyDescent="0.25">
      <c r="A572" s="131"/>
      <c r="B572" s="96"/>
      <c r="C572" s="96"/>
      <c r="D572" s="96"/>
      <c r="E572" s="96"/>
      <c r="F572" s="96"/>
      <c r="G572" s="96"/>
      <c r="H572" s="96"/>
      <c r="I572" s="96"/>
    </row>
    <row r="573" spans="1:9" x14ac:dyDescent="0.25">
      <c r="A573" s="131"/>
      <c r="B573" s="96"/>
      <c r="C573" s="96"/>
      <c r="D573" s="96"/>
      <c r="E573" s="96"/>
      <c r="F573" s="96"/>
      <c r="G573" s="96"/>
      <c r="H573" s="96"/>
      <c r="I573" s="96"/>
    </row>
    <row r="574" spans="1:9" x14ac:dyDescent="0.25">
      <c r="A574" s="131"/>
      <c r="B574" s="96"/>
      <c r="C574" s="96"/>
      <c r="D574" s="96"/>
      <c r="E574" s="96"/>
      <c r="F574" s="96"/>
      <c r="G574" s="96"/>
      <c r="H574" s="96"/>
      <c r="I574" s="96"/>
    </row>
    <row r="575" spans="1:9" x14ac:dyDescent="0.25">
      <c r="A575" s="131"/>
      <c r="B575" s="96"/>
      <c r="C575" s="96"/>
      <c r="D575" s="96"/>
      <c r="E575" s="96"/>
      <c r="F575" s="96"/>
      <c r="G575" s="96"/>
      <c r="H575" s="96"/>
      <c r="I575" s="96"/>
    </row>
    <row r="576" spans="1:9" x14ac:dyDescent="0.25">
      <c r="A576" s="131"/>
      <c r="B576" s="96"/>
      <c r="C576" s="96"/>
      <c r="D576" s="96"/>
      <c r="E576" s="96"/>
      <c r="F576" s="96"/>
      <c r="G576" s="96"/>
      <c r="H576" s="96"/>
      <c r="I576" s="96"/>
    </row>
    <row r="577" spans="1:9" x14ac:dyDescent="0.25">
      <c r="A577" s="131"/>
      <c r="B577" s="96"/>
      <c r="C577" s="96"/>
      <c r="D577" s="96"/>
      <c r="E577" s="96"/>
      <c r="F577" s="96"/>
      <c r="G577" s="96"/>
      <c r="H577" s="96"/>
      <c r="I577" s="96"/>
    </row>
    <row r="578" spans="1:9" x14ac:dyDescent="0.25">
      <c r="A578" s="131"/>
      <c r="B578" s="96"/>
      <c r="C578" s="96"/>
      <c r="D578" s="96"/>
      <c r="E578" s="96"/>
      <c r="F578" s="96"/>
      <c r="G578" s="96"/>
      <c r="H578" s="96"/>
      <c r="I578" s="96"/>
    </row>
    <row r="579" spans="1:9" x14ac:dyDescent="0.25">
      <c r="A579" s="131"/>
      <c r="B579" s="96"/>
      <c r="C579" s="96"/>
      <c r="D579" s="96"/>
      <c r="E579" s="96"/>
      <c r="F579" s="96"/>
      <c r="G579" s="96"/>
      <c r="H579" s="96"/>
      <c r="I579" s="96"/>
    </row>
    <row r="580" spans="1:9" x14ac:dyDescent="0.25">
      <c r="A580" s="131"/>
      <c r="B580" s="96"/>
      <c r="C580" s="96"/>
      <c r="D580" s="96"/>
      <c r="E580" s="96"/>
      <c r="F580" s="96"/>
      <c r="G580" s="96"/>
      <c r="H580" s="96"/>
      <c r="I580" s="96"/>
    </row>
    <row r="581" spans="1:9" x14ac:dyDescent="0.25">
      <c r="A581" s="131"/>
      <c r="B581" s="96"/>
      <c r="C581" s="96"/>
      <c r="D581" s="96"/>
      <c r="E581" s="96"/>
      <c r="F581" s="96"/>
      <c r="G581" s="96"/>
      <c r="H581" s="96"/>
      <c r="I581" s="96"/>
    </row>
    <row r="582" spans="1:9" x14ac:dyDescent="0.25">
      <c r="A582" s="131"/>
      <c r="B582" s="96"/>
      <c r="C582" s="96"/>
      <c r="D582" s="96"/>
      <c r="E582" s="96"/>
      <c r="F582" s="96"/>
      <c r="G582" s="96"/>
      <c r="H582" s="96"/>
      <c r="I582" s="96"/>
    </row>
    <row r="583" spans="1:9" x14ac:dyDescent="0.25">
      <c r="A583" s="131"/>
      <c r="B583" s="96"/>
      <c r="C583" s="96"/>
      <c r="D583" s="96"/>
      <c r="E583" s="96"/>
      <c r="F583" s="96"/>
      <c r="G583" s="96"/>
      <c r="H583" s="96"/>
      <c r="I583" s="96"/>
    </row>
    <row r="584" spans="1:9" x14ac:dyDescent="0.25">
      <c r="A584" s="131"/>
      <c r="B584" s="96"/>
      <c r="C584" s="96"/>
      <c r="D584" s="96"/>
      <c r="E584" s="96"/>
      <c r="F584" s="96"/>
      <c r="G584" s="96"/>
      <c r="H584" s="96"/>
      <c r="I584" s="96"/>
    </row>
    <row r="585" spans="1:9" x14ac:dyDescent="0.25">
      <c r="A585" s="131"/>
      <c r="B585" s="96"/>
      <c r="C585" s="96"/>
      <c r="D585" s="96"/>
      <c r="E585" s="96"/>
      <c r="F585" s="96"/>
      <c r="G585" s="96"/>
      <c r="H585" s="96"/>
      <c r="I585" s="96"/>
    </row>
    <row r="586" spans="1:9" x14ac:dyDescent="0.25">
      <c r="A586" s="131"/>
      <c r="B586" s="96"/>
      <c r="C586" s="96"/>
      <c r="D586" s="96"/>
      <c r="E586" s="96"/>
      <c r="F586" s="96"/>
      <c r="G586" s="96"/>
      <c r="H586" s="96"/>
      <c r="I586" s="96"/>
    </row>
    <row r="587" spans="1:9" x14ac:dyDescent="0.25">
      <c r="A587" s="131"/>
      <c r="B587" s="96"/>
      <c r="C587" s="96"/>
      <c r="D587" s="96"/>
      <c r="E587" s="96"/>
      <c r="F587" s="96"/>
      <c r="G587" s="96"/>
      <c r="H587" s="96"/>
      <c r="I587" s="96"/>
    </row>
    <row r="588" spans="1:9" x14ac:dyDescent="0.25">
      <c r="A588" s="131"/>
      <c r="B588" s="96"/>
      <c r="C588" s="96"/>
      <c r="D588" s="96"/>
      <c r="E588" s="96"/>
      <c r="F588" s="96"/>
      <c r="G588" s="96"/>
      <c r="H588" s="96"/>
      <c r="I588" s="96"/>
    </row>
    <row r="589" spans="1:9" x14ac:dyDescent="0.25">
      <c r="A589" s="131"/>
      <c r="B589" s="96"/>
      <c r="C589" s="96"/>
      <c r="D589" s="96"/>
      <c r="E589" s="96"/>
      <c r="F589" s="96"/>
      <c r="G589" s="96"/>
      <c r="H589" s="96"/>
      <c r="I589" s="96"/>
    </row>
    <row r="590" spans="1:9" x14ac:dyDescent="0.25">
      <c r="A590" s="131"/>
      <c r="B590" s="96"/>
      <c r="C590" s="96"/>
      <c r="D590" s="96"/>
      <c r="E590" s="96"/>
      <c r="F590" s="96"/>
      <c r="G590" s="96"/>
      <c r="H590" s="96"/>
      <c r="I590" s="96"/>
    </row>
    <row r="591" spans="1:9" x14ac:dyDescent="0.25">
      <c r="A591" s="131"/>
      <c r="B591" s="96"/>
      <c r="C591" s="96"/>
      <c r="D591" s="96"/>
      <c r="E591" s="96"/>
      <c r="F591" s="96"/>
      <c r="G591" s="96"/>
      <c r="H591" s="96"/>
      <c r="I591" s="96"/>
    </row>
    <row r="592" spans="1:9" x14ac:dyDescent="0.25">
      <c r="A592" s="131"/>
      <c r="B592" s="96"/>
      <c r="C592" s="96"/>
      <c r="D592" s="96"/>
      <c r="E592" s="96"/>
      <c r="F592" s="96"/>
      <c r="G592" s="96"/>
      <c r="H592" s="96"/>
      <c r="I592" s="96"/>
    </row>
    <row r="593" spans="1:9" x14ac:dyDescent="0.25">
      <c r="A593" s="131"/>
      <c r="B593" s="96"/>
      <c r="C593" s="96"/>
      <c r="D593" s="96"/>
      <c r="E593" s="96"/>
      <c r="F593" s="96"/>
      <c r="G593" s="96"/>
      <c r="H593" s="96"/>
      <c r="I593" s="96"/>
    </row>
    <row r="594" spans="1:9" x14ac:dyDescent="0.25">
      <c r="A594" s="131"/>
      <c r="B594" s="96"/>
      <c r="C594" s="96"/>
      <c r="D594" s="96"/>
      <c r="E594" s="96"/>
      <c r="F594" s="96"/>
      <c r="G594" s="96"/>
      <c r="H594" s="96"/>
      <c r="I594" s="96"/>
    </row>
    <row r="595" spans="1:9" x14ac:dyDescent="0.25">
      <c r="A595" s="131"/>
      <c r="B595" s="96"/>
      <c r="C595" s="96"/>
      <c r="D595" s="96"/>
      <c r="E595" s="96"/>
      <c r="F595" s="96"/>
      <c r="G595" s="96"/>
      <c r="H595" s="96"/>
      <c r="I595" s="96"/>
    </row>
    <row r="596" spans="1:9" x14ac:dyDescent="0.25">
      <c r="A596" s="131"/>
      <c r="B596" s="96"/>
      <c r="C596" s="96"/>
      <c r="D596" s="96"/>
      <c r="E596" s="96"/>
      <c r="F596" s="96"/>
      <c r="G596" s="96"/>
      <c r="H596" s="96"/>
      <c r="I596" s="96"/>
    </row>
    <row r="597" spans="1:9" x14ac:dyDescent="0.25">
      <c r="A597" s="131"/>
      <c r="B597" s="96"/>
      <c r="C597" s="96"/>
      <c r="D597" s="96"/>
      <c r="E597" s="96"/>
      <c r="F597" s="96"/>
      <c r="G597" s="96"/>
      <c r="H597" s="96"/>
      <c r="I597" s="96"/>
    </row>
    <row r="598" spans="1:9" x14ac:dyDescent="0.25">
      <c r="A598" s="131"/>
      <c r="B598" s="96"/>
      <c r="C598" s="96"/>
      <c r="D598" s="96"/>
      <c r="E598" s="96"/>
      <c r="F598" s="96"/>
      <c r="G598" s="96"/>
      <c r="H598" s="96"/>
      <c r="I598" s="96"/>
    </row>
    <row r="599" spans="1:9" x14ac:dyDescent="0.25">
      <c r="A599" s="131"/>
      <c r="B599" s="96"/>
      <c r="C599" s="96"/>
      <c r="D599" s="96"/>
      <c r="E599" s="96"/>
      <c r="F599" s="96"/>
      <c r="G599" s="96"/>
      <c r="H599" s="96"/>
      <c r="I599" s="96"/>
    </row>
    <row r="600" spans="1:9" x14ac:dyDescent="0.25">
      <c r="A600" s="131"/>
      <c r="B600" s="96"/>
      <c r="C600" s="96"/>
      <c r="D600" s="96"/>
      <c r="E600" s="96"/>
      <c r="F600" s="96"/>
      <c r="G600" s="96"/>
      <c r="H600" s="96"/>
      <c r="I600" s="96"/>
    </row>
    <row r="601" spans="1:9" x14ac:dyDescent="0.25">
      <c r="A601" s="131"/>
      <c r="B601" s="96"/>
      <c r="C601" s="96"/>
      <c r="D601" s="96"/>
      <c r="E601" s="96"/>
      <c r="F601" s="96"/>
      <c r="G601" s="96"/>
      <c r="H601" s="96"/>
      <c r="I601" s="96"/>
    </row>
    <row r="602" spans="1:9" x14ac:dyDescent="0.25">
      <c r="A602" s="131"/>
      <c r="B602" s="96"/>
      <c r="C602" s="96"/>
      <c r="D602" s="96"/>
      <c r="E602" s="96"/>
      <c r="F602" s="96"/>
      <c r="G602" s="96"/>
      <c r="H602" s="96"/>
      <c r="I602" s="96"/>
    </row>
    <row r="603" spans="1:9" x14ac:dyDescent="0.25">
      <c r="A603" s="131"/>
      <c r="B603" s="96"/>
      <c r="C603" s="96"/>
      <c r="D603" s="96"/>
      <c r="E603" s="96"/>
      <c r="F603" s="96"/>
      <c r="G603" s="96"/>
      <c r="H603" s="96"/>
      <c r="I603" s="96"/>
    </row>
    <row r="604" spans="1:9" x14ac:dyDescent="0.25">
      <c r="A604" s="131"/>
      <c r="B604" s="96"/>
      <c r="C604" s="96"/>
      <c r="D604" s="96"/>
      <c r="E604" s="96"/>
      <c r="F604" s="96"/>
      <c r="G604" s="96"/>
      <c r="H604" s="96"/>
      <c r="I604" s="96"/>
    </row>
    <row r="605" spans="1:9" x14ac:dyDescent="0.25">
      <c r="A605" s="131"/>
      <c r="B605" s="96"/>
      <c r="C605" s="96"/>
      <c r="D605" s="96"/>
      <c r="E605" s="96"/>
      <c r="F605" s="96"/>
      <c r="G605" s="96"/>
      <c r="H605" s="96"/>
      <c r="I605" s="96"/>
    </row>
    <row r="606" spans="1:9" x14ac:dyDescent="0.25">
      <c r="A606" s="131"/>
      <c r="B606" s="96"/>
      <c r="C606" s="96"/>
      <c r="D606" s="96"/>
      <c r="E606" s="96"/>
      <c r="F606" s="96"/>
      <c r="G606" s="96"/>
      <c r="H606" s="96"/>
      <c r="I606" s="96"/>
    </row>
    <row r="607" spans="1:9" x14ac:dyDescent="0.25">
      <c r="A607" s="131"/>
      <c r="B607" s="96"/>
      <c r="C607" s="96"/>
      <c r="D607" s="96"/>
      <c r="E607" s="96"/>
      <c r="F607" s="96"/>
      <c r="G607" s="96"/>
      <c r="H607" s="96"/>
      <c r="I607" s="96"/>
    </row>
    <row r="608" spans="1:9" x14ac:dyDescent="0.25">
      <c r="A608" s="131"/>
      <c r="B608" s="96"/>
      <c r="C608" s="96"/>
      <c r="D608" s="96"/>
      <c r="E608" s="96"/>
      <c r="F608" s="96"/>
      <c r="G608" s="96"/>
      <c r="H608" s="96"/>
      <c r="I608" s="96"/>
    </row>
    <row r="609" spans="1:9" x14ac:dyDescent="0.25">
      <c r="A609" s="131"/>
      <c r="B609" s="96"/>
      <c r="C609" s="96"/>
      <c r="D609" s="96"/>
      <c r="E609" s="96"/>
      <c r="F609" s="96"/>
      <c r="G609" s="96"/>
      <c r="H609" s="96"/>
      <c r="I609" s="96"/>
    </row>
    <row r="610" spans="1:9" x14ac:dyDescent="0.25">
      <c r="A610" s="131"/>
      <c r="B610" s="96"/>
      <c r="C610" s="96"/>
      <c r="D610" s="96"/>
      <c r="E610" s="96"/>
      <c r="F610" s="96"/>
      <c r="G610" s="96"/>
      <c r="H610" s="96"/>
      <c r="I610" s="96"/>
    </row>
    <row r="611" spans="1:9" x14ac:dyDescent="0.25">
      <c r="A611" s="131"/>
      <c r="B611" s="96"/>
      <c r="C611" s="96"/>
      <c r="D611" s="96"/>
      <c r="E611" s="96"/>
      <c r="F611" s="96"/>
      <c r="G611" s="96"/>
      <c r="H611" s="96"/>
      <c r="I611" s="96"/>
    </row>
    <row r="612" spans="1:9" x14ac:dyDescent="0.25">
      <c r="A612" s="131"/>
      <c r="B612" s="96"/>
      <c r="C612" s="96"/>
      <c r="D612" s="96"/>
      <c r="E612" s="96"/>
      <c r="F612" s="96"/>
      <c r="G612" s="96"/>
      <c r="H612" s="96"/>
      <c r="I612" s="96"/>
    </row>
    <row r="613" spans="1:9" x14ac:dyDescent="0.25">
      <c r="A613" s="131"/>
      <c r="B613" s="96"/>
      <c r="C613" s="96"/>
      <c r="D613" s="96"/>
      <c r="E613" s="96"/>
      <c r="F613" s="96"/>
      <c r="G613" s="96"/>
      <c r="H613" s="96"/>
      <c r="I613" s="96"/>
    </row>
    <row r="614" spans="1:9" x14ac:dyDescent="0.25">
      <c r="A614" s="131"/>
      <c r="B614" s="96"/>
      <c r="C614" s="96"/>
      <c r="D614" s="96"/>
      <c r="E614" s="96"/>
      <c r="F614" s="96"/>
      <c r="G614" s="96"/>
      <c r="H614" s="96"/>
      <c r="I614" s="96"/>
    </row>
    <row r="615" spans="1:9" x14ac:dyDescent="0.25">
      <c r="A615" s="131"/>
      <c r="B615" s="96"/>
      <c r="C615" s="96"/>
      <c r="D615" s="96"/>
      <c r="E615" s="96"/>
      <c r="F615" s="96"/>
      <c r="G615" s="96"/>
      <c r="H615" s="96"/>
      <c r="I615" s="96"/>
    </row>
    <row r="616" spans="1:9" x14ac:dyDescent="0.25">
      <c r="A616" s="131"/>
      <c r="B616" s="96"/>
      <c r="C616" s="96"/>
      <c r="D616" s="96"/>
      <c r="E616" s="96"/>
      <c r="F616" s="96"/>
      <c r="G616" s="96"/>
      <c r="H616" s="96"/>
      <c r="I616" s="96"/>
    </row>
    <row r="617" spans="1:9" x14ac:dyDescent="0.25">
      <c r="A617" s="131"/>
      <c r="B617" s="96"/>
      <c r="C617" s="96"/>
      <c r="D617" s="96"/>
      <c r="E617" s="96"/>
      <c r="F617" s="96"/>
      <c r="G617" s="96"/>
      <c r="H617" s="96"/>
      <c r="I617" s="96"/>
    </row>
    <row r="618" spans="1:9" x14ac:dyDescent="0.25">
      <c r="A618" s="131"/>
      <c r="B618" s="96"/>
      <c r="C618" s="96"/>
      <c r="D618" s="96"/>
      <c r="E618" s="96"/>
      <c r="F618" s="96"/>
      <c r="G618" s="96"/>
      <c r="H618" s="96"/>
      <c r="I618" s="96"/>
    </row>
    <row r="619" spans="1:9" x14ac:dyDescent="0.25">
      <c r="A619" s="131"/>
      <c r="B619" s="96"/>
      <c r="C619" s="96"/>
      <c r="D619" s="96"/>
      <c r="E619" s="96"/>
      <c r="F619" s="96"/>
      <c r="G619" s="96"/>
      <c r="H619" s="96"/>
      <c r="I619" s="96"/>
    </row>
    <row r="620" spans="1:9" x14ac:dyDescent="0.25">
      <c r="A620" s="131"/>
      <c r="B620" s="96"/>
      <c r="C620" s="96"/>
      <c r="D620" s="96"/>
      <c r="E620" s="96"/>
      <c r="F620" s="96"/>
      <c r="G620" s="96"/>
      <c r="H620" s="96"/>
      <c r="I620" s="96"/>
    </row>
    <row r="621" spans="1:9" x14ac:dyDescent="0.25">
      <c r="A621" s="131"/>
      <c r="B621" s="96"/>
      <c r="C621" s="96"/>
      <c r="D621" s="96"/>
      <c r="E621" s="96"/>
      <c r="F621" s="96"/>
      <c r="G621" s="96"/>
      <c r="H621" s="96"/>
      <c r="I621" s="96"/>
    </row>
    <row r="622" spans="1:9" x14ac:dyDescent="0.25">
      <c r="A622" s="131"/>
      <c r="B622" s="96"/>
      <c r="C622" s="96"/>
      <c r="D622" s="96"/>
      <c r="E622" s="96"/>
      <c r="F622" s="96"/>
      <c r="G622" s="96"/>
      <c r="H622" s="96"/>
      <c r="I622" s="96"/>
    </row>
    <row r="623" spans="1:9" x14ac:dyDescent="0.25">
      <c r="A623" s="131"/>
      <c r="B623" s="96"/>
      <c r="C623" s="96"/>
      <c r="D623" s="96"/>
      <c r="E623" s="96"/>
      <c r="F623" s="96"/>
      <c r="G623" s="96"/>
      <c r="H623" s="96"/>
      <c r="I623" s="96"/>
    </row>
    <row r="624" spans="1:9" x14ac:dyDescent="0.25">
      <c r="A624" s="131"/>
      <c r="B624" s="96"/>
      <c r="C624" s="96"/>
      <c r="D624" s="96"/>
      <c r="E624" s="96"/>
      <c r="F624" s="96"/>
      <c r="G624" s="96"/>
      <c r="H624" s="96"/>
      <c r="I624" s="96"/>
    </row>
    <row r="625" spans="1:9" x14ac:dyDescent="0.25">
      <c r="A625" s="131"/>
      <c r="B625" s="96"/>
      <c r="C625" s="96"/>
      <c r="D625" s="96"/>
      <c r="E625" s="96"/>
      <c r="F625" s="96"/>
      <c r="G625" s="96"/>
      <c r="H625" s="96"/>
      <c r="I625" s="96"/>
    </row>
    <row r="626" spans="1:9" x14ac:dyDescent="0.25">
      <c r="A626" s="131"/>
      <c r="B626" s="96"/>
      <c r="C626" s="96"/>
      <c r="D626" s="96"/>
      <c r="E626" s="96"/>
      <c r="F626" s="96"/>
      <c r="G626" s="96"/>
      <c r="H626" s="96"/>
      <c r="I626" s="96"/>
    </row>
    <row r="627" spans="1:9" x14ac:dyDescent="0.25">
      <c r="A627" s="131"/>
      <c r="B627" s="96"/>
      <c r="C627" s="96"/>
      <c r="D627" s="96"/>
      <c r="E627" s="96"/>
      <c r="F627" s="96"/>
      <c r="G627" s="96"/>
      <c r="H627" s="96"/>
      <c r="I627" s="96"/>
    </row>
    <row r="628" spans="1:9" x14ac:dyDescent="0.25">
      <c r="A628" s="131"/>
      <c r="B628" s="96"/>
      <c r="C628" s="96"/>
      <c r="D628" s="96"/>
      <c r="E628" s="96"/>
      <c r="F628" s="96"/>
      <c r="G628" s="96"/>
      <c r="H628" s="96"/>
      <c r="I628" s="96"/>
    </row>
    <row r="629" spans="1:9" x14ac:dyDescent="0.25">
      <c r="A629" s="131"/>
      <c r="B629" s="96"/>
      <c r="C629" s="96"/>
      <c r="D629" s="96"/>
      <c r="E629" s="96"/>
      <c r="F629" s="96"/>
      <c r="G629" s="96"/>
      <c r="H629" s="96"/>
      <c r="I629" s="96"/>
    </row>
    <row r="630" spans="1:9" x14ac:dyDescent="0.25">
      <c r="A630" s="131"/>
      <c r="B630" s="96"/>
      <c r="C630" s="96"/>
      <c r="D630" s="96"/>
      <c r="E630" s="96"/>
      <c r="F630" s="96"/>
      <c r="G630" s="96"/>
      <c r="H630" s="96"/>
      <c r="I630" s="96"/>
    </row>
    <row r="631" spans="1:9" x14ac:dyDescent="0.25">
      <c r="A631" s="131"/>
      <c r="B631" s="96"/>
      <c r="C631" s="96"/>
      <c r="D631" s="96"/>
      <c r="E631" s="96"/>
      <c r="F631" s="96"/>
      <c r="G631" s="96"/>
      <c r="H631" s="96"/>
      <c r="I631" s="96"/>
    </row>
    <row r="632" spans="1:9" x14ac:dyDescent="0.25">
      <c r="A632" s="131"/>
      <c r="B632" s="96"/>
      <c r="C632" s="96"/>
      <c r="D632" s="96"/>
      <c r="E632" s="96"/>
      <c r="F632" s="96"/>
      <c r="G632" s="96"/>
      <c r="H632" s="96"/>
      <c r="I632" s="96"/>
    </row>
    <row r="633" spans="1:9" x14ac:dyDescent="0.25">
      <c r="A633" s="131"/>
      <c r="B633" s="96"/>
      <c r="C633" s="96"/>
      <c r="D633" s="96"/>
      <c r="E633" s="96"/>
      <c r="F633" s="96"/>
      <c r="G633" s="96"/>
      <c r="H633" s="96"/>
      <c r="I633" s="96"/>
    </row>
    <row r="634" spans="1:9" x14ac:dyDescent="0.25">
      <c r="A634" s="131"/>
      <c r="B634" s="96"/>
      <c r="C634" s="96"/>
      <c r="D634" s="96"/>
      <c r="E634" s="96"/>
      <c r="F634" s="96"/>
      <c r="G634" s="96"/>
      <c r="H634" s="96"/>
      <c r="I634" s="96"/>
    </row>
    <row r="635" spans="1:9" x14ac:dyDescent="0.25">
      <c r="A635" s="131"/>
      <c r="B635" s="96"/>
      <c r="C635" s="96"/>
      <c r="D635" s="96"/>
      <c r="E635" s="96"/>
      <c r="F635" s="96"/>
      <c r="G635" s="96"/>
      <c r="H635" s="96"/>
      <c r="I635" s="96"/>
    </row>
    <row r="636" spans="1:9" x14ac:dyDescent="0.25">
      <c r="A636" s="131"/>
      <c r="B636" s="96"/>
      <c r="C636" s="96"/>
      <c r="D636" s="96"/>
      <c r="E636" s="96"/>
      <c r="F636" s="96"/>
      <c r="G636" s="96"/>
      <c r="H636" s="96"/>
      <c r="I636" s="96"/>
    </row>
    <row r="637" spans="1:9" x14ac:dyDescent="0.25">
      <c r="A637" s="131"/>
      <c r="B637" s="96"/>
      <c r="C637" s="96"/>
      <c r="D637" s="96"/>
      <c r="E637" s="96"/>
      <c r="F637" s="96"/>
      <c r="G637" s="96"/>
      <c r="H637" s="96"/>
      <c r="I637" s="96"/>
    </row>
    <row r="638" spans="1:9" x14ac:dyDescent="0.25">
      <c r="A638" s="131"/>
      <c r="B638" s="96"/>
      <c r="C638" s="96"/>
      <c r="D638" s="96"/>
      <c r="E638" s="96"/>
      <c r="F638" s="96"/>
      <c r="G638" s="96"/>
      <c r="H638" s="96"/>
      <c r="I638" s="96"/>
    </row>
    <row r="639" spans="1:9" x14ac:dyDescent="0.25">
      <c r="A639" s="131"/>
      <c r="B639" s="96"/>
      <c r="C639" s="96"/>
      <c r="D639" s="96"/>
      <c r="E639" s="96"/>
      <c r="F639" s="96"/>
      <c r="G639" s="96"/>
      <c r="H639" s="96"/>
      <c r="I639" s="96"/>
    </row>
    <row r="640" spans="1:9" x14ac:dyDescent="0.25">
      <c r="A640" s="131"/>
      <c r="B640" s="96"/>
      <c r="C640" s="96"/>
      <c r="D640" s="96"/>
      <c r="E640" s="96"/>
      <c r="F640" s="96"/>
      <c r="G640" s="96"/>
      <c r="H640" s="96"/>
      <c r="I640" s="96"/>
    </row>
    <row r="641" spans="1:9" x14ac:dyDescent="0.25">
      <c r="A641" s="131"/>
      <c r="B641" s="96"/>
      <c r="C641" s="96"/>
      <c r="D641" s="96"/>
      <c r="E641" s="96"/>
      <c r="F641" s="96"/>
      <c r="G641" s="96"/>
      <c r="H641" s="96"/>
      <c r="I641" s="96"/>
    </row>
    <row r="642" spans="1:9" x14ac:dyDescent="0.25">
      <c r="A642" s="131"/>
      <c r="B642" s="96"/>
      <c r="C642" s="96"/>
      <c r="D642" s="96"/>
      <c r="E642" s="96"/>
      <c r="F642" s="96"/>
      <c r="G642" s="96"/>
      <c r="H642" s="96"/>
      <c r="I642" s="96"/>
    </row>
    <row r="643" spans="1:9" x14ac:dyDescent="0.25">
      <c r="A643" s="131"/>
      <c r="B643" s="96"/>
      <c r="C643" s="96"/>
      <c r="D643" s="96"/>
      <c r="E643" s="96"/>
      <c r="F643" s="96"/>
      <c r="G643" s="96"/>
      <c r="H643" s="96"/>
      <c r="I643" s="96"/>
    </row>
    <row r="644" spans="1:9" x14ac:dyDescent="0.25">
      <c r="A644" s="131"/>
      <c r="B644" s="96"/>
      <c r="C644" s="96"/>
      <c r="D644" s="96"/>
      <c r="E644" s="96"/>
      <c r="F644" s="96"/>
      <c r="G644" s="96"/>
      <c r="H644" s="96"/>
      <c r="I644" s="96"/>
    </row>
    <row r="645" spans="1:9" x14ac:dyDescent="0.25">
      <c r="A645" s="131"/>
      <c r="B645" s="96"/>
      <c r="C645" s="96"/>
      <c r="D645" s="96"/>
      <c r="E645" s="96"/>
      <c r="F645" s="96"/>
      <c r="G645" s="96"/>
      <c r="H645" s="96"/>
      <c r="I645" s="96"/>
    </row>
    <row r="646" spans="1:9" x14ac:dyDescent="0.25">
      <c r="A646" s="131"/>
      <c r="B646" s="96"/>
      <c r="C646" s="96"/>
      <c r="D646" s="96"/>
      <c r="E646" s="96"/>
      <c r="F646" s="96"/>
      <c r="G646" s="96"/>
      <c r="H646" s="96"/>
      <c r="I646" s="96"/>
    </row>
    <row r="647" spans="1:9" x14ac:dyDescent="0.25">
      <c r="A647" s="131"/>
      <c r="B647" s="96"/>
      <c r="C647" s="96"/>
      <c r="D647" s="96"/>
      <c r="E647" s="96"/>
      <c r="F647" s="96"/>
      <c r="G647" s="96"/>
      <c r="H647" s="96"/>
      <c r="I647" s="96"/>
    </row>
    <row r="648" spans="1:9" x14ac:dyDescent="0.25">
      <c r="A648" s="131"/>
      <c r="B648" s="96"/>
      <c r="C648" s="96"/>
      <c r="D648" s="96"/>
      <c r="E648" s="96"/>
      <c r="F648" s="96"/>
      <c r="G648" s="96"/>
      <c r="H648" s="96"/>
      <c r="I648" s="96"/>
    </row>
    <row r="649" spans="1:9" x14ac:dyDescent="0.25">
      <c r="A649" s="131"/>
      <c r="B649" s="96"/>
      <c r="C649" s="96"/>
      <c r="D649" s="96"/>
      <c r="E649" s="96"/>
      <c r="F649" s="96"/>
      <c r="G649" s="96"/>
      <c r="H649" s="96"/>
      <c r="I649" s="96"/>
    </row>
    <row r="650" spans="1:9" x14ac:dyDescent="0.25">
      <c r="A650" s="131"/>
      <c r="B650" s="96"/>
      <c r="C650" s="96"/>
      <c r="D650" s="96"/>
      <c r="E650" s="96"/>
      <c r="F650" s="96"/>
      <c r="G650" s="96"/>
      <c r="H650" s="96"/>
      <c r="I650" s="96"/>
    </row>
    <row r="651" spans="1:9" x14ac:dyDescent="0.25">
      <c r="A651" s="131"/>
      <c r="B651" s="96"/>
      <c r="C651" s="96"/>
      <c r="D651" s="96"/>
      <c r="E651" s="96"/>
      <c r="F651" s="96"/>
      <c r="G651" s="96"/>
      <c r="H651" s="96"/>
      <c r="I651" s="96"/>
    </row>
    <row r="652" spans="1:9" x14ac:dyDescent="0.25">
      <c r="A652" s="131"/>
      <c r="B652" s="96"/>
      <c r="C652" s="96"/>
      <c r="D652" s="96"/>
      <c r="E652" s="96"/>
      <c r="F652" s="96"/>
      <c r="G652" s="96"/>
      <c r="H652" s="96"/>
      <c r="I652" s="96"/>
    </row>
    <row r="653" spans="1:9" x14ac:dyDescent="0.25">
      <c r="A653" s="131"/>
      <c r="B653" s="96"/>
      <c r="C653" s="96"/>
      <c r="D653" s="96"/>
      <c r="E653" s="96"/>
      <c r="F653" s="96"/>
      <c r="G653" s="96"/>
      <c r="H653" s="96"/>
      <c r="I653" s="96"/>
    </row>
    <row r="654" spans="1:9" x14ac:dyDescent="0.25">
      <c r="A654" s="131"/>
      <c r="B654" s="96"/>
      <c r="C654" s="96"/>
      <c r="D654" s="96"/>
      <c r="E654" s="96"/>
      <c r="F654" s="96"/>
      <c r="G654" s="96"/>
      <c r="H654" s="96"/>
      <c r="I654" s="96"/>
    </row>
    <row r="655" spans="1:9" x14ac:dyDescent="0.25">
      <c r="A655" s="131"/>
      <c r="B655" s="96"/>
      <c r="C655" s="96"/>
      <c r="D655" s="96"/>
      <c r="E655" s="96"/>
      <c r="F655" s="96"/>
      <c r="G655" s="96"/>
      <c r="H655" s="96"/>
      <c r="I655" s="96"/>
    </row>
    <row r="656" spans="1:9" x14ac:dyDescent="0.25">
      <c r="A656" s="131"/>
      <c r="B656" s="96"/>
      <c r="C656" s="96"/>
      <c r="D656" s="96"/>
      <c r="E656" s="96"/>
      <c r="F656" s="96"/>
      <c r="G656" s="96"/>
      <c r="H656" s="96"/>
      <c r="I656" s="96"/>
    </row>
    <row r="657" spans="1:9" x14ac:dyDescent="0.25">
      <c r="A657" s="131"/>
      <c r="B657" s="96"/>
      <c r="C657" s="96"/>
      <c r="D657" s="96"/>
      <c r="E657" s="96"/>
      <c r="F657" s="96"/>
      <c r="G657" s="96"/>
      <c r="H657" s="96"/>
      <c r="I657" s="96"/>
    </row>
    <row r="658" spans="1:9" x14ac:dyDescent="0.25">
      <c r="A658" s="131"/>
      <c r="B658" s="96"/>
      <c r="C658" s="96"/>
      <c r="D658" s="96"/>
      <c r="E658" s="96"/>
      <c r="F658" s="96"/>
      <c r="G658" s="96"/>
      <c r="H658" s="96"/>
      <c r="I658" s="96"/>
    </row>
    <row r="659" spans="1:9" x14ac:dyDescent="0.25">
      <c r="A659" s="131"/>
      <c r="B659" s="96"/>
      <c r="C659" s="96"/>
      <c r="D659" s="96"/>
      <c r="E659" s="96"/>
      <c r="F659" s="96"/>
      <c r="G659" s="96"/>
      <c r="H659" s="96"/>
      <c r="I659" s="96"/>
    </row>
    <row r="660" spans="1:9" x14ac:dyDescent="0.25">
      <c r="A660" s="131"/>
      <c r="B660" s="96"/>
      <c r="C660" s="96"/>
      <c r="D660" s="96"/>
      <c r="E660" s="96"/>
      <c r="F660" s="96"/>
      <c r="G660" s="96"/>
      <c r="H660" s="96"/>
      <c r="I660" s="96"/>
    </row>
    <row r="661" spans="1:9" x14ac:dyDescent="0.25">
      <c r="A661" s="131"/>
      <c r="B661" s="96"/>
      <c r="C661" s="96"/>
      <c r="D661" s="96"/>
      <c r="E661" s="96"/>
      <c r="F661" s="96"/>
      <c r="G661" s="96"/>
      <c r="H661" s="96"/>
      <c r="I661" s="96"/>
    </row>
    <row r="662" spans="1:9" x14ac:dyDescent="0.25">
      <c r="A662" s="131"/>
      <c r="B662" s="96"/>
      <c r="C662" s="96"/>
      <c r="D662" s="96"/>
      <c r="E662" s="96"/>
      <c r="F662" s="96"/>
      <c r="G662" s="96"/>
      <c r="H662" s="96"/>
      <c r="I662" s="96"/>
    </row>
    <row r="663" spans="1:9" x14ac:dyDescent="0.25">
      <c r="A663" s="131"/>
      <c r="B663" s="96"/>
      <c r="C663" s="96"/>
      <c r="D663" s="96"/>
      <c r="E663" s="96"/>
      <c r="F663" s="96"/>
      <c r="G663" s="96"/>
      <c r="H663" s="96"/>
      <c r="I663" s="96"/>
    </row>
    <row r="664" spans="1:9" x14ac:dyDescent="0.25">
      <c r="A664" s="131"/>
      <c r="B664" s="96"/>
      <c r="C664" s="96"/>
      <c r="D664" s="96"/>
      <c r="E664" s="96"/>
      <c r="F664" s="96"/>
      <c r="G664" s="96"/>
      <c r="H664" s="96"/>
      <c r="I664" s="96"/>
    </row>
    <row r="665" spans="1:9" x14ac:dyDescent="0.25">
      <c r="A665" s="131"/>
      <c r="B665" s="96"/>
      <c r="C665" s="96"/>
      <c r="D665" s="96"/>
      <c r="E665" s="96"/>
      <c r="F665" s="96"/>
      <c r="G665" s="96"/>
      <c r="H665" s="96"/>
      <c r="I665" s="96"/>
    </row>
    <row r="666" spans="1:9" x14ac:dyDescent="0.25">
      <c r="A666" s="131"/>
      <c r="B666" s="96"/>
      <c r="C666" s="96"/>
      <c r="D666" s="96"/>
      <c r="E666" s="96"/>
      <c r="F666" s="96"/>
      <c r="G666" s="96"/>
      <c r="H666" s="96"/>
      <c r="I666" s="96"/>
    </row>
    <row r="667" spans="1:9" x14ac:dyDescent="0.25">
      <c r="A667" s="131"/>
      <c r="B667" s="96"/>
      <c r="C667" s="96"/>
      <c r="D667" s="96"/>
      <c r="E667" s="96"/>
      <c r="F667" s="96"/>
      <c r="G667" s="96"/>
      <c r="H667" s="96"/>
      <c r="I667" s="96"/>
    </row>
    <row r="668" spans="1:9" x14ac:dyDescent="0.25">
      <c r="A668" s="131"/>
      <c r="B668" s="96"/>
      <c r="C668" s="96"/>
      <c r="D668" s="96"/>
      <c r="E668" s="96"/>
      <c r="F668" s="96"/>
      <c r="G668" s="96"/>
      <c r="H668" s="96"/>
      <c r="I668" s="96"/>
    </row>
    <row r="669" spans="1:9" x14ac:dyDescent="0.25">
      <c r="A669" s="131"/>
      <c r="B669" s="96"/>
      <c r="C669" s="96"/>
      <c r="D669" s="96"/>
      <c r="E669" s="96"/>
      <c r="F669" s="96"/>
      <c r="G669" s="96"/>
      <c r="H669" s="96"/>
      <c r="I669" s="96"/>
    </row>
    <row r="670" spans="1:9" x14ac:dyDescent="0.25">
      <c r="A670" s="131"/>
      <c r="B670" s="96"/>
      <c r="C670" s="96"/>
      <c r="D670" s="96"/>
      <c r="E670" s="96"/>
      <c r="F670" s="96"/>
      <c r="G670" s="96"/>
      <c r="H670" s="96"/>
      <c r="I670" s="96"/>
    </row>
    <row r="671" spans="1:9" x14ac:dyDescent="0.25">
      <c r="A671" s="131"/>
      <c r="B671" s="96"/>
      <c r="C671" s="96"/>
      <c r="D671" s="96"/>
      <c r="E671" s="96"/>
      <c r="F671" s="96"/>
      <c r="G671" s="96"/>
      <c r="H671" s="96"/>
      <c r="I671" s="96"/>
    </row>
    <row r="672" spans="1:9" x14ac:dyDescent="0.25">
      <c r="A672" s="131"/>
      <c r="B672" s="96"/>
      <c r="C672" s="96"/>
      <c r="D672" s="96"/>
      <c r="E672" s="96"/>
      <c r="F672" s="96"/>
      <c r="G672" s="96"/>
      <c r="H672" s="96"/>
      <c r="I672" s="96"/>
    </row>
    <row r="673" spans="1:9" x14ac:dyDescent="0.25">
      <c r="A673" s="131"/>
      <c r="B673" s="96"/>
      <c r="C673" s="96"/>
      <c r="D673" s="96"/>
      <c r="E673" s="96"/>
      <c r="F673" s="96"/>
      <c r="G673" s="96"/>
      <c r="H673" s="96"/>
      <c r="I673" s="96"/>
    </row>
    <row r="674" spans="1:9" x14ac:dyDescent="0.25">
      <c r="A674" s="131"/>
      <c r="B674" s="96"/>
      <c r="C674" s="96"/>
      <c r="D674" s="96"/>
      <c r="E674" s="96"/>
      <c r="F674" s="96"/>
      <c r="G674" s="96"/>
      <c r="H674" s="96"/>
      <c r="I674" s="96"/>
    </row>
    <row r="675" spans="1:9" x14ac:dyDescent="0.25">
      <c r="A675" s="131"/>
      <c r="B675" s="96"/>
      <c r="C675" s="96"/>
      <c r="D675" s="96"/>
      <c r="E675" s="96"/>
      <c r="F675" s="96"/>
      <c r="G675" s="96"/>
      <c r="H675" s="96"/>
      <c r="I675" s="96"/>
    </row>
    <row r="676" spans="1:9" x14ac:dyDescent="0.25">
      <c r="A676" s="131"/>
      <c r="B676" s="96"/>
      <c r="C676" s="96"/>
      <c r="D676" s="96"/>
      <c r="E676" s="96"/>
      <c r="F676" s="96"/>
      <c r="G676" s="96"/>
      <c r="H676" s="96"/>
      <c r="I676" s="96"/>
    </row>
    <row r="677" spans="1:9" x14ac:dyDescent="0.25">
      <c r="A677" s="131"/>
      <c r="B677" s="96"/>
      <c r="C677" s="96"/>
      <c r="D677" s="96"/>
      <c r="E677" s="96"/>
      <c r="F677" s="96"/>
      <c r="G677" s="96"/>
      <c r="H677" s="96"/>
      <c r="I677" s="96"/>
    </row>
    <row r="678" spans="1:9" x14ac:dyDescent="0.25">
      <c r="A678" s="131"/>
      <c r="B678" s="96"/>
      <c r="C678" s="96"/>
      <c r="D678" s="96"/>
      <c r="E678" s="96"/>
      <c r="F678" s="96"/>
      <c r="G678" s="96"/>
      <c r="H678" s="96"/>
      <c r="I678" s="96"/>
    </row>
    <row r="679" spans="1:9" x14ac:dyDescent="0.25">
      <c r="A679" s="131"/>
      <c r="B679" s="96"/>
      <c r="C679" s="96"/>
      <c r="D679" s="96"/>
      <c r="E679" s="96"/>
      <c r="F679" s="96"/>
      <c r="G679" s="96"/>
      <c r="H679" s="96"/>
      <c r="I679" s="96"/>
    </row>
    <row r="680" spans="1:9" x14ac:dyDescent="0.25">
      <c r="A680" s="131"/>
      <c r="B680" s="96"/>
      <c r="C680" s="96"/>
      <c r="D680" s="96"/>
      <c r="E680" s="96"/>
      <c r="F680" s="96"/>
      <c r="G680" s="96"/>
      <c r="H680" s="96"/>
      <c r="I680" s="96"/>
    </row>
    <row r="681" spans="1:9" x14ac:dyDescent="0.25">
      <c r="A681" s="131"/>
      <c r="B681" s="96"/>
      <c r="C681" s="96"/>
      <c r="D681" s="96"/>
      <c r="E681" s="96"/>
      <c r="F681" s="96"/>
      <c r="G681" s="96"/>
      <c r="H681" s="96"/>
      <c r="I681" s="96"/>
    </row>
    <row r="682" spans="1:9" x14ac:dyDescent="0.25">
      <c r="A682" s="131"/>
      <c r="B682" s="96"/>
      <c r="C682" s="96"/>
      <c r="D682" s="96"/>
      <c r="E682" s="96"/>
      <c r="F682" s="96"/>
      <c r="G682" s="96"/>
      <c r="H682" s="96"/>
      <c r="I682" s="96"/>
    </row>
    <row r="683" spans="1:9" x14ac:dyDescent="0.25">
      <c r="A683" s="131"/>
      <c r="B683" s="96"/>
      <c r="C683" s="96"/>
      <c r="D683" s="96"/>
      <c r="E683" s="96"/>
      <c r="F683" s="96"/>
      <c r="G683" s="96"/>
      <c r="H683" s="96"/>
      <c r="I683" s="96"/>
    </row>
    <row r="684" spans="1:9" x14ac:dyDescent="0.25">
      <c r="A684" s="131"/>
      <c r="B684" s="96"/>
      <c r="C684" s="96"/>
      <c r="D684" s="96"/>
      <c r="E684" s="96"/>
      <c r="F684" s="96"/>
      <c r="G684" s="96"/>
      <c r="H684" s="96"/>
      <c r="I684" s="96"/>
    </row>
    <row r="685" spans="1:9" x14ac:dyDescent="0.25">
      <c r="A685" s="131"/>
      <c r="B685" s="96"/>
      <c r="C685" s="96"/>
      <c r="D685" s="96"/>
      <c r="E685" s="96"/>
      <c r="F685" s="96"/>
      <c r="G685" s="96"/>
      <c r="H685" s="96"/>
      <c r="I685" s="96"/>
    </row>
    <row r="686" spans="1:9" x14ac:dyDescent="0.25">
      <c r="A686" s="131"/>
      <c r="B686" s="96"/>
      <c r="C686" s="96"/>
      <c r="D686" s="96"/>
      <c r="E686" s="96"/>
      <c r="F686" s="96"/>
      <c r="G686" s="96"/>
      <c r="H686" s="96"/>
      <c r="I686" s="96"/>
    </row>
    <row r="687" spans="1:9" x14ac:dyDescent="0.25">
      <c r="A687" s="131"/>
      <c r="B687" s="96"/>
      <c r="C687" s="96"/>
      <c r="D687" s="96"/>
      <c r="E687" s="96"/>
      <c r="F687" s="96"/>
      <c r="G687" s="96"/>
      <c r="H687" s="96"/>
      <c r="I687" s="96"/>
    </row>
    <row r="688" spans="1:9" x14ac:dyDescent="0.25">
      <c r="A688" s="131"/>
      <c r="B688" s="96"/>
      <c r="C688" s="96"/>
      <c r="D688" s="96"/>
      <c r="E688" s="96"/>
      <c r="F688" s="96"/>
      <c r="G688" s="96"/>
      <c r="H688" s="96"/>
      <c r="I688" s="96"/>
    </row>
    <row r="689" spans="1:9" x14ac:dyDescent="0.25">
      <c r="A689" s="131"/>
      <c r="B689" s="96"/>
      <c r="C689" s="96"/>
      <c r="D689" s="96"/>
      <c r="E689" s="96"/>
      <c r="F689" s="96"/>
      <c r="G689" s="96"/>
      <c r="H689" s="96"/>
      <c r="I689" s="96"/>
    </row>
    <row r="690" spans="1:9" x14ac:dyDescent="0.25">
      <c r="A690" s="131"/>
      <c r="B690" s="96"/>
      <c r="C690" s="96"/>
      <c r="D690" s="96"/>
      <c r="E690" s="96"/>
      <c r="F690" s="96"/>
      <c r="G690" s="96"/>
      <c r="H690" s="96"/>
      <c r="I690" s="96"/>
    </row>
    <row r="691" spans="1:9" x14ac:dyDescent="0.25">
      <c r="A691" s="131"/>
      <c r="B691" s="96"/>
      <c r="C691" s="96"/>
      <c r="D691" s="96"/>
      <c r="E691" s="96"/>
      <c r="F691" s="96"/>
      <c r="G691" s="96"/>
      <c r="H691" s="96"/>
      <c r="I691" s="96"/>
    </row>
    <row r="692" spans="1:9" x14ac:dyDescent="0.25">
      <c r="A692" s="131"/>
      <c r="B692" s="96"/>
      <c r="C692" s="96"/>
      <c r="D692" s="96"/>
      <c r="E692" s="96"/>
      <c r="F692" s="96"/>
      <c r="G692" s="96"/>
      <c r="H692" s="96"/>
      <c r="I692" s="96"/>
    </row>
    <row r="693" spans="1:9" x14ac:dyDescent="0.25">
      <c r="A693" s="131"/>
      <c r="B693" s="96"/>
      <c r="C693" s="96"/>
      <c r="D693" s="96"/>
      <c r="E693" s="96"/>
      <c r="F693" s="96"/>
      <c r="G693" s="96"/>
      <c r="H693" s="96"/>
      <c r="I693" s="96"/>
    </row>
    <row r="694" spans="1:9" x14ac:dyDescent="0.25">
      <c r="A694" s="131"/>
      <c r="B694" s="96"/>
      <c r="C694" s="96"/>
      <c r="D694" s="96"/>
      <c r="E694" s="96"/>
      <c r="F694" s="96"/>
      <c r="G694" s="96"/>
      <c r="H694" s="96"/>
      <c r="I694" s="96"/>
    </row>
    <row r="695" spans="1:9" x14ac:dyDescent="0.25">
      <c r="A695" s="131"/>
      <c r="B695" s="96"/>
      <c r="C695" s="96"/>
      <c r="D695" s="96"/>
      <c r="E695" s="96"/>
      <c r="F695" s="96"/>
      <c r="G695" s="96"/>
      <c r="H695" s="96"/>
      <c r="I695" s="96"/>
    </row>
    <row r="696" spans="1:9" x14ac:dyDescent="0.25">
      <c r="A696" s="131"/>
      <c r="B696" s="96"/>
      <c r="C696" s="96"/>
      <c r="D696" s="96"/>
      <c r="E696" s="96"/>
      <c r="F696" s="96"/>
      <c r="G696" s="96"/>
      <c r="H696" s="96"/>
      <c r="I696" s="96"/>
    </row>
    <row r="697" spans="1:9" x14ac:dyDescent="0.25">
      <c r="A697" s="131"/>
      <c r="B697" s="96"/>
      <c r="C697" s="96"/>
      <c r="D697" s="96"/>
      <c r="E697" s="96"/>
      <c r="F697" s="96"/>
      <c r="G697" s="96"/>
      <c r="H697" s="96"/>
      <c r="I697" s="96"/>
    </row>
    <row r="698" spans="1:9" x14ac:dyDescent="0.25">
      <c r="A698" s="131"/>
      <c r="B698" s="96"/>
      <c r="C698" s="96"/>
      <c r="D698" s="96"/>
      <c r="E698" s="96"/>
      <c r="F698" s="96"/>
      <c r="G698" s="96"/>
      <c r="H698" s="96"/>
      <c r="I698" s="96"/>
    </row>
    <row r="699" spans="1:9" x14ac:dyDescent="0.25">
      <c r="A699" s="131"/>
      <c r="B699" s="96"/>
      <c r="C699" s="96"/>
      <c r="D699" s="96"/>
      <c r="E699" s="96"/>
      <c r="F699" s="96"/>
      <c r="G699" s="96"/>
      <c r="H699" s="96"/>
      <c r="I699" s="96"/>
    </row>
    <row r="700" spans="1:9" x14ac:dyDescent="0.25">
      <c r="A700" s="131"/>
      <c r="B700" s="96"/>
      <c r="C700" s="96"/>
      <c r="D700" s="96"/>
      <c r="E700" s="96"/>
      <c r="F700" s="96"/>
      <c r="G700" s="96"/>
      <c r="H700" s="96"/>
      <c r="I700" s="96"/>
    </row>
    <row r="701" spans="1:9" x14ac:dyDescent="0.25">
      <c r="A701" s="131"/>
      <c r="B701" s="96"/>
      <c r="C701" s="96"/>
      <c r="D701" s="96"/>
      <c r="E701" s="96"/>
      <c r="F701" s="96"/>
      <c r="G701" s="96"/>
      <c r="H701" s="96"/>
      <c r="I701" s="96"/>
    </row>
    <row r="702" spans="1:9" x14ac:dyDescent="0.25">
      <c r="A702" s="131"/>
      <c r="B702" s="96"/>
      <c r="C702" s="96"/>
      <c r="D702" s="96"/>
      <c r="E702" s="96"/>
      <c r="F702" s="96"/>
      <c r="G702" s="96"/>
      <c r="H702" s="96"/>
      <c r="I702" s="96"/>
    </row>
    <row r="703" spans="1:9" x14ac:dyDescent="0.25">
      <c r="A703" s="131"/>
      <c r="B703" s="96"/>
      <c r="C703" s="96"/>
      <c r="D703" s="96"/>
      <c r="E703" s="96"/>
      <c r="F703" s="96"/>
      <c r="G703" s="96"/>
      <c r="H703" s="96"/>
      <c r="I703" s="96"/>
    </row>
    <row r="704" spans="1:9" x14ac:dyDescent="0.25">
      <c r="A704" s="131"/>
      <c r="B704" s="96"/>
      <c r="C704" s="96"/>
      <c r="D704" s="96"/>
      <c r="E704" s="96"/>
      <c r="F704" s="96"/>
      <c r="G704" s="96"/>
      <c r="H704" s="96"/>
      <c r="I704" s="96"/>
    </row>
    <row r="705" spans="1:9" x14ac:dyDescent="0.25">
      <c r="A705" s="131"/>
      <c r="B705" s="96"/>
      <c r="C705" s="96"/>
      <c r="D705" s="96"/>
      <c r="E705" s="96"/>
      <c r="F705" s="96"/>
      <c r="G705" s="96"/>
      <c r="H705" s="96"/>
      <c r="I705" s="96"/>
    </row>
    <row r="706" spans="1:9" x14ac:dyDescent="0.25">
      <c r="A706" s="131"/>
      <c r="B706" s="96"/>
      <c r="C706" s="96"/>
      <c r="D706" s="96"/>
      <c r="E706" s="96"/>
      <c r="F706" s="96"/>
      <c r="G706" s="96"/>
      <c r="H706" s="96"/>
      <c r="I706" s="96"/>
    </row>
    <row r="707" spans="1:9" x14ac:dyDescent="0.25">
      <c r="A707" s="131"/>
      <c r="B707" s="96"/>
      <c r="C707" s="96"/>
      <c r="D707" s="96"/>
      <c r="E707" s="96"/>
      <c r="F707" s="96"/>
      <c r="G707" s="96"/>
      <c r="H707" s="96"/>
      <c r="I707" s="96"/>
    </row>
    <row r="708" spans="1:9" x14ac:dyDescent="0.25">
      <c r="A708" s="131"/>
      <c r="B708" s="96"/>
      <c r="C708" s="96"/>
      <c r="D708" s="96"/>
      <c r="E708" s="96"/>
      <c r="F708" s="96"/>
      <c r="G708" s="96"/>
      <c r="H708" s="96"/>
      <c r="I708" s="96"/>
    </row>
    <row r="709" spans="1:9" x14ac:dyDescent="0.25">
      <c r="A709" s="131"/>
      <c r="B709" s="96"/>
      <c r="C709" s="96"/>
      <c r="D709" s="96"/>
      <c r="E709" s="96"/>
      <c r="F709" s="96"/>
      <c r="G709" s="96"/>
      <c r="H709" s="96"/>
      <c r="I709" s="96"/>
    </row>
    <row r="710" spans="1:9" x14ac:dyDescent="0.25">
      <c r="A710" s="131"/>
      <c r="B710" s="96"/>
      <c r="C710" s="96"/>
      <c r="D710" s="96"/>
      <c r="E710" s="96"/>
      <c r="F710" s="96"/>
      <c r="G710" s="96"/>
      <c r="H710" s="96"/>
      <c r="I710" s="96"/>
    </row>
    <row r="711" spans="1:9" x14ac:dyDescent="0.25">
      <c r="A711" s="131"/>
      <c r="B711" s="96"/>
      <c r="C711" s="96"/>
      <c r="D711" s="96"/>
      <c r="E711" s="96"/>
      <c r="F711" s="96"/>
      <c r="G711" s="96"/>
      <c r="H711" s="96"/>
      <c r="I711" s="96"/>
    </row>
    <row r="712" spans="1:9" x14ac:dyDescent="0.25">
      <c r="A712" s="131"/>
      <c r="B712" s="96"/>
      <c r="C712" s="96"/>
      <c r="D712" s="96"/>
      <c r="E712" s="96"/>
      <c r="F712" s="96"/>
      <c r="G712" s="96"/>
      <c r="H712" s="96"/>
      <c r="I712" s="96"/>
    </row>
    <row r="713" spans="1:9" x14ac:dyDescent="0.25">
      <c r="A713" s="131"/>
      <c r="B713" s="96"/>
      <c r="C713" s="96"/>
      <c r="D713" s="96"/>
      <c r="E713" s="96"/>
      <c r="F713" s="96"/>
      <c r="G713" s="96"/>
      <c r="H713" s="96"/>
      <c r="I713" s="96"/>
    </row>
    <row r="714" spans="1:9" x14ac:dyDescent="0.25">
      <c r="A714" s="131"/>
      <c r="B714" s="96"/>
      <c r="C714" s="96"/>
      <c r="D714" s="96"/>
      <c r="E714" s="96"/>
      <c r="F714" s="96"/>
      <c r="G714" s="96"/>
      <c r="H714" s="96"/>
      <c r="I714" s="96"/>
    </row>
    <row r="715" spans="1:9" x14ac:dyDescent="0.25">
      <c r="A715" s="131"/>
      <c r="B715" s="96"/>
      <c r="C715" s="96"/>
      <c r="D715" s="96"/>
      <c r="E715" s="96"/>
      <c r="F715" s="96"/>
      <c r="G715" s="96"/>
      <c r="H715" s="96"/>
      <c r="I715" s="96"/>
    </row>
    <row r="716" spans="1:9" x14ac:dyDescent="0.25">
      <c r="A716" s="131"/>
      <c r="B716" s="96"/>
      <c r="C716" s="96"/>
      <c r="D716" s="96"/>
      <c r="E716" s="96"/>
      <c r="F716" s="96"/>
      <c r="G716" s="96"/>
      <c r="H716" s="96"/>
      <c r="I716" s="96"/>
    </row>
    <row r="717" spans="1:9" x14ac:dyDescent="0.25">
      <c r="A717" s="131"/>
      <c r="B717" s="96"/>
      <c r="C717" s="96"/>
      <c r="D717" s="96"/>
      <c r="E717" s="96"/>
      <c r="F717" s="96"/>
      <c r="G717" s="96"/>
      <c r="H717" s="96"/>
      <c r="I717" s="96"/>
    </row>
    <row r="718" spans="1:9" x14ac:dyDescent="0.25">
      <c r="A718" s="131"/>
      <c r="B718" s="96"/>
      <c r="C718" s="96"/>
      <c r="D718" s="96"/>
      <c r="E718" s="96"/>
      <c r="F718" s="96"/>
      <c r="G718" s="96"/>
      <c r="H718" s="96"/>
      <c r="I718" s="96"/>
    </row>
    <row r="719" spans="1:9" x14ac:dyDescent="0.25">
      <c r="A719" s="131"/>
      <c r="B719" s="96"/>
      <c r="C719" s="96"/>
      <c r="D719" s="96"/>
      <c r="E719" s="96"/>
      <c r="F719" s="96"/>
      <c r="G719" s="96"/>
      <c r="H719" s="96"/>
      <c r="I719" s="96"/>
    </row>
    <row r="720" spans="1:9" x14ac:dyDescent="0.25">
      <c r="A720" s="131"/>
      <c r="B720" s="96"/>
      <c r="C720" s="96"/>
      <c r="D720" s="96"/>
      <c r="E720" s="96"/>
      <c r="F720" s="96"/>
      <c r="G720" s="96"/>
      <c r="H720" s="96"/>
      <c r="I720" s="96"/>
    </row>
    <row r="721" spans="1:9" x14ac:dyDescent="0.25">
      <c r="A721" s="131"/>
      <c r="B721" s="96"/>
      <c r="C721" s="96"/>
      <c r="D721" s="96"/>
      <c r="E721" s="96"/>
      <c r="F721" s="96"/>
      <c r="G721" s="96"/>
      <c r="H721" s="96"/>
      <c r="I721" s="96"/>
    </row>
    <row r="722" spans="1:9" x14ac:dyDescent="0.25">
      <c r="A722" s="131"/>
      <c r="B722" s="96"/>
      <c r="C722" s="96"/>
      <c r="D722" s="96"/>
      <c r="E722" s="96"/>
      <c r="F722" s="96"/>
      <c r="G722" s="96"/>
      <c r="H722" s="96"/>
      <c r="I722" s="96"/>
    </row>
    <row r="723" spans="1:9" x14ac:dyDescent="0.25">
      <c r="A723" s="131"/>
      <c r="B723" s="96"/>
      <c r="C723" s="96"/>
      <c r="D723" s="96"/>
      <c r="E723" s="96"/>
      <c r="F723" s="96"/>
      <c r="G723" s="96"/>
      <c r="H723" s="96"/>
      <c r="I723" s="96"/>
    </row>
    <row r="724" spans="1:9" x14ac:dyDescent="0.25">
      <c r="A724" s="131"/>
      <c r="B724" s="96"/>
      <c r="C724" s="96"/>
      <c r="D724" s="96"/>
      <c r="E724" s="96"/>
      <c r="F724" s="96"/>
      <c r="G724" s="96"/>
      <c r="H724" s="96"/>
      <c r="I724" s="96"/>
    </row>
    <row r="725" spans="1:9" x14ac:dyDescent="0.25">
      <c r="A725" s="131"/>
      <c r="B725" s="96"/>
      <c r="C725" s="96"/>
      <c r="D725" s="96"/>
      <c r="E725" s="96"/>
      <c r="F725" s="96"/>
      <c r="G725" s="96"/>
      <c r="H725" s="96"/>
      <c r="I725" s="96"/>
    </row>
    <row r="726" spans="1:9" x14ac:dyDescent="0.25">
      <c r="A726" s="131"/>
      <c r="B726" s="96"/>
      <c r="C726" s="96"/>
      <c r="D726" s="96"/>
      <c r="E726" s="96"/>
      <c r="F726" s="96"/>
      <c r="G726" s="96"/>
      <c r="H726" s="96"/>
      <c r="I726" s="96"/>
    </row>
    <row r="727" spans="1:9" x14ac:dyDescent="0.25">
      <c r="A727" s="131"/>
      <c r="B727" s="96"/>
      <c r="C727" s="96"/>
      <c r="D727" s="96"/>
      <c r="E727" s="96"/>
      <c r="F727" s="96"/>
      <c r="G727" s="96"/>
      <c r="H727" s="96"/>
      <c r="I727" s="96"/>
    </row>
    <row r="728" spans="1:9" x14ac:dyDescent="0.25">
      <c r="A728" s="131"/>
      <c r="B728" s="96"/>
      <c r="C728" s="96"/>
      <c r="D728" s="96"/>
      <c r="E728" s="96"/>
      <c r="F728" s="96"/>
      <c r="G728" s="96"/>
      <c r="H728" s="96"/>
      <c r="I728" s="96"/>
    </row>
    <row r="729" spans="1:9" x14ac:dyDescent="0.25">
      <c r="A729" s="131"/>
      <c r="B729" s="96"/>
      <c r="C729" s="96"/>
      <c r="D729" s="96"/>
      <c r="E729" s="96"/>
      <c r="F729" s="96"/>
      <c r="G729" s="96"/>
      <c r="H729" s="96"/>
      <c r="I729" s="96"/>
    </row>
    <row r="730" spans="1:9" x14ac:dyDescent="0.25">
      <c r="A730" s="131"/>
      <c r="B730" s="96"/>
      <c r="C730" s="96"/>
      <c r="D730" s="96"/>
      <c r="E730" s="96"/>
      <c r="F730" s="96"/>
      <c r="G730" s="96"/>
      <c r="H730" s="96"/>
      <c r="I730" s="96"/>
    </row>
    <row r="731" spans="1:9" x14ac:dyDescent="0.25">
      <c r="A731" s="131"/>
      <c r="B731" s="96"/>
      <c r="C731" s="96"/>
      <c r="D731" s="96"/>
      <c r="E731" s="96"/>
      <c r="F731" s="96"/>
      <c r="G731" s="96"/>
      <c r="H731" s="96"/>
      <c r="I731" s="96"/>
    </row>
    <row r="732" spans="1:9" x14ac:dyDescent="0.25">
      <c r="A732" s="131"/>
      <c r="B732" s="96"/>
      <c r="C732" s="96"/>
      <c r="D732" s="96"/>
      <c r="E732" s="96"/>
      <c r="F732" s="96"/>
      <c r="G732" s="96"/>
      <c r="H732" s="96"/>
      <c r="I732" s="96"/>
    </row>
    <row r="733" spans="1:9" x14ac:dyDescent="0.25">
      <c r="A733" s="131"/>
      <c r="B733" s="96"/>
      <c r="C733" s="96"/>
      <c r="D733" s="96"/>
      <c r="E733" s="96"/>
      <c r="F733" s="96"/>
      <c r="G733" s="96"/>
      <c r="H733" s="96"/>
      <c r="I733" s="96"/>
    </row>
    <row r="734" spans="1:9" x14ac:dyDescent="0.25">
      <c r="A734" s="131"/>
      <c r="B734" s="96"/>
      <c r="C734" s="96"/>
      <c r="D734" s="96"/>
      <c r="E734" s="96"/>
      <c r="F734" s="96"/>
      <c r="G734" s="96"/>
      <c r="H734" s="96"/>
      <c r="I734" s="96"/>
    </row>
    <row r="735" spans="1:9" x14ac:dyDescent="0.25">
      <c r="A735" s="131"/>
      <c r="B735" s="96"/>
      <c r="C735" s="96"/>
      <c r="D735" s="96"/>
      <c r="E735" s="96"/>
      <c r="F735" s="96"/>
      <c r="G735" s="96"/>
      <c r="H735" s="96"/>
      <c r="I735" s="96"/>
    </row>
    <row r="736" spans="1:9" x14ac:dyDescent="0.25">
      <c r="A736" s="131"/>
      <c r="B736" s="96"/>
      <c r="C736" s="96"/>
      <c r="D736" s="96"/>
      <c r="E736" s="96"/>
      <c r="F736" s="96"/>
      <c r="G736" s="96"/>
      <c r="H736" s="96"/>
      <c r="I736" s="96"/>
    </row>
    <row r="737" spans="1:9" x14ac:dyDescent="0.25">
      <c r="A737" s="131"/>
      <c r="B737" s="96"/>
      <c r="C737" s="96"/>
      <c r="D737" s="96"/>
      <c r="E737" s="96"/>
      <c r="F737" s="96"/>
      <c r="G737" s="96"/>
      <c r="H737" s="96"/>
      <c r="I737" s="96"/>
    </row>
    <row r="738" spans="1:9" x14ac:dyDescent="0.25">
      <c r="A738" s="131"/>
      <c r="B738" s="96"/>
      <c r="C738" s="96"/>
      <c r="D738" s="96"/>
      <c r="E738" s="96"/>
      <c r="F738" s="96"/>
      <c r="G738" s="96"/>
      <c r="H738" s="96"/>
      <c r="I738" s="96"/>
    </row>
    <row r="739" spans="1:9" x14ac:dyDescent="0.25">
      <c r="A739" s="131"/>
      <c r="B739" s="96"/>
      <c r="C739" s="96"/>
      <c r="D739" s="96"/>
      <c r="E739" s="96"/>
      <c r="F739" s="96"/>
      <c r="G739" s="96"/>
      <c r="H739" s="96"/>
      <c r="I739" s="96"/>
    </row>
    <row r="740" spans="1:9" x14ac:dyDescent="0.25">
      <c r="A740" s="131"/>
      <c r="B740" s="96"/>
      <c r="C740" s="96"/>
      <c r="D740" s="96"/>
      <c r="E740" s="96"/>
      <c r="F740" s="96"/>
      <c r="G740" s="96"/>
      <c r="H740" s="96"/>
      <c r="I740" s="96"/>
    </row>
    <row r="741" spans="1:9" x14ac:dyDescent="0.25">
      <c r="A741" s="131"/>
      <c r="B741" s="96"/>
      <c r="C741" s="96"/>
      <c r="D741" s="96"/>
      <c r="E741" s="96"/>
      <c r="F741" s="96"/>
      <c r="G741" s="96"/>
      <c r="H741" s="96"/>
      <c r="I741" s="96"/>
    </row>
    <row r="742" spans="1:9" x14ac:dyDescent="0.25">
      <c r="A742" s="131"/>
      <c r="B742" s="96"/>
      <c r="C742" s="96"/>
      <c r="D742" s="96"/>
      <c r="E742" s="96"/>
      <c r="F742" s="96"/>
      <c r="G742" s="96"/>
      <c r="H742" s="96"/>
      <c r="I742" s="96"/>
    </row>
    <row r="743" spans="1:9" x14ac:dyDescent="0.25">
      <c r="A743" s="131"/>
      <c r="B743" s="96"/>
      <c r="C743" s="96"/>
      <c r="D743" s="96"/>
      <c r="E743" s="96"/>
      <c r="F743" s="96"/>
      <c r="G743" s="96"/>
      <c r="H743" s="96"/>
      <c r="I743" s="96"/>
    </row>
    <row r="744" spans="1:9" x14ac:dyDescent="0.25">
      <c r="A744" s="131"/>
      <c r="B744" s="96"/>
      <c r="C744" s="96"/>
      <c r="D744" s="96"/>
      <c r="E744" s="96"/>
      <c r="F744" s="96"/>
      <c r="G744" s="96"/>
      <c r="H744" s="96"/>
      <c r="I744" s="96"/>
    </row>
    <row r="745" spans="1:9" x14ac:dyDescent="0.25">
      <c r="A745" s="131"/>
      <c r="B745" s="96"/>
      <c r="C745" s="96"/>
      <c r="D745" s="96"/>
      <c r="E745" s="96"/>
      <c r="F745" s="96"/>
      <c r="G745" s="96"/>
      <c r="H745" s="96"/>
      <c r="I745" s="96"/>
    </row>
    <row r="746" spans="1:9" x14ac:dyDescent="0.25">
      <c r="A746" s="131"/>
      <c r="B746" s="96"/>
      <c r="C746" s="96"/>
      <c r="D746" s="96"/>
      <c r="E746" s="96"/>
      <c r="F746" s="96"/>
      <c r="G746" s="96"/>
      <c r="H746" s="96"/>
      <c r="I746" s="96"/>
    </row>
    <row r="747" spans="1:9" x14ac:dyDescent="0.25">
      <c r="A747" s="131"/>
      <c r="B747" s="96"/>
      <c r="C747" s="96"/>
      <c r="D747" s="96"/>
      <c r="E747" s="96"/>
      <c r="F747" s="96"/>
      <c r="G747" s="96"/>
      <c r="H747" s="96"/>
      <c r="I747" s="96"/>
    </row>
    <row r="748" spans="1:9" x14ac:dyDescent="0.25">
      <c r="A748" s="131"/>
      <c r="B748" s="96"/>
      <c r="C748" s="96"/>
      <c r="D748" s="96"/>
      <c r="E748" s="96"/>
      <c r="F748" s="96"/>
      <c r="G748" s="96"/>
      <c r="H748" s="96"/>
      <c r="I748" s="96"/>
    </row>
    <row r="749" spans="1:9" x14ac:dyDescent="0.25">
      <c r="A749" s="131"/>
      <c r="B749" s="96"/>
      <c r="C749" s="96"/>
      <c r="D749" s="96"/>
      <c r="E749" s="96"/>
      <c r="F749" s="96"/>
      <c r="G749" s="96"/>
      <c r="H749" s="96"/>
      <c r="I749" s="96"/>
    </row>
    <row r="750" spans="1:9" x14ac:dyDescent="0.25">
      <c r="A750" s="131"/>
      <c r="B750" s="96"/>
      <c r="C750" s="96"/>
      <c r="D750" s="96"/>
      <c r="E750" s="96"/>
      <c r="F750" s="96"/>
      <c r="G750" s="96"/>
      <c r="H750" s="96"/>
      <c r="I750" s="96"/>
    </row>
    <row r="751" spans="1:9" x14ac:dyDescent="0.25">
      <c r="A751" s="131"/>
      <c r="B751" s="96"/>
      <c r="C751" s="96"/>
      <c r="D751" s="96"/>
      <c r="E751" s="96"/>
      <c r="F751" s="96"/>
      <c r="G751" s="96"/>
      <c r="H751" s="96"/>
      <c r="I751" s="96"/>
    </row>
    <row r="752" spans="1:9" x14ac:dyDescent="0.25">
      <c r="A752" s="131"/>
      <c r="B752" s="96"/>
      <c r="C752" s="96"/>
      <c r="D752" s="96"/>
      <c r="E752" s="96"/>
      <c r="F752" s="96"/>
      <c r="G752" s="96"/>
      <c r="H752" s="96"/>
      <c r="I752" s="96"/>
    </row>
    <row r="753" spans="1:9" x14ac:dyDescent="0.25">
      <c r="A753" s="131"/>
      <c r="B753" s="96"/>
      <c r="C753" s="96"/>
      <c r="D753" s="96"/>
      <c r="E753" s="96"/>
      <c r="F753" s="96"/>
      <c r="G753" s="96"/>
      <c r="H753" s="96"/>
      <c r="I753" s="96"/>
    </row>
    <row r="754" spans="1:9" x14ac:dyDescent="0.25">
      <c r="A754" s="131"/>
      <c r="B754" s="96"/>
      <c r="C754" s="96"/>
      <c r="D754" s="96"/>
      <c r="E754" s="96"/>
      <c r="F754" s="96"/>
      <c r="G754" s="96"/>
      <c r="H754" s="96"/>
      <c r="I754" s="96"/>
    </row>
    <row r="755" spans="1:9" x14ac:dyDescent="0.25">
      <c r="A755" s="131"/>
      <c r="B755" s="96"/>
      <c r="C755" s="96"/>
      <c r="D755" s="96"/>
      <c r="E755" s="96"/>
      <c r="F755" s="96"/>
      <c r="G755" s="96"/>
      <c r="H755" s="96"/>
      <c r="I755" s="96"/>
    </row>
    <row r="756" spans="1:9" x14ac:dyDescent="0.25">
      <c r="A756" s="131"/>
      <c r="B756" s="96"/>
      <c r="C756" s="96"/>
      <c r="D756" s="96"/>
      <c r="E756" s="96"/>
      <c r="F756" s="96"/>
      <c r="G756" s="96"/>
      <c r="H756" s="96"/>
      <c r="I756" s="96"/>
    </row>
    <row r="757" spans="1:9" x14ac:dyDescent="0.25">
      <c r="A757" s="131"/>
      <c r="B757" s="96"/>
      <c r="C757" s="96"/>
      <c r="D757" s="96"/>
      <c r="E757" s="96"/>
      <c r="F757" s="96"/>
      <c r="G757" s="96"/>
      <c r="H757" s="96"/>
      <c r="I757" s="96"/>
    </row>
    <row r="758" spans="1:9" x14ac:dyDescent="0.25">
      <c r="A758" s="131"/>
      <c r="B758" s="96"/>
      <c r="C758" s="96"/>
      <c r="D758" s="96"/>
      <c r="E758" s="96"/>
      <c r="F758" s="96"/>
      <c r="G758" s="96"/>
      <c r="H758" s="96"/>
      <c r="I758" s="96"/>
    </row>
    <row r="759" spans="1:9" x14ac:dyDescent="0.25">
      <c r="A759" s="131"/>
      <c r="B759" s="96"/>
      <c r="C759" s="96"/>
      <c r="D759" s="96"/>
      <c r="E759" s="96"/>
      <c r="F759" s="96"/>
      <c r="G759" s="96"/>
      <c r="H759" s="96"/>
      <c r="I759" s="96"/>
    </row>
    <row r="760" spans="1:9" x14ac:dyDescent="0.25">
      <c r="A760" s="131"/>
      <c r="B760" s="96"/>
      <c r="C760" s="96"/>
      <c r="D760" s="96"/>
      <c r="E760" s="96"/>
      <c r="F760" s="96"/>
      <c r="G760" s="96"/>
      <c r="H760" s="96"/>
      <c r="I760" s="96"/>
    </row>
    <row r="761" spans="1:9" x14ac:dyDescent="0.25">
      <c r="A761" s="131"/>
      <c r="B761" s="96"/>
      <c r="C761" s="96"/>
      <c r="D761" s="96"/>
      <c r="E761" s="96"/>
      <c r="F761" s="96"/>
      <c r="G761" s="96"/>
      <c r="H761" s="96"/>
      <c r="I761" s="96"/>
    </row>
    <row r="762" spans="1:9" x14ac:dyDescent="0.25">
      <c r="A762" s="131"/>
      <c r="B762" s="96"/>
      <c r="C762" s="96"/>
      <c r="D762" s="96"/>
      <c r="E762" s="96"/>
      <c r="F762" s="96"/>
      <c r="G762" s="96"/>
      <c r="H762" s="96"/>
      <c r="I762" s="96"/>
    </row>
    <row r="763" spans="1:9" x14ac:dyDescent="0.25">
      <c r="A763" s="131"/>
      <c r="B763" s="96"/>
      <c r="C763" s="96"/>
      <c r="D763" s="96"/>
      <c r="E763" s="96"/>
      <c r="F763" s="96"/>
      <c r="G763" s="96"/>
      <c r="H763" s="96"/>
      <c r="I763" s="96"/>
    </row>
    <row r="764" spans="1:9" x14ac:dyDescent="0.25">
      <c r="A764" s="131"/>
      <c r="B764" s="96"/>
      <c r="C764" s="96"/>
      <c r="D764" s="96"/>
      <c r="E764" s="96"/>
      <c r="F764" s="96"/>
      <c r="G764" s="96"/>
      <c r="H764" s="96"/>
      <c r="I764" s="96"/>
    </row>
    <row r="765" spans="1:9" x14ac:dyDescent="0.25">
      <c r="A765" s="131"/>
      <c r="B765" s="96"/>
      <c r="C765" s="96"/>
      <c r="D765" s="96"/>
      <c r="E765" s="96"/>
      <c r="F765" s="96"/>
      <c r="G765" s="96"/>
      <c r="H765" s="96"/>
      <c r="I765" s="96"/>
    </row>
    <row r="766" spans="1:9" x14ac:dyDescent="0.25">
      <c r="A766" s="131"/>
      <c r="B766" s="96"/>
      <c r="C766" s="96"/>
      <c r="D766" s="96"/>
      <c r="E766" s="96"/>
      <c r="F766" s="96"/>
      <c r="G766" s="96"/>
      <c r="H766" s="96"/>
      <c r="I766" s="96"/>
    </row>
    <row r="767" spans="1:9" x14ac:dyDescent="0.25">
      <c r="A767" s="131"/>
      <c r="B767" s="96"/>
      <c r="C767" s="96"/>
      <c r="D767" s="96"/>
      <c r="E767" s="96"/>
      <c r="F767" s="96"/>
      <c r="G767" s="96"/>
      <c r="H767" s="96"/>
      <c r="I767" s="96"/>
    </row>
    <row r="768" spans="1:9" x14ac:dyDescent="0.25">
      <c r="A768" s="131"/>
      <c r="B768" s="96"/>
      <c r="C768" s="96"/>
      <c r="D768" s="96"/>
      <c r="E768" s="96"/>
      <c r="F768" s="96"/>
      <c r="G768" s="96"/>
      <c r="H768" s="96"/>
      <c r="I768" s="96"/>
    </row>
    <row r="769" spans="1:9" x14ac:dyDescent="0.25">
      <c r="A769" s="131"/>
      <c r="B769" s="96"/>
      <c r="C769" s="96"/>
      <c r="D769" s="96"/>
      <c r="E769" s="96"/>
      <c r="F769" s="96"/>
      <c r="G769" s="96"/>
      <c r="H769" s="96"/>
      <c r="I769" s="96"/>
    </row>
    <row r="770" spans="1:9" x14ac:dyDescent="0.25">
      <c r="A770" s="131"/>
      <c r="B770" s="96"/>
      <c r="C770" s="96"/>
      <c r="D770" s="96"/>
      <c r="E770" s="96"/>
      <c r="F770" s="96"/>
      <c r="G770" s="96"/>
      <c r="H770" s="96"/>
      <c r="I770" s="96"/>
    </row>
    <row r="771" spans="1:9" x14ac:dyDescent="0.25">
      <c r="A771" s="131"/>
      <c r="B771" s="96"/>
      <c r="C771" s="96"/>
      <c r="D771" s="96"/>
      <c r="E771" s="96"/>
      <c r="F771" s="96"/>
      <c r="G771" s="96"/>
      <c r="H771" s="96"/>
      <c r="I771" s="96"/>
    </row>
    <row r="772" spans="1:9" x14ac:dyDescent="0.25">
      <c r="A772" s="131"/>
      <c r="B772" s="96"/>
      <c r="C772" s="96"/>
      <c r="D772" s="96"/>
      <c r="E772" s="96"/>
      <c r="F772" s="96"/>
      <c r="G772" s="96"/>
      <c r="H772" s="96"/>
      <c r="I772" s="96"/>
    </row>
    <row r="773" spans="1:9" x14ac:dyDescent="0.25">
      <c r="A773" s="131"/>
      <c r="B773" s="96"/>
      <c r="C773" s="96"/>
      <c r="D773" s="96"/>
      <c r="E773" s="96"/>
      <c r="F773" s="96"/>
      <c r="G773" s="96"/>
      <c r="H773" s="96"/>
      <c r="I773" s="96"/>
    </row>
    <row r="774" spans="1:9" x14ac:dyDescent="0.25">
      <c r="A774" s="131"/>
      <c r="B774" s="96"/>
      <c r="C774" s="96"/>
      <c r="D774" s="96"/>
      <c r="E774" s="96"/>
      <c r="F774" s="96"/>
      <c r="G774" s="96"/>
      <c r="H774" s="96"/>
      <c r="I774" s="96"/>
    </row>
    <row r="775" spans="1:9" x14ac:dyDescent="0.25">
      <c r="A775" s="131"/>
      <c r="B775" s="96"/>
      <c r="C775" s="96"/>
      <c r="D775" s="96"/>
      <c r="E775" s="96"/>
      <c r="F775" s="96"/>
      <c r="G775" s="96"/>
      <c r="H775" s="96"/>
      <c r="I775" s="96"/>
    </row>
    <row r="776" spans="1:9" x14ac:dyDescent="0.25">
      <c r="A776" s="131"/>
      <c r="B776" s="96"/>
      <c r="C776" s="96"/>
      <c r="D776" s="96"/>
      <c r="E776" s="96"/>
      <c r="F776" s="96"/>
      <c r="G776" s="96"/>
      <c r="H776" s="96"/>
      <c r="I776" s="96"/>
    </row>
    <row r="777" spans="1:9" x14ac:dyDescent="0.25">
      <c r="A777" s="131"/>
      <c r="B777" s="96"/>
      <c r="C777" s="96"/>
      <c r="D777" s="96"/>
      <c r="E777" s="96"/>
      <c r="F777" s="96"/>
      <c r="G777" s="96"/>
      <c r="H777" s="96"/>
      <c r="I777" s="96"/>
    </row>
    <row r="778" spans="1:9" x14ac:dyDescent="0.25">
      <c r="A778" s="131"/>
      <c r="B778" s="96"/>
      <c r="C778" s="96"/>
      <c r="D778" s="96"/>
      <c r="E778" s="96"/>
      <c r="F778" s="96"/>
      <c r="G778" s="96"/>
      <c r="H778" s="96"/>
      <c r="I778" s="96"/>
    </row>
    <row r="779" spans="1:9" x14ac:dyDescent="0.25">
      <c r="A779" s="131"/>
      <c r="B779" s="96"/>
      <c r="C779" s="96"/>
      <c r="D779" s="96"/>
      <c r="E779" s="96"/>
      <c r="F779" s="96"/>
      <c r="G779" s="96"/>
      <c r="H779" s="96"/>
      <c r="I779" s="96"/>
    </row>
    <row r="780" spans="1:9" x14ac:dyDescent="0.25">
      <c r="A780" s="131"/>
      <c r="B780" s="96"/>
      <c r="C780" s="96"/>
      <c r="D780" s="96"/>
      <c r="E780" s="96"/>
      <c r="F780" s="96"/>
      <c r="G780" s="96"/>
      <c r="H780" s="96"/>
      <c r="I780" s="96"/>
    </row>
    <row r="781" spans="1:9" x14ac:dyDescent="0.25">
      <c r="A781" s="131"/>
      <c r="B781" s="96"/>
      <c r="C781" s="96"/>
      <c r="D781" s="96"/>
      <c r="E781" s="96"/>
      <c r="F781" s="96"/>
      <c r="G781" s="96"/>
      <c r="H781" s="96"/>
      <c r="I781" s="96"/>
    </row>
    <row r="782" spans="1:9" x14ac:dyDescent="0.25">
      <c r="A782" s="131"/>
      <c r="B782" s="96"/>
      <c r="C782" s="96"/>
      <c r="D782" s="96"/>
      <c r="E782" s="96"/>
      <c r="F782" s="96"/>
      <c r="G782" s="96"/>
      <c r="H782" s="96"/>
      <c r="I782" s="96"/>
    </row>
    <row r="783" spans="1:9" x14ac:dyDescent="0.25">
      <c r="A783" s="131"/>
      <c r="B783" s="96"/>
      <c r="C783" s="96"/>
      <c r="D783" s="96"/>
      <c r="E783" s="96"/>
      <c r="F783" s="96"/>
      <c r="G783" s="96"/>
      <c r="H783" s="96"/>
      <c r="I783" s="96"/>
    </row>
    <row r="784" spans="1:9" x14ac:dyDescent="0.25">
      <c r="A784" s="131"/>
      <c r="B784" s="96"/>
      <c r="C784" s="96"/>
      <c r="D784" s="96"/>
      <c r="E784" s="96"/>
      <c r="F784" s="96"/>
      <c r="G784" s="96"/>
      <c r="H784" s="96"/>
      <c r="I784" s="96"/>
    </row>
    <row r="785" spans="1:9" x14ac:dyDescent="0.25">
      <c r="A785" s="131"/>
      <c r="B785" s="96"/>
      <c r="C785" s="96"/>
      <c r="D785" s="96"/>
      <c r="E785" s="96"/>
      <c r="F785" s="96"/>
      <c r="G785" s="96"/>
      <c r="H785" s="96"/>
      <c r="I785" s="96"/>
    </row>
    <row r="786" spans="1:9" x14ac:dyDescent="0.25">
      <c r="A786" s="131"/>
      <c r="B786" s="96"/>
      <c r="C786" s="96"/>
      <c r="D786" s="96"/>
      <c r="E786" s="96"/>
      <c r="F786" s="96"/>
      <c r="G786" s="96"/>
      <c r="H786" s="96"/>
      <c r="I786" s="96"/>
    </row>
    <row r="787" spans="1:9" x14ac:dyDescent="0.25">
      <c r="A787" s="131"/>
      <c r="B787" s="96"/>
      <c r="C787" s="96"/>
      <c r="D787" s="96"/>
      <c r="E787" s="96"/>
      <c r="F787" s="96"/>
      <c r="G787" s="96"/>
      <c r="H787" s="96"/>
      <c r="I787" s="96"/>
    </row>
    <row r="788" spans="1:9" x14ac:dyDescent="0.25">
      <c r="A788" s="131"/>
      <c r="B788" s="96"/>
      <c r="C788" s="96"/>
      <c r="D788" s="96"/>
      <c r="E788" s="96"/>
      <c r="F788" s="96"/>
      <c r="G788" s="96"/>
      <c r="H788" s="96"/>
      <c r="I788" s="96"/>
    </row>
    <row r="789" spans="1:9" x14ac:dyDescent="0.25">
      <c r="A789" s="131"/>
      <c r="B789" s="96"/>
      <c r="C789" s="96"/>
      <c r="D789" s="96"/>
      <c r="E789" s="96"/>
      <c r="F789" s="96"/>
      <c r="G789" s="96"/>
      <c r="H789" s="96"/>
      <c r="I789" s="96"/>
    </row>
    <row r="790" spans="1:9" x14ac:dyDescent="0.25">
      <c r="A790" s="131"/>
      <c r="B790" s="96"/>
      <c r="C790" s="96"/>
      <c r="D790" s="96"/>
      <c r="E790" s="96"/>
      <c r="F790" s="96"/>
      <c r="G790" s="96"/>
      <c r="H790" s="96"/>
      <c r="I790" s="96"/>
    </row>
    <row r="791" spans="1:9" x14ac:dyDescent="0.25">
      <c r="A791" s="131"/>
      <c r="B791" s="96"/>
      <c r="C791" s="96"/>
      <c r="D791" s="96"/>
      <c r="E791" s="96"/>
      <c r="F791" s="96"/>
      <c r="G791" s="96"/>
      <c r="H791" s="96"/>
      <c r="I791" s="96"/>
    </row>
    <row r="792" spans="1:9" x14ac:dyDescent="0.25">
      <c r="A792" s="131"/>
      <c r="B792" s="96"/>
      <c r="C792" s="96"/>
      <c r="D792" s="96"/>
      <c r="E792" s="96"/>
      <c r="F792" s="96"/>
      <c r="G792" s="96"/>
      <c r="H792" s="96"/>
      <c r="I792" s="96"/>
    </row>
    <row r="793" spans="1:9" x14ac:dyDescent="0.25">
      <c r="A793" s="131"/>
      <c r="B793" s="96"/>
      <c r="C793" s="96"/>
      <c r="D793" s="96"/>
      <c r="E793" s="96"/>
      <c r="F793" s="96"/>
      <c r="G793" s="96"/>
      <c r="H793" s="96"/>
      <c r="I793" s="96"/>
    </row>
    <row r="794" spans="1:9" x14ac:dyDescent="0.25">
      <c r="A794" s="131"/>
      <c r="B794" s="96"/>
      <c r="C794" s="96"/>
      <c r="D794" s="96"/>
      <c r="E794" s="96"/>
      <c r="F794" s="96"/>
      <c r="G794" s="96"/>
      <c r="H794" s="96"/>
      <c r="I794" s="96"/>
    </row>
    <row r="795" spans="1:9" x14ac:dyDescent="0.25">
      <c r="A795" s="131"/>
      <c r="B795" s="96"/>
      <c r="C795" s="96"/>
      <c r="D795" s="96"/>
      <c r="E795" s="96"/>
      <c r="F795" s="96"/>
      <c r="G795" s="96"/>
      <c r="H795" s="96"/>
      <c r="I795" s="96"/>
    </row>
    <row r="796" spans="1:9" x14ac:dyDescent="0.25">
      <c r="A796" s="131"/>
      <c r="B796" s="96"/>
      <c r="C796" s="96"/>
      <c r="D796" s="96"/>
      <c r="E796" s="96"/>
      <c r="F796" s="96"/>
      <c r="G796" s="96"/>
      <c r="H796" s="96"/>
      <c r="I796" s="96"/>
    </row>
    <row r="797" spans="1:9" x14ac:dyDescent="0.25">
      <c r="A797" s="131"/>
      <c r="B797" s="96"/>
      <c r="C797" s="96"/>
      <c r="D797" s="96"/>
      <c r="E797" s="96"/>
      <c r="F797" s="96"/>
      <c r="G797" s="96"/>
      <c r="H797" s="96"/>
      <c r="I797" s="96"/>
    </row>
    <row r="798" spans="1:9" x14ac:dyDescent="0.25">
      <c r="A798" s="131"/>
      <c r="B798" s="96"/>
      <c r="C798" s="96"/>
      <c r="D798" s="96"/>
      <c r="E798" s="96"/>
      <c r="F798" s="96"/>
      <c r="G798" s="96"/>
      <c r="H798" s="96"/>
      <c r="I798" s="96"/>
    </row>
    <row r="799" spans="1:9" x14ac:dyDescent="0.25">
      <c r="A799" s="131"/>
      <c r="B799" s="96"/>
      <c r="C799" s="96"/>
      <c r="D799" s="96"/>
      <c r="E799" s="96"/>
      <c r="F799" s="96"/>
      <c r="G799" s="96"/>
      <c r="H799" s="96"/>
      <c r="I799" s="96"/>
    </row>
    <row r="800" spans="1:9" x14ac:dyDescent="0.25">
      <c r="A800" s="131"/>
      <c r="B800" s="96"/>
      <c r="C800" s="96"/>
      <c r="D800" s="96"/>
      <c r="E800" s="96"/>
      <c r="F800" s="96"/>
      <c r="G800" s="96"/>
      <c r="H800" s="96"/>
      <c r="I800" s="96"/>
    </row>
    <row r="801" spans="1:9" x14ac:dyDescent="0.25">
      <c r="A801" s="131"/>
      <c r="B801" s="96"/>
      <c r="C801" s="96"/>
      <c r="D801" s="96"/>
      <c r="E801" s="96"/>
      <c r="F801" s="96"/>
      <c r="G801" s="96"/>
      <c r="H801" s="96"/>
      <c r="I801" s="96"/>
    </row>
    <row r="802" spans="1:9" x14ac:dyDescent="0.25">
      <c r="A802" s="131"/>
      <c r="B802" s="96"/>
      <c r="C802" s="96"/>
      <c r="D802" s="96"/>
      <c r="E802" s="96"/>
      <c r="F802" s="96"/>
      <c r="G802" s="96"/>
      <c r="H802" s="96"/>
      <c r="I802" s="96"/>
    </row>
    <row r="803" spans="1:9" x14ac:dyDescent="0.25">
      <c r="A803" s="131"/>
      <c r="B803" s="96"/>
      <c r="C803" s="96"/>
      <c r="D803" s="96"/>
      <c r="E803" s="96"/>
      <c r="F803" s="96"/>
      <c r="G803" s="96"/>
      <c r="H803" s="96"/>
      <c r="I803" s="96"/>
    </row>
    <row r="804" spans="1:9" x14ac:dyDescent="0.25">
      <c r="A804" s="131"/>
      <c r="B804" s="96"/>
      <c r="C804" s="96"/>
      <c r="D804" s="96"/>
      <c r="E804" s="96"/>
      <c r="F804" s="96"/>
      <c r="G804" s="96"/>
      <c r="H804" s="96"/>
      <c r="I804" s="96"/>
    </row>
    <row r="805" spans="1:9" x14ac:dyDescent="0.25">
      <c r="A805" s="131"/>
      <c r="B805" s="96"/>
      <c r="C805" s="96"/>
      <c r="D805" s="96"/>
      <c r="E805" s="96"/>
      <c r="F805" s="96"/>
      <c r="G805" s="96"/>
      <c r="H805" s="96"/>
      <c r="I805" s="96"/>
    </row>
    <row r="806" spans="1:9" x14ac:dyDescent="0.25">
      <c r="A806" s="131"/>
      <c r="B806" s="96"/>
      <c r="C806" s="96"/>
      <c r="D806" s="96"/>
      <c r="E806" s="96"/>
      <c r="F806" s="96"/>
      <c r="G806" s="96"/>
      <c r="H806" s="96"/>
      <c r="I806" s="96"/>
    </row>
    <row r="807" spans="1:9" x14ac:dyDescent="0.25">
      <c r="A807" s="131"/>
      <c r="B807" s="96"/>
      <c r="C807" s="96"/>
      <c r="D807" s="96"/>
      <c r="E807" s="96"/>
      <c r="F807" s="96"/>
      <c r="G807" s="96"/>
      <c r="H807" s="96"/>
      <c r="I807" s="96"/>
    </row>
    <row r="808" spans="1:9" x14ac:dyDescent="0.25">
      <c r="A808" s="131"/>
      <c r="B808" s="96"/>
      <c r="C808" s="96"/>
      <c r="D808" s="96"/>
      <c r="E808" s="96"/>
      <c r="F808" s="96"/>
      <c r="G808" s="96"/>
      <c r="H808" s="96"/>
      <c r="I808" s="96"/>
    </row>
    <row r="809" spans="1:9" x14ac:dyDescent="0.25">
      <c r="A809" s="131"/>
      <c r="B809" s="96"/>
      <c r="C809" s="96"/>
      <c r="D809" s="96"/>
      <c r="E809" s="96"/>
      <c r="F809" s="96"/>
      <c r="G809" s="96"/>
      <c r="H809" s="96"/>
      <c r="I809" s="96"/>
    </row>
    <row r="810" spans="1:9" x14ac:dyDescent="0.25">
      <c r="A810" s="131"/>
      <c r="B810" s="96"/>
      <c r="C810" s="96"/>
      <c r="D810" s="96"/>
      <c r="E810" s="96"/>
      <c r="F810" s="96"/>
      <c r="G810" s="96"/>
      <c r="H810" s="96"/>
      <c r="I810" s="96"/>
    </row>
    <row r="811" spans="1:9" x14ac:dyDescent="0.25">
      <c r="A811" s="131"/>
      <c r="B811" s="96"/>
      <c r="C811" s="96"/>
      <c r="D811" s="96"/>
      <c r="E811" s="96"/>
      <c r="F811" s="96"/>
      <c r="G811" s="96"/>
      <c r="H811" s="96"/>
      <c r="I811" s="96"/>
    </row>
    <row r="812" spans="1:9" x14ac:dyDescent="0.25">
      <c r="A812" s="131"/>
      <c r="B812" s="96"/>
      <c r="C812" s="96"/>
      <c r="D812" s="96"/>
      <c r="E812" s="96"/>
      <c r="F812" s="96"/>
      <c r="G812" s="96"/>
      <c r="H812" s="96"/>
      <c r="I812" s="96"/>
    </row>
    <row r="813" spans="1:9" x14ac:dyDescent="0.25">
      <c r="A813" s="131"/>
      <c r="B813" s="96"/>
      <c r="C813" s="96"/>
      <c r="D813" s="96"/>
      <c r="E813" s="96"/>
      <c r="F813" s="96"/>
      <c r="G813" s="96"/>
      <c r="H813" s="96"/>
      <c r="I813" s="96"/>
    </row>
    <row r="814" spans="1:9" x14ac:dyDescent="0.25">
      <c r="A814" s="131"/>
      <c r="B814" s="96"/>
      <c r="C814" s="96"/>
      <c r="D814" s="96"/>
      <c r="E814" s="96"/>
      <c r="F814" s="96"/>
      <c r="G814" s="96"/>
      <c r="H814" s="96"/>
      <c r="I814" s="96"/>
    </row>
    <row r="815" spans="1:9" x14ac:dyDescent="0.25">
      <c r="A815" s="131"/>
      <c r="B815" s="96"/>
      <c r="C815" s="96"/>
      <c r="D815" s="96"/>
      <c r="E815" s="96"/>
      <c r="F815" s="96"/>
      <c r="G815" s="96"/>
      <c r="H815" s="96"/>
      <c r="I815" s="96"/>
    </row>
    <row r="816" spans="1:9" x14ac:dyDescent="0.25">
      <c r="A816" s="131"/>
      <c r="B816" s="96"/>
      <c r="C816" s="96"/>
      <c r="D816" s="96"/>
      <c r="E816" s="96"/>
      <c r="F816" s="96"/>
      <c r="G816" s="96"/>
      <c r="H816" s="96"/>
      <c r="I816" s="96"/>
    </row>
    <row r="817" spans="1:9" x14ac:dyDescent="0.25">
      <c r="A817" s="131"/>
      <c r="B817" s="96"/>
      <c r="C817" s="96"/>
      <c r="D817" s="96"/>
      <c r="E817" s="96"/>
      <c r="F817" s="96"/>
      <c r="G817" s="96"/>
      <c r="H817" s="96"/>
      <c r="I817" s="96"/>
    </row>
    <row r="818" spans="1:9" x14ac:dyDescent="0.25">
      <c r="A818" s="131"/>
      <c r="B818" s="96"/>
      <c r="C818" s="96"/>
      <c r="D818" s="96"/>
      <c r="E818" s="96"/>
      <c r="F818" s="96"/>
      <c r="G818" s="96"/>
      <c r="H818" s="96"/>
      <c r="I818" s="96"/>
    </row>
    <row r="819" spans="1:9" x14ac:dyDescent="0.25">
      <c r="A819" s="131"/>
      <c r="B819" s="96"/>
      <c r="C819" s="96"/>
      <c r="D819" s="96"/>
      <c r="E819" s="96"/>
      <c r="F819" s="96"/>
      <c r="G819" s="96"/>
      <c r="H819" s="96"/>
      <c r="I819" s="96"/>
    </row>
    <row r="820" spans="1:9" x14ac:dyDescent="0.25">
      <c r="A820" s="131"/>
      <c r="B820" s="96"/>
      <c r="C820" s="96"/>
      <c r="D820" s="96"/>
      <c r="E820" s="96"/>
      <c r="F820" s="96"/>
      <c r="G820" s="96"/>
      <c r="H820" s="96"/>
      <c r="I820" s="96"/>
    </row>
    <row r="821" spans="1:9" x14ac:dyDescent="0.25">
      <c r="A821" s="131"/>
      <c r="B821" s="96"/>
      <c r="C821" s="96"/>
      <c r="D821" s="96"/>
      <c r="E821" s="96"/>
      <c r="F821" s="96"/>
      <c r="G821" s="96"/>
      <c r="H821" s="96"/>
      <c r="I821" s="96"/>
    </row>
    <row r="822" spans="1:9" x14ac:dyDescent="0.25">
      <c r="A822" s="131"/>
      <c r="B822" s="96"/>
      <c r="C822" s="96"/>
      <c r="D822" s="96"/>
      <c r="E822" s="96"/>
      <c r="F822" s="96"/>
      <c r="G822" s="96"/>
      <c r="H822" s="96"/>
      <c r="I822" s="96"/>
    </row>
    <row r="823" spans="1:9" x14ac:dyDescent="0.25">
      <c r="A823" s="131"/>
      <c r="B823" s="96"/>
      <c r="C823" s="96"/>
      <c r="D823" s="96"/>
      <c r="E823" s="96"/>
      <c r="F823" s="96"/>
      <c r="G823" s="96"/>
      <c r="H823" s="96"/>
      <c r="I823" s="96"/>
    </row>
    <row r="824" spans="1:9" x14ac:dyDescent="0.25">
      <c r="A824" s="131"/>
      <c r="B824" s="96"/>
      <c r="C824" s="96"/>
      <c r="D824" s="96"/>
      <c r="E824" s="96"/>
      <c r="F824" s="96"/>
      <c r="G824" s="96"/>
      <c r="H824" s="96"/>
      <c r="I824" s="96"/>
    </row>
    <row r="825" spans="1:9" x14ac:dyDescent="0.25">
      <c r="A825" s="131"/>
      <c r="B825" s="96"/>
      <c r="C825" s="96"/>
      <c r="D825" s="96"/>
      <c r="E825" s="96"/>
      <c r="F825" s="96"/>
      <c r="G825" s="96"/>
      <c r="H825" s="96"/>
      <c r="I825" s="96"/>
    </row>
    <row r="826" spans="1:9" x14ac:dyDescent="0.25">
      <c r="A826" s="131"/>
      <c r="B826" s="96"/>
      <c r="C826" s="96"/>
      <c r="D826" s="96"/>
      <c r="E826" s="96"/>
      <c r="F826" s="96"/>
      <c r="G826" s="96"/>
      <c r="H826" s="96"/>
      <c r="I826" s="96"/>
    </row>
    <row r="827" spans="1:9" x14ac:dyDescent="0.25">
      <c r="A827" s="131"/>
      <c r="B827" s="96"/>
      <c r="C827" s="96"/>
      <c r="D827" s="96"/>
      <c r="E827" s="96"/>
      <c r="F827" s="96"/>
      <c r="G827" s="96"/>
      <c r="H827" s="96"/>
      <c r="I827" s="96"/>
    </row>
    <row r="828" spans="1:9" x14ac:dyDescent="0.25">
      <c r="A828" s="131"/>
      <c r="B828" s="96"/>
      <c r="C828" s="96"/>
      <c r="D828" s="96"/>
      <c r="E828" s="96"/>
      <c r="F828" s="96"/>
      <c r="G828" s="96"/>
      <c r="H828" s="96"/>
      <c r="I828" s="96"/>
    </row>
    <row r="829" spans="1:9" x14ac:dyDescent="0.25">
      <c r="A829" s="131"/>
      <c r="B829" s="96"/>
      <c r="C829" s="96"/>
      <c r="D829" s="96"/>
      <c r="E829" s="96"/>
      <c r="F829" s="96"/>
      <c r="G829" s="96"/>
      <c r="H829" s="96"/>
      <c r="I829" s="96"/>
    </row>
    <row r="830" spans="1:9" x14ac:dyDescent="0.25">
      <c r="A830" s="131"/>
      <c r="B830" s="96"/>
      <c r="C830" s="96"/>
      <c r="D830" s="96"/>
      <c r="E830" s="96"/>
      <c r="F830" s="96"/>
      <c r="G830" s="96"/>
      <c r="H830" s="96"/>
      <c r="I830" s="96"/>
    </row>
    <row r="831" spans="1:9" x14ac:dyDescent="0.25">
      <c r="A831" s="131"/>
      <c r="B831" s="96"/>
      <c r="C831" s="96"/>
      <c r="D831" s="96"/>
      <c r="E831" s="96"/>
      <c r="F831" s="96"/>
      <c r="G831" s="96"/>
      <c r="H831" s="96"/>
      <c r="I831" s="96"/>
    </row>
    <row r="832" spans="1:9" x14ac:dyDescent="0.25">
      <c r="A832" s="131"/>
      <c r="B832" s="96"/>
      <c r="C832" s="96"/>
      <c r="D832" s="96"/>
      <c r="E832" s="96"/>
      <c r="F832" s="96"/>
      <c r="G832" s="96"/>
      <c r="H832" s="96"/>
      <c r="I832" s="96"/>
    </row>
    <row r="833" spans="1:9" x14ac:dyDescent="0.25">
      <c r="A833" s="131"/>
      <c r="B833" s="96"/>
      <c r="C833" s="96"/>
      <c r="D833" s="96"/>
      <c r="E833" s="96"/>
      <c r="F833" s="96"/>
      <c r="G833" s="96"/>
      <c r="H833" s="96"/>
      <c r="I833" s="96"/>
    </row>
    <row r="834" spans="1:9" x14ac:dyDescent="0.25">
      <c r="A834" s="131"/>
      <c r="B834" s="96"/>
      <c r="C834" s="96"/>
      <c r="D834" s="96"/>
      <c r="E834" s="96"/>
      <c r="F834" s="96"/>
      <c r="G834" s="96"/>
      <c r="H834" s="96"/>
      <c r="I834" s="96"/>
    </row>
    <row r="835" spans="1:9" x14ac:dyDescent="0.25">
      <c r="A835" s="131"/>
      <c r="B835" s="96"/>
      <c r="C835" s="96"/>
      <c r="D835" s="96"/>
      <c r="E835" s="96"/>
      <c r="F835" s="96"/>
      <c r="G835" s="96"/>
      <c r="H835" s="96"/>
      <c r="I835" s="96"/>
    </row>
    <row r="836" spans="1:9" x14ac:dyDescent="0.25">
      <c r="A836" s="131"/>
      <c r="B836" s="96"/>
      <c r="C836" s="96"/>
      <c r="D836" s="96"/>
      <c r="E836" s="96"/>
      <c r="F836" s="96"/>
      <c r="G836" s="96"/>
      <c r="H836" s="96"/>
      <c r="I836" s="96"/>
    </row>
    <row r="837" spans="1:9" x14ac:dyDescent="0.25">
      <c r="A837" s="131"/>
      <c r="B837" s="96"/>
      <c r="C837" s="96"/>
      <c r="D837" s="96"/>
      <c r="E837" s="96"/>
      <c r="F837" s="96"/>
      <c r="G837" s="96"/>
      <c r="H837" s="96"/>
      <c r="I837" s="96"/>
    </row>
    <row r="838" spans="1:9" x14ac:dyDescent="0.25">
      <c r="A838" s="131"/>
      <c r="B838" s="96"/>
      <c r="C838" s="96"/>
      <c r="D838" s="96"/>
      <c r="E838" s="96"/>
      <c r="F838" s="96"/>
      <c r="G838" s="96"/>
      <c r="H838" s="96"/>
      <c r="I838" s="96"/>
    </row>
    <row r="839" spans="1:9" x14ac:dyDescent="0.25">
      <c r="A839" s="131"/>
      <c r="B839" s="96"/>
      <c r="C839" s="96"/>
      <c r="D839" s="96"/>
      <c r="E839" s="96"/>
      <c r="F839" s="96"/>
      <c r="G839" s="96"/>
      <c r="H839" s="96"/>
      <c r="I839" s="96"/>
    </row>
    <row r="840" spans="1:9" x14ac:dyDescent="0.25">
      <c r="A840" s="131"/>
      <c r="B840" s="96"/>
      <c r="C840" s="96"/>
      <c r="D840" s="96"/>
      <c r="E840" s="96"/>
      <c r="F840" s="96"/>
      <c r="G840" s="96"/>
      <c r="H840" s="96"/>
      <c r="I840" s="96"/>
    </row>
    <row r="841" spans="1:9" x14ac:dyDescent="0.25">
      <c r="A841" s="131"/>
      <c r="B841" s="96"/>
      <c r="C841" s="96"/>
      <c r="D841" s="96"/>
      <c r="E841" s="96"/>
      <c r="F841" s="96"/>
      <c r="G841" s="96"/>
      <c r="H841" s="96"/>
      <c r="I841" s="96"/>
    </row>
    <row r="842" spans="1:9" x14ac:dyDescent="0.25">
      <c r="A842" s="131"/>
      <c r="B842" s="96"/>
      <c r="C842" s="96"/>
      <c r="D842" s="96"/>
      <c r="E842" s="96"/>
      <c r="F842" s="96"/>
      <c r="G842" s="96"/>
      <c r="H842" s="96"/>
      <c r="I842" s="96"/>
    </row>
    <row r="843" spans="1:9" x14ac:dyDescent="0.25">
      <c r="A843" s="131"/>
      <c r="B843" s="96"/>
      <c r="C843" s="96"/>
      <c r="D843" s="96"/>
      <c r="E843" s="96"/>
      <c r="F843" s="96"/>
      <c r="G843" s="96"/>
      <c r="H843" s="96"/>
      <c r="I843" s="96"/>
    </row>
    <row r="844" spans="1:9" x14ac:dyDescent="0.25">
      <c r="A844" s="131"/>
      <c r="B844" s="96"/>
      <c r="C844" s="96"/>
      <c r="D844" s="96"/>
      <c r="E844" s="96"/>
      <c r="F844" s="96"/>
      <c r="G844" s="96"/>
      <c r="H844" s="96"/>
      <c r="I844" s="96"/>
    </row>
    <row r="845" spans="1:9" x14ac:dyDescent="0.25">
      <c r="A845" s="131"/>
      <c r="B845" s="96"/>
      <c r="C845" s="96"/>
      <c r="D845" s="96"/>
      <c r="E845" s="96"/>
      <c r="F845" s="96"/>
      <c r="G845" s="96"/>
      <c r="H845" s="96"/>
      <c r="I845" s="96"/>
    </row>
    <row r="846" spans="1:9" x14ac:dyDescent="0.25">
      <c r="A846" s="131"/>
      <c r="B846" s="96"/>
      <c r="C846" s="96"/>
      <c r="D846" s="96"/>
      <c r="E846" s="96"/>
      <c r="F846" s="96"/>
      <c r="G846" s="96"/>
      <c r="H846" s="96"/>
      <c r="I846" s="96"/>
    </row>
    <row r="847" spans="1:9" x14ac:dyDescent="0.25">
      <c r="A847" s="131"/>
      <c r="B847" s="96"/>
      <c r="C847" s="96"/>
      <c r="D847" s="96"/>
      <c r="E847" s="96"/>
      <c r="F847" s="96"/>
      <c r="G847" s="96"/>
      <c r="H847" s="96"/>
      <c r="I847" s="96"/>
    </row>
    <row r="848" spans="1:9" x14ac:dyDescent="0.25">
      <c r="A848" s="131"/>
      <c r="B848" s="96"/>
      <c r="C848" s="96"/>
      <c r="D848" s="96"/>
      <c r="E848" s="96"/>
      <c r="F848" s="96"/>
      <c r="G848" s="96"/>
      <c r="H848" s="96"/>
      <c r="I848" s="96"/>
    </row>
    <row r="849" spans="1:9" x14ac:dyDescent="0.25">
      <c r="A849" s="131"/>
      <c r="B849" s="96"/>
      <c r="C849" s="96"/>
      <c r="D849" s="96"/>
      <c r="E849" s="96"/>
      <c r="F849" s="96"/>
      <c r="G849" s="96"/>
      <c r="H849" s="96"/>
      <c r="I849" s="96"/>
    </row>
    <row r="850" spans="1:9" x14ac:dyDescent="0.25">
      <c r="A850" s="131"/>
      <c r="B850" s="96"/>
      <c r="C850" s="96"/>
      <c r="D850" s="96"/>
      <c r="E850" s="96"/>
      <c r="F850" s="96"/>
      <c r="G850" s="96"/>
      <c r="H850" s="96"/>
      <c r="I850" s="96"/>
    </row>
    <row r="851" spans="1:9" x14ac:dyDescent="0.25">
      <c r="A851" s="131"/>
      <c r="B851" s="96"/>
      <c r="C851" s="96"/>
      <c r="D851" s="96"/>
      <c r="E851" s="96"/>
      <c r="F851" s="96"/>
      <c r="G851" s="96"/>
      <c r="H851" s="96"/>
      <c r="I851" s="96"/>
    </row>
    <row r="852" spans="1:9" x14ac:dyDescent="0.25">
      <c r="A852" s="131"/>
      <c r="B852" s="96"/>
      <c r="C852" s="96"/>
      <c r="D852" s="96"/>
      <c r="E852" s="96"/>
      <c r="F852" s="96"/>
      <c r="G852" s="96"/>
      <c r="H852" s="96"/>
      <c r="I852" s="96"/>
    </row>
    <row r="853" spans="1:9" x14ac:dyDescent="0.25">
      <c r="A853" s="131"/>
      <c r="B853" s="96"/>
      <c r="C853" s="96"/>
      <c r="D853" s="96"/>
      <c r="E853" s="96"/>
      <c r="F853" s="96"/>
      <c r="G853" s="96"/>
      <c r="H853" s="96"/>
      <c r="I853" s="96"/>
    </row>
    <row r="854" spans="1:9" x14ac:dyDescent="0.25">
      <c r="A854" s="131"/>
      <c r="B854" s="96"/>
      <c r="C854" s="96"/>
      <c r="D854" s="96"/>
      <c r="E854" s="96"/>
      <c r="F854" s="96"/>
      <c r="G854" s="96"/>
      <c r="H854" s="96"/>
      <c r="I854" s="96"/>
    </row>
    <row r="855" spans="1:9" x14ac:dyDescent="0.25">
      <c r="A855" s="131"/>
      <c r="B855" s="96"/>
      <c r="C855" s="96"/>
      <c r="D855" s="96"/>
      <c r="E855" s="96"/>
      <c r="F855" s="96"/>
      <c r="G855" s="96"/>
      <c r="H855" s="96"/>
      <c r="I855" s="96"/>
    </row>
    <row r="856" spans="1:9" x14ac:dyDescent="0.25">
      <c r="A856" s="131"/>
      <c r="B856" s="96"/>
      <c r="C856" s="96"/>
      <c r="D856" s="96"/>
      <c r="E856" s="96"/>
      <c r="F856" s="96"/>
      <c r="G856" s="96"/>
      <c r="H856" s="96"/>
      <c r="I856" s="96"/>
    </row>
    <row r="857" spans="1:9" x14ac:dyDescent="0.25">
      <c r="A857" s="131"/>
      <c r="B857" s="96"/>
      <c r="C857" s="96"/>
      <c r="D857" s="96"/>
      <c r="E857" s="96"/>
      <c r="F857" s="96"/>
      <c r="G857" s="96"/>
      <c r="H857" s="96"/>
      <c r="I857" s="96"/>
    </row>
    <row r="858" spans="1:9" x14ac:dyDescent="0.25">
      <c r="A858" s="131"/>
      <c r="B858" s="96"/>
      <c r="C858" s="96"/>
      <c r="D858" s="96"/>
      <c r="E858" s="96"/>
      <c r="F858" s="96"/>
      <c r="G858" s="96"/>
      <c r="H858" s="96"/>
      <c r="I858" s="96"/>
    </row>
    <row r="859" spans="1:9" x14ac:dyDescent="0.25">
      <c r="A859" s="131"/>
      <c r="B859" s="96"/>
      <c r="C859" s="96"/>
      <c r="D859" s="96"/>
      <c r="E859" s="96"/>
      <c r="F859" s="96"/>
      <c r="G859" s="96"/>
      <c r="H859" s="96"/>
      <c r="I859" s="96"/>
    </row>
    <row r="860" spans="1:9" x14ac:dyDescent="0.25">
      <c r="A860" s="131"/>
      <c r="B860" s="96"/>
      <c r="C860" s="96"/>
      <c r="D860" s="96"/>
      <c r="E860" s="96"/>
      <c r="F860" s="96"/>
      <c r="G860" s="96"/>
      <c r="H860" s="96"/>
      <c r="I860" s="96"/>
    </row>
    <row r="861" spans="1:9" x14ac:dyDescent="0.25">
      <c r="A861" s="131"/>
      <c r="B861" s="96"/>
      <c r="C861" s="96"/>
      <c r="D861" s="96"/>
      <c r="E861" s="96"/>
      <c r="F861" s="96"/>
      <c r="G861" s="96"/>
      <c r="H861" s="96"/>
      <c r="I861" s="96"/>
    </row>
    <row r="862" spans="1:9" x14ac:dyDescent="0.25">
      <c r="A862" s="131"/>
      <c r="B862" s="96"/>
      <c r="C862" s="96"/>
      <c r="D862" s="96"/>
      <c r="E862" s="96"/>
      <c r="F862" s="96"/>
      <c r="G862" s="96"/>
      <c r="H862" s="96"/>
      <c r="I862" s="96"/>
    </row>
    <row r="863" spans="1:9" x14ac:dyDescent="0.25">
      <c r="A863" s="131"/>
      <c r="B863" s="96"/>
      <c r="C863" s="96"/>
      <c r="D863" s="96"/>
      <c r="E863" s="96"/>
      <c r="F863" s="96"/>
      <c r="G863" s="96"/>
      <c r="H863" s="96"/>
      <c r="I863" s="96"/>
    </row>
    <row r="864" spans="1:9" x14ac:dyDescent="0.25">
      <c r="A864" s="131"/>
      <c r="B864" s="96"/>
      <c r="C864" s="96"/>
      <c r="D864" s="96"/>
      <c r="E864" s="96"/>
      <c r="F864" s="96"/>
      <c r="G864" s="96"/>
      <c r="H864" s="96"/>
      <c r="I864" s="96"/>
    </row>
    <row r="865" spans="1:9" x14ac:dyDescent="0.25">
      <c r="A865" s="131"/>
      <c r="B865" s="96"/>
      <c r="C865" s="96"/>
      <c r="D865" s="96"/>
      <c r="E865" s="96"/>
      <c r="F865" s="96"/>
      <c r="G865" s="96"/>
      <c r="H865" s="96"/>
      <c r="I865" s="96"/>
    </row>
    <row r="866" spans="1:9" x14ac:dyDescent="0.25">
      <c r="A866" s="131"/>
      <c r="B866" s="96"/>
      <c r="C866" s="96"/>
      <c r="D866" s="96"/>
      <c r="E866" s="96"/>
      <c r="F866" s="96"/>
      <c r="G866" s="96"/>
      <c r="H866" s="96"/>
      <c r="I866" s="96"/>
    </row>
    <row r="867" spans="1:9" x14ac:dyDescent="0.25">
      <c r="A867" s="131"/>
      <c r="B867" s="96"/>
      <c r="C867" s="96"/>
      <c r="D867" s="96"/>
      <c r="E867" s="96"/>
      <c r="F867" s="96"/>
      <c r="G867" s="96"/>
      <c r="H867" s="96"/>
      <c r="I867" s="96"/>
    </row>
    <row r="868" spans="1:9" x14ac:dyDescent="0.25">
      <c r="A868" s="131"/>
      <c r="B868" s="96"/>
      <c r="C868" s="96"/>
      <c r="D868" s="96"/>
      <c r="E868" s="96"/>
      <c r="F868" s="96"/>
      <c r="G868" s="96"/>
      <c r="H868" s="96"/>
      <c r="I868" s="96"/>
    </row>
    <row r="869" spans="1:9" x14ac:dyDescent="0.25">
      <c r="A869" s="131"/>
      <c r="B869" s="96"/>
      <c r="C869" s="96"/>
      <c r="D869" s="96"/>
      <c r="E869" s="96"/>
      <c r="F869" s="96"/>
      <c r="G869" s="96"/>
      <c r="H869" s="96"/>
      <c r="I869" s="96"/>
    </row>
    <row r="870" spans="1:9" x14ac:dyDescent="0.25">
      <c r="A870" s="131"/>
      <c r="B870" s="96"/>
      <c r="C870" s="96"/>
      <c r="D870" s="96"/>
      <c r="E870" s="96"/>
      <c r="F870" s="96"/>
      <c r="G870" s="96"/>
      <c r="H870" s="96"/>
      <c r="I870" s="96"/>
    </row>
    <row r="871" spans="1:9" x14ac:dyDescent="0.25">
      <c r="A871" s="131"/>
      <c r="B871" s="96"/>
      <c r="C871" s="96"/>
      <c r="D871" s="96"/>
      <c r="E871" s="96"/>
      <c r="F871" s="96"/>
      <c r="G871" s="96"/>
      <c r="H871" s="96"/>
      <c r="I871" s="96"/>
    </row>
    <row r="872" spans="1:9" x14ac:dyDescent="0.25">
      <c r="A872" s="131"/>
      <c r="B872" s="96"/>
      <c r="C872" s="96"/>
      <c r="D872" s="96"/>
      <c r="E872" s="96"/>
      <c r="F872" s="96"/>
      <c r="G872" s="96"/>
      <c r="H872" s="96"/>
      <c r="I872" s="96"/>
    </row>
    <row r="873" spans="1:9" x14ac:dyDescent="0.25">
      <c r="A873" s="131"/>
      <c r="B873" s="96"/>
      <c r="C873" s="96"/>
      <c r="D873" s="96"/>
      <c r="E873" s="96"/>
      <c r="F873" s="96"/>
      <c r="G873" s="96"/>
      <c r="H873" s="96"/>
      <c r="I873" s="96"/>
    </row>
    <row r="874" spans="1:9" x14ac:dyDescent="0.25">
      <c r="A874" s="131"/>
      <c r="B874" s="96"/>
      <c r="C874" s="96"/>
      <c r="D874" s="96"/>
      <c r="E874" s="96"/>
      <c r="F874" s="96"/>
      <c r="G874" s="96"/>
      <c r="H874" s="96"/>
      <c r="I874" s="96"/>
    </row>
    <row r="875" spans="1:9" x14ac:dyDescent="0.25">
      <c r="A875" s="131"/>
      <c r="B875" s="96"/>
      <c r="C875" s="96"/>
      <c r="D875" s="96"/>
      <c r="E875" s="96"/>
      <c r="F875" s="96"/>
      <c r="G875" s="96"/>
      <c r="H875" s="96"/>
      <c r="I875" s="96"/>
    </row>
    <row r="876" spans="1:9" x14ac:dyDescent="0.25">
      <c r="A876" s="131"/>
      <c r="B876" s="96"/>
      <c r="C876" s="96"/>
      <c r="D876" s="96"/>
      <c r="E876" s="96"/>
      <c r="F876" s="96"/>
      <c r="G876" s="96"/>
      <c r="H876" s="96"/>
      <c r="I876" s="96"/>
    </row>
    <row r="877" spans="1:9" x14ac:dyDescent="0.25">
      <c r="A877" s="131"/>
      <c r="B877" s="96"/>
      <c r="C877" s="96"/>
      <c r="D877" s="96"/>
      <c r="E877" s="96"/>
      <c r="F877" s="96"/>
      <c r="G877" s="96"/>
      <c r="H877" s="96"/>
      <c r="I877" s="96"/>
    </row>
    <row r="878" spans="1:9" x14ac:dyDescent="0.25">
      <c r="A878" s="131"/>
      <c r="B878" s="96"/>
      <c r="C878" s="96"/>
      <c r="D878" s="96"/>
      <c r="E878" s="96"/>
      <c r="F878" s="96"/>
      <c r="G878" s="96"/>
      <c r="H878" s="96"/>
      <c r="I878" s="96"/>
    </row>
    <row r="879" spans="1:9" x14ac:dyDescent="0.25">
      <c r="A879" s="131"/>
      <c r="B879" s="96"/>
      <c r="C879" s="96"/>
      <c r="D879" s="96"/>
      <c r="E879" s="96"/>
      <c r="F879" s="96"/>
      <c r="G879" s="96"/>
      <c r="H879" s="96"/>
      <c r="I879" s="96"/>
    </row>
    <row r="880" spans="1:9" x14ac:dyDescent="0.25">
      <c r="A880" s="131"/>
      <c r="B880" s="96"/>
      <c r="C880" s="96"/>
      <c r="D880" s="96"/>
      <c r="E880" s="96"/>
      <c r="F880" s="96"/>
      <c r="G880" s="96"/>
      <c r="H880" s="96"/>
      <c r="I880" s="96"/>
    </row>
    <row r="881" spans="1:9" x14ac:dyDescent="0.25">
      <c r="A881" s="131"/>
      <c r="B881" s="96"/>
      <c r="C881" s="96"/>
      <c r="D881" s="96"/>
      <c r="E881" s="96"/>
      <c r="F881" s="96"/>
      <c r="G881" s="96"/>
      <c r="H881" s="96"/>
      <c r="I881" s="96"/>
    </row>
    <row r="882" spans="1:9" x14ac:dyDescent="0.25">
      <c r="A882" s="131"/>
      <c r="B882" s="96"/>
      <c r="C882" s="96"/>
      <c r="D882" s="96"/>
      <c r="E882" s="96"/>
      <c r="F882" s="96"/>
      <c r="G882" s="96"/>
      <c r="H882" s="96"/>
      <c r="I882" s="96"/>
    </row>
    <row r="883" spans="1:9" x14ac:dyDescent="0.25">
      <c r="A883" s="131"/>
      <c r="B883" s="96"/>
      <c r="C883" s="96"/>
      <c r="D883" s="96"/>
      <c r="E883" s="96"/>
      <c r="F883" s="96"/>
      <c r="G883" s="96"/>
      <c r="H883" s="96"/>
      <c r="I883" s="96"/>
    </row>
    <row r="884" spans="1:9" x14ac:dyDescent="0.25">
      <c r="A884" s="131"/>
      <c r="B884" s="96"/>
      <c r="C884" s="96"/>
      <c r="D884" s="96"/>
      <c r="E884" s="96"/>
      <c r="F884" s="96"/>
      <c r="G884" s="96"/>
      <c r="H884" s="96"/>
      <c r="I884" s="96"/>
    </row>
    <row r="885" spans="1:9" x14ac:dyDescent="0.25">
      <c r="A885" s="131"/>
      <c r="B885" s="96"/>
      <c r="C885" s="96"/>
      <c r="D885" s="96"/>
      <c r="E885" s="96"/>
      <c r="F885" s="96"/>
      <c r="G885" s="96"/>
      <c r="H885" s="96"/>
      <c r="I885" s="96"/>
    </row>
    <row r="886" spans="1:9" x14ac:dyDescent="0.25">
      <c r="A886" s="131"/>
      <c r="B886" s="96"/>
      <c r="C886" s="96"/>
      <c r="D886" s="96"/>
      <c r="E886" s="96"/>
      <c r="F886" s="96"/>
      <c r="G886" s="96"/>
      <c r="H886" s="96"/>
      <c r="I886" s="96"/>
    </row>
    <row r="887" spans="1:9" x14ac:dyDescent="0.25">
      <c r="A887" s="131"/>
      <c r="B887" s="96"/>
      <c r="C887" s="96"/>
      <c r="D887" s="96"/>
      <c r="E887" s="96"/>
      <c r="F887" s="96"/>
      <c r="G887" s="96"/>
      <c r="H887" s="96"/>
      <c r="I887" s="96"/>
    </row>
    <row r="888" spans="1:9" x14ac:dyDescent="0.25">
      <c r="A888" s="131"/>
      <c r="B888" s="96"/>
      <c r="C888" s="96"/>
      <c r="D888" s="96"/>
      <c r="E888" s="96"/>
      <c r="F888" s="96"/>
      <c r="G888" s="96"/>
      <c r="H888" s="96"/>
      <c r="I888" s="96"/>
    </row>
    <row r="889" spans="1:9" x14ac:dyDescent="0.25">
      <c r="A889" s="131"/>
      <c r="B889" s="96"/>
      <c r="C889" s="96"/>
      <c r="D889" s="96"/>
      <c r="E889" s="96"/>
      <c r="F889" s="96"/>
      <c r="G889" s="96"/>
      <c r="H889" s="96"/>
      <c r="I889" s="96"/>
    </row>
    <row r="890" spans="1:9" x14ac:dyDescent="0.25">
      <c r="A890" s="131"/>
      <c r="B890" s="96"/>
      <c r="C890" s="96"/>
      <c r="D890" s="96"/>
      <c r="E890" s="96"/>
      <c r="F890" s="96"/>
      <c r="G890" s="96"/>
      <c r="H890" s="96"/>
      <c r="I890" s="96"/>
    </row>
    <row r="891" spans="1:9" x14ac:dyDescent="0.25">
      <c r="A891" s="131"/>
      <c r="B891" s="96"/>
      <c r="C891" s="96"/>
      <c r="D891" s="96"/>
      <c r="E891" s="96"/>
      <c r="F891" s="96"/>
      <c r="G891" s="96"/>
      <c r="H891" s="96"/>
      <c r="I891" s="96"/>
    </row>
    <row r="892" spans="1:9" x14ac:dyDescent="0.25">
      <c r="A892" s="131"/>
      <c r="B892" s="96"/>
      <c r="C892" s="96"/>
      <c r="D892" s="96"/>
      <c r="E892" s="96"/>
      <c r="F892" s="96"/>
      <c r="G892" s="96"/>
      <c r="H892" s="96"/>
      <c r="I892" s="96"/>
    </row>
    <row r="893" spans="1:9" x14ac:dyDescent="0.25">
      <c r="A893" s="131"/>
      <c r="B893" s="96"/>
      <c r="C893" s="96"/>
      <c r="D893" s="96"/>
      <c r="E893" s="96"/>
      <c r="F893" s="96"/>
      <c r="G893" s="96"/>
      <c r="H893" s="96"/>
      <c r="I893" s="96"/>
    </row>
    <row r="894" spans="1:9" x14ac:dyDescent="0.25">
      <c r="A894" s="131"/>
      <c r="B894" s="96"/>
      <c r="C894" s="96"/>
      <c r="D894" s="96"/>
      <c r="E894" s="96"/>
      <c r="F894" s="96"/>
      <c r="G894" s="96"/>
      <c r="H894" s="96"/>
      <c r="I894" s="96"/>
    </row>
    <row r="895" spans="1:9" x14ac:dyDescent="0.25">
      <c r="A895" s="131"/>
      <c r="B895" s="96"/>
      <c r="C895" s="96"/>
      <c r="D895" s="96"/>
      <c r="E895" s="96"/>
      <c r="F895" s="96"/>
      <c r="G895" s="96"/>
      <c r="H895" s="96"/>
      <c r="I895" s="96"/>
    </row>
    <row r="896" spans="1:9" x14ac:dyDescent="0.25">
      <c r="A896" s="131"/>
      <c r="B896" s="96"/>
      <c r="C896" s="96"/>
      <c r="D896" s="96"/>
      <c r="E896" s="96"/>
      <c r="F896" s="96"/>
      <c r="G896" s="96"/>
      <c r="H896" s="96"/>
      <c r="I896" s="96"/>
    </row>
    <row r="897" spans="1:9" x14ac:dyDescent="0.25">
      <c r="A897" s="131"/>
      <c r="B897" s="96"/>
      <c r="C897" s="96"/>
      <c r="D897" s="96"/>
      <c r="E897" s="96"/>
      <c r="F897" s="96"/>
      <c r="G897" s="96"/>
      <c r="H897" s="96"/>
      <c r="I897" s="96"/>
    </row>
    <row r="898" spans="1:9" x14ac:dyDescent="0.25">
      <c r="A898" s="131"/>
      <c r="B898" s="96"/>
      <c r="C898" s="96"/>
      <c r="D898" s="96"/>
      <c r="E898" s="96"/>
      <c r="F898" s="96"/>
      <c r="G898" s="96"/>
      <c r="H898" s="96"/>
      <c r="I898" s="96"/>
    </row>
    <row r="899" spans="1:9" x14ac:dyDescent="0.25">
      <c r="A899" s="131"/>
      <c r="B899" s="96"/>
      <c r="C899" s="96"/>
      <c r="D899" s="96"/>
      <c r="E899" s="96"/>
      <c r="F899" s="96"/>
      <c r="G899" s="96"/>
      <c r="H899" s="96"/>
      <c r="I899" s="96"/>
    </row>
    <row r="900" spans="1:9" x14ac:dyDescent="0.25">
      <c r="A900" s="131"/>
      <c r="B900" s="96"/>
      <c r="C900" s="96"/>
      <c r="D900" s="96"/>
      <c r="E900" s="96"/>
      <c r="F900" s="96"/>
      <c r="G900" s="96"/>
      <c r="H900" s="96"/>
      <c r="I900" s="96"/>
    </row>
    <row r="901" spans="1:9" x14ac:dyDescent="0.25">
      <c r="A901" s="131"/>
      <c r="B901" s="96"/>
      <c r="C901" s="96"/>
      <c r="D901" s="96"/>
      <c r="E901" s="96"/>
      <c r="F901" s="96"/>
      <c r="G901" s="96"/>
      <c r="H901" s="96"/>
      <c r="I901" s="96"/>
    </row>
    <row r="902" spans="1:9" x14ac:dyDescent="0.25">
      <c r="A902" s="131"/>
      <c r="B902" s="96"/>
      <c r="C902" s="96"/>
      <c r="D902" s="96"/>
      <c r="E902" s="96"/>
      <c r="F902" s="96"/>
      <c r="G902" s="96"/>
      <c r="H902" s="96"/>
      <c r="I902" s="96"/>
    </row>
    <row r="903" spans="1:9" x14ac:dyDescent="0.25">
      <c r="A903" s="131"/>
      <c r="B903" s="96"/>
      <c r="C903" s="96"/>
      <c r="D903" s="96"/>
      <c r="E903" s="96"/>
      <c r="F903" s="96"/>
      <c r="G903" s="96"/>
      <c r="H903" s="96"/>
      <c r="I903" s="96"/>
    </row>
    <row r="904" spans="1:9" x14ac:dyDescent="0.25">
      <c r="A904" s="131"/>
      <c r="B904" s="96"/>
      <c r="C904" s="96"/>
      <c r="D904" s="96"/>
      <c r="E904" s="96"/>
      <c r="F904" s="96"/>
      <c r="G904" s="96"/>
      <c r="H904" s="96"/>
      <c r="I904" s="96"/>
    </row>
    <row r="905" spans="1:9" x14ac:dyDescent="0.25">
      <c r="A905" s="131"/>
      <c r="B905" s="96"/>
      <c r="C905" s="96"/>
      <c r="D905" s="96"/>
      <c r="E905" s="96"/>
      <c r="F905" s="96"/>
      <c r="G905" s="96"/>
      <c r="H905" s="96"/>
      <c r="I905" s="96"/>
    </row>
    <row r="906" spans="1:9" x14ac:dyDescent="0.25">
      <c r="A906" s="131"/>
      <c r="B906" s="96"/>
      <c r="C906" s="96"/>
      <c r="D906" s="96"/>
      <c r="E906" s="96"/>
      <c r="F906" s="96"/>
      <c r="G906" s="96"/>
      <c r="H906" s="96"/>
      <c r="I906" s="96"/>
    </row>
    <row r="907" spans="1:9" x14ac:dyDescent="0.25">
      <c r="A907" s="131"/>
      <c r="B907" s="96"/>
      <c r="C907" s="96"/>
      <c r="D907" s="96"/>
      <c r="E907" s="96"/>
      <c r="F907" s="96"/>
      <c r="G907" s="96"/>
      <c r="H907" s="96"/>
      <c r="I907" s="96"/>
    </row>
    <row r="908" spans="1:9" x14ac:dyDescent="0.25">
      <c r="A908" s="131"/>
      <c r="B908" s="96"/>
      <c r="C908" s="96"/>
      <c r="D908" s="96"/>
      <c r="E908" s="96"/>
      <c r="F908" s="96"/>
      <c r="G908" s="96"/>
      <c r="H908" s="96"/>
      <c r="I908" s="96"/>
    </row>
    <row r="909" spans="1:9" x14ac:dyDescent="0.25">
      <c r="A909" s="131"/>
      <c r="B909" s="96"/>
      <c r="C909" s="96"/>
      <c r="D909" s="96"/>
      <c r="E909" s="96"/>
      <c r="F909" s="96"/>
      <c r="G909" s="96"/>
      <c r="H909" s="96"/>
      <c r="I909" s="96"/>
    </row>
    <row r="910" spans="1:9" x14ac:dyDescent="0.25">
      <c r="A910" s="131"/>
      <c r="B910" s="96"/>
      <c r="C910" s="96"/>
      <c r="D910" s="96"/>
      <c r="E910" s="96"/>
      <c r="F910" s="96"/>
      <c r="G910" s="96"/>
      <c r="H910" s="96"/>
      <c r="I910" s="96"/>
    </row>
    <row r="911" spans="1:9" x14ac:dyDescent="0.25">
      <c r="A911" s="131"/>
      <c r="B911" s="96"/>
      <c r="C911" s="96"/>
      <c r="D911" s="96"/>
      <c r="E911" s="96"/>
      <c r="F911" s="96"/>
      <c r="G911" s="96"/>
      <c r="H911" s="96"/>
      <c r="I911" s="96"/>
    </row>
    <row r="912" spans="1:9" x14ac:dyDescent="0.25">
      <c r="A912" s="131"/>
      <c r="B912" s="96"/>
      <c r="C912" s="96"/>
      <c r="D912" s="96"/>
      <c r="E912" s="96"/>
      <c r="F912" s="96"/>
      <c r="G912" s="96"/>
      <c r="H912" s="96"/>
      <c r="I912" s="96"/>
    </row>
    <row r="913" spans="1:9" x14ac:dyDescent="0.25">
      <c r="A913" s="131"/>
      <c r="B913" s="96"/>
      <c r="C913" s="96"/>
      <c r="D913" s="96"/>
      <c r="E913" s="96"/>
      <c r="F913" s="96"/>
      <c r="G913" s="96"/>
      <c r="H913" s="96"/>
      <c r="I913" s="96"/>
    </row>
    <row r="914" spans="1:9" x14ac:dyDescent="0.25">
      <c r="A914" s="131"/>
      <c r="B914" s="96"/>
      <c r="C914" s="96"/>
      <c r="D914" s="96"/>
      <c r="E914" s="96"/>
      <c r="F914" s="96"/>
      <c r="G914" s="96"/>
      <c r="H914" s="96"/>
      <c r="I914" s="96"/>
    </row>
    <row r="915" spans="1:9" x14ac:dyDescent="0.25">
      <c r="A915" s="131"/>
      <c r="B915" s="96"/>
      <c r="C915" s="96"/>
      <c r="D915" s="96"/>
      <c r="E915" s="96"/>
      <c r="F915" s="96"/>
      <c r="G915" s="96"/>
      <c r="H915" s="96"/>
      <c r="I915" s="96"/>
    </row>
    <row r="916" spans="1:9" x14ac:dyDescent="0.25">
      <c r="A916" s="131"/>
      <c r="B916" s="96"/>
      <c r="C916" s="96"/>
      <c r="D916" s="96"/>
      <c r="E916" s="96"/>
      <c r="F916" s="96"/>
      <c r="G916" s="96"/>
      <c r="H916" s="96"/>
      <c r="I916" s="96"/>
    </row>
    <row r="917" spans="1:9" x14ac:dyDescent="0.25">
      <c r="A917" s="131"/>
      <c r="B917" s="96"/>
      <c r="C917" s="96"/>
      <c r="D917" s="96"/>
      <c r="E917" s="96"/>
      <c r="F917" s="96"/>
      <c r="G917" s="96"/>
      <c r="H917" s="96"/>
      <c r="I917" s="96"/>
    </row>
    <row r="918" spans="1:9" x14ac:dyDescent="0.25">
      <c r="A918" s="131"/>
      <c r="B918" s="96"/>
      <c r="C918" s="96"/>
      <c r="D918" s="96"/>
      <c r="E918" s="96"/>
      <c r="F918" s="96"/>
      <c r="G918" s="96"/>
      <c r="H918" s="96"/>
      <c r="I918" s="96"/>
    </row>
    <row r="919" spans="1:9" x14ac:dyDescent="0.25">
      <c r="A919" s="131"/>
      <c r="B919" s="96"/>
      <c r="C919" s="96"/>
      <c r="D919" s="96"/>
      <c r="E919" s="96"/>
      <c r="F919" s="96"/>
      <c r="G919" s="96"/>
      <c r="H919" s="96"/>
      <c r="I919" s="96"/>
    </row>
    <row r="920" spans="1:9" x14ac:dyDescent="0.25">
      <c r="A920" s="131"/>
      <c r="B920" s="96"/>
      <c r="C920" s="96"/>
      <c r="D920" s="96"/>
      <c r="E920" s="96"/>
      <c r="F920" s="96"/>
      <c r="G920" s="96"/>
      <c r="H920" s="96"/>
      <c r="I920" s="96"/>
    </row>
    <row r="921" spans="1:9" x14ac:dyDescent="0.25">
      <c r="A921" s="131"/>
      <c r="B921" s="96"/>
      <c r="C921" s="96"/>
      <c r="D921" s="96"/>
      <c r="E921" s="96"/>
      <c r="F921" s="96"/>
      <c r="G921" s="96"/>
      <c r="H921" s="96"/>
      <c r="I921" s="96"/>
    </row>
    <row r="922" spans="1:9" x14ac:dyDescent="0.25">
      <c r="A922" s="131"/>
      <c r="B922" s="96"/>
      <c r="C922" s="96"/>
      <c r="D922" s="96"/>
      <c r="E922" s="96"/>
      <c r="F922" s="96"/>
      <c r="G922" s="96"/>
      <c r="H922" s="96"/>
      <c r="I922" s="96"/>
    </row>
    <row r="923" spans="1:9" x14ac:dyDescent="0.25">
      <c r="A923" s="131"/>
      <c r="B923" s="96"/>
      <c r="C923" s="96"/>
      <c r="D923" s="96"/>
      <c r="E923" s="96"/>
      <c r="F923" s="96"/>
      <c r="G923" s="96"/>
      <c r="H923" s="96"/>
      <c r="I923" s="96"/>
    </row>
    <row r="924" spans="1:9" x14ac:dyDescent="0.25">
      <c r="A924" s="131"/>
      <c r="B924" s="96"/>
      <c r="C924" s="96"/>
      <c r="D924" s="96"/>
      <c r="E924" s="96"/>
      <c r="F924" s="96"/>
      <c r="G924" s="96"/>
      <c r="H924" s="96"/>
      <c r="I924" s="96"/>
    </row>
    <row r="925" spans="1:9" x14ac:dyDescent="0.25">
      <c r="A925" s="131"/>
      <c r="B925" s="96"/>
      <c r="C925" s="96"/>
      <c r="D925" s="96"/>
      <c r="E925" s="96"/>
      <c r="F925" s="96"/>
      <c r="G925" s="96"/>
      <c r="H925" s="96"/>
      <c r="I925" s="96"/>
    </row>
    <row r="926" spans="1:9" x14ac:dyDescent="0.25">
      <c r="A926" s="131"/>
      <c r="B926" s="96"/>
      <c r="C926" s="96"/>
      <c r="D926" s="96"/>
      <c r="E926" s="96"/>
      <c r="F926" s="96"/>
      <c r="G926" s="96"/>
      <c r="H926" s="96"/>
      <c r="I926" s="96"/>
    </row>
    <row r="927" spans="1:9" x14ac:dyDescent="0.25">
      <c r="A927" s="131"/>
      <c r="B927" s="96"/>
      <c r="C927" s="96"/>
      <c r="D927" s="96"/>
      <c r="E927" s="96"/>
      <c r="F927" s="96"/>
      <c r="G927" s="96"/>
      <c r="H927" s="96"/>
      <c r="I927" s="96"/>
    </row>
    <row r="928" spans="1:9" x14ac:dyDescent="0.25">
      <c r="A928" s="131"/>
      <c r="B928" s="96"/>
      <c r="C928" s="96"/>
      <c r="D928" s="96"/>
      <c r="E928" s="96"/>
      <c r="F928" s="96"/>
      <c r="G928" s="96"/>
      <c r="H928" s="96"/>
      <c r="I928" s="96"/>
    </row>
    <row r="929" spans="1:9" x14ac:dyDescent="0.25">
      <c r="A929" s="131"/>
      <c r="B929" s="96"/>
      <c r="C929" s="96"/>
      <c r="D929" s="96"/>
      <c r="E929" s="96"/>
      <c r="F929" s="96"/>
      <c r="G929" s="96"/>
      <c r="H929" s="96"/>
      <c r="I929" s="96"/>
    </row>
    <row r="930" spans="1:9" x14ac:dyDescent="0.25">
      <c r="A930" s="131"/>
      <c r="B930" s="96"/>
      <c r="C930" s="96"/>
      <c r="D930" s="96"/>
      <c r="E930" s="96"/>
      <c r="F930" s="96"/>
      <c r="G930" s="96"/>
      <c r="H930" s="96"/>
      <c r="I930" s="96"/>
    </row>
    <row r="931" spans="1:9" x14ac:dyDescent="0.25">
      <c r="A931" s="131"/>
      <c r="B931" s="96"/>
      <c r="C931" s="96"/>
      <c r="D931" s="96"/>
      <c r="E931" s="96"/>
      <c r="F931" s="96"/>
      <c r="G931" s="96"/>
      <c r="H931" s="96"/>
      <c r="I931" s="96"/>
    </row>
    <row r="932" spans="1:9" x14ac:dyDescent="0.25">
      <c r="A932" s="131"/>
      <c r="B932" s="96"/>
      <c r="C932" s="96"/>
      <c r="D932" s="96"/>
      <c r="E932" s="96"/>
      <c r="F932" s="96"/>
      <c r="G932" s="96"/>
      <c r="H932" s="96"/>
      <c r="I932" s="96"/>
    </row>
    <row r="933" spans="1:9" x14ac:dyDescent="0.25">
      <c r="A933" s="131"/>
      <c r="B933" s="96"/>
      <c r="C933" s="96"/>
      <c r="D933" s="96"/>
      <c r="E933" s="96"/>
      <c r="F933" s="96"/>
      <c r="G933" s="96"/>
      <c r="H933" s="96"/>
      <c r="I933" s="96"/>
    </row>
    <row r="934" spans="1:9" x14ac:dyDescent="0.25">
      <c r="A934" s="131"/>
      <c r="B934" s="96"/>
      <c r="C934" s="96"/>
      <c r="D934" s="96"/>
      <c r="E934" s="96"/>
      <c r="F934" s="96"/>
      <c r="G934" s="96"/>
      <c r="H934" s="96"/>
      <c r="I934" s="96"/>
    </row>
    <row r="935" spans="1:9" x14ac:dyDescent="0.25">
      <c r="A935" s="131"/>
      <c r="B935" s="96"/>
      <c r="C935" s="96"/>
      <c r="D935" s="96"/>
      <c r="E935" s="96"/>
      <c r="F935" s="96"/>
      <c r="G935" s="96"/>
      <c r="H935" s="96"/>
      <c r="I935" s="96"/>
    </row>
    <row r="936" spans="1:9" x14ac:dyDescent="0.25">
      <c r="A936" s="131"/>
      <c r="B936" s="96"/>
      <c r="C936" s="96"/>
      <c r="D936" s="96"/>
      <c r="E936" s="96"/>
      <c r="F936" s="96"/>
      <c r="G936" s="96"/>
      <c r="H936" s="96"/>
      <c r="I936" s="96"/>
    </row>
    <row r="937" spans="1:9" x14ac:dyDescent="0.25">
      <c r="A937" s="131"/>
      <c r="B937" s="96"/>
      <c r="C937" s="96"/>
      <c r="D937" s="96"/>
      <c r="E937" s="96"/>
      <c r="F937" s="96"/>
      <c r="G937" s="96"/>
      <c r="H937" s="96"/>
      <c r="I937" s="96"/>
    </row>
    <row r="938" spans="1:9" x14ac:dyDescent="0.25">
      <c r="A938" s="131"/>
      <c r="B938" s="96"/>
      <c r="C938" s="96"/>
      <c r="D938" s="96"/>
      <c r="E938" s="96"/>
      <c r="F938" s="96"/>
      <c r="G938" s="96"/>
      <c r="H938" s="96"/>
      <c r="I938" s="96"/>
    </row>
    <row r="939" spans="1:9" x14ac:dyDescent="0.25">
      <c r="A939" s="131"/>
      <c r="B939" s="96"/>
      <c r="C939" s="96"/>
      <c r="D939" s="96"/>
      <c r="E939" s="96"/>
      <c r="F939" s="96"/>
      <c r="G939" s="96"/>
      <c r="H939" s="96"/>
      <c r="I939" s="96"/>
    </row>
    <row r="940" spans="1:9" x14ac:dyDescent="0.25">
      <c r="A940" s="131"/>
      <c r="B940" s="96"/>
      <c r="C940" s="96"/>
      <c r="D940" s="96"/>
      <c r="E940" s="96"/>
      <c r="F940" s="96"/>
      <c r="G940" s="96"/>
      <c r="H940" s="96"/>
      <c r="I940" s="96"/>
    </row>
    <row r="941" spans="1:9" x14ac:dyDescent="0.25">
      <c r="A941" s="131"/>
      <c r="B941" s="96"/>
      <c r="C941" s="96"/>
      <c r="D941" s="96"/>
      <c r="E941" s="96"/>
      <c r="F941" s="96"/>
      <c r="G941" s="96"/>
      <c r="H941" s="96"/>
      <c r="I941" s="96"/>
    </row>
    <row r="942" spans="1:9" x14ac:dyDescent="0.25">
      <c r="A942" s="131"/>
      <c r="B942" s="96"/>
      <c r="C942" s="96"/>
      <c r="D942" s="96"/>
      <c r="E942" s="96"/>
      <c r="F942" s="96"/>
      <c r="G942" s="96"/>
      <c r="H942" s="96"/>
      <c r="I942" s="96"/>
    </row>
    <row r="943" spans="1:9" x14ac:dyDescent="0.25">
      <c r="A943" s="131"/>
      <c r="B943" s="96"/>
      <c r="C943" s="96"/>
      <c r="D943" s="96"/>
      <c r="E943" s="96"/>
      <c r="F943" s="96"/>
      <c r="G943" s="96"/>
      <c r="H943" s="96"/>
      <c r="I943" s="96"/>
    </row>
    <row r="944" spans="1:9" x14ac:dyDescent="0.25">
      <c r="A944" s="131"/>
      <c r="B944" s="96"/>
      <c r="C944" s="96"/>
      <c r="D944" s="96"/>
      <c r="E944" s="96"/>
      <c r="F944" s="96"/>
      <c r="G944" s="96"/>
      <c r="H944" s="96"/>
      <c r="I944" s="96"/>
    </row>
    <row r="945" spans="1:9" x14ac:dyDescent="0.25">
      <c r="A945" s="131"/>
      <c r="B945" s="96"/>
      <c r="C945" s="96"/>
      <c r="D945" s="96"/>
      <c r="E945" s="96"/>
      <c r="F945" s="96"/>
      <c r="G945" s="96"/>
      <c r="H945" s="96"/>
      <c r="I945" s="96"/>
    </row>
    <row r="946" spans="1:9" x14ac:dyDescent="0.25">
      <c r="A946" s="131"/>
      <c r="B946" s="96"/>
      <c r="C946" s="96"/>
      <c r="D946" s="96"/>
      <c r="E946" s="96"/>
      <c r="F946" s="96"/>
      <c r="G946" s="96"/>
      <c r="H946" s="96"/>
      <c r="I946" s="96"/>
    </row>
    <row r="947" spans="1:9" x14ac:dyDescent="0.25">
      <c r="A947" s="131"/>
      <c r="B947" s="96"/>
      <c r="C947" s="96"/>
      <c r="D947" s="96"/>
      <c r="E947" s="96"/>
      <c r="F947" s="96"/>
      <c r="G947" s="96"/>
      <c r="H947" s="96"/>
      <c r="I947" s="96"/>
    </row>
    <row r="948" spans="1:9" x14ac:dyDescent="0.25">
      <c r="A948" s="131"/>
      <c r="B948" s="96"/>
      <c r="C948" s="96"/>
      <c r="D948" s="96"/>
      <c r="E948" s="96"/>
      <c r="F948" s="96"/>
      <c r="G948" s="96"/>
      <c r="H948" s="96"/>
      <c r="I948" s="96"/>
    </row>
    <row r="949" spans="1:9" x14ac:dyDescent="0.25">
      <c r="A949" s="131"/>
      <c r="B949" s="96"/>
      <c r="C949" s="96"/>
      <c r="D949" s="96"/>
      <c r="E949" s="96"/>
      <c r="F949" s="96"/>
      <c r="G949" s="96"/>
      <c r="H949" s="96"/>
      <c r="I949" s="96"/>
    </row>
    <row r="950" spans="1:9" x14ac:dyDescent="0.25">
      <c r="A950" s="131"/>
      <c r="B950" s="96"/>
      <c r="C950" s="96"/>
      <c r="D950" s="96"/>
      <c r="E950" s="96"/>
      <c r="F950" s="96"/>
      <c r="G950" s="96"/>
      <c r="H950" s="96"/>
      <c r="I950" s="96"/>
    </row>
    <row r="951" spans="1:9" x14ac:dyDescent="0.25">
      <c r="A951" s="131"/>
      <c r="B951" s="96"/>
      <c r="C951" s="96"/>
      <c r="D951" s="96"/>
      <c r="E951" s="96"/>
      <c r="F951" s="96"/>
      <c r="G951" s="96"/>
      <c r="H951" s="96"/>
      <c r="I951" s="96"/>
    </row>
    <row r="952" spans="1:9" x14ac:dyDescent="0.25">
      <c r="A952" s="131"/>
      <c r="B952" s="96"/>
      <c r="C952" s="96"/>
      <c r="D952" s="96"/>
      <c r="E952" s="96"/>
      <c r="F952" s="96"/>
      <c r="G952" s="96"/>
      <c r="H952" s="96"/>
      <c r="I952" s="96"/>
    </row>
    <row r="953" spans="1:9" x14ac:dyDescent="0.25">
      <c r="A953" s="131"/>
      <c r="B953" s="96"/>
      <c r="C953" s="96"/>
      <c r="D953" s="96"/>
      <c r="E953" s="96"/>
      <c r="F953" s="96"/>
      <c r="G953" s="96"/>
      <c r="H953" s="96"/>
      <c r="I953" s="96"/>
    </row>
    <row r="954" spans="1:9" x14ac:dyDescent="0.25">
      <c r="A954" s="131"/>
      <c r="B954" s="96"/>
      <c r="C954" s="96"/>
      <c r="D954" s="96"/>
      <c r="E954" s="96"/>
      <c r="F954" s="96"/>
      <c r="G954" s="96"/>
      <c r="H954" s="96"/>
      <c r="I954" s="96"/>
    </row>
    <row r="955" spans="1:9" x14ac:dyDescent="0.25">
      <c r="A955" s="131"/>
      <c r="B955" s="96"/>
      <c r="C955" s="96"/>
      <c r="D955" s="96"/>
      <c r="E955" s="96"/>
      <c r="F955" s="96"/>
      <c r="G955" s="96"/>
      <c r="H955" s="96"/>
      <c r="I955" s="96"/>
    </row>
    <row r="956" spans="1:9" x14ac:dyDescent="0.25">
      <c r="A956" s="131"/>
      <c r="B956" s="96"/>
      <c r="C956" s="96"/>
      <c r="D956" s="96"/>
      <c r="E956" s="96"/>
      <c r="F956" s="96"/>
      <c r="G956" s="96"/>
      <c r="H956" s="96"/>
      <c r="I956" s="96"/>
    </row>
    <row r="957" spans="1:9" x14ac:dyDescent="0.25">
      <c r="A957" s="131"/>
      <c r="B957" s="96"/>
      <c r="C957" s="96"/>
      <c r="D957" s="96"/>
      <c r="E957" s="96"/>
      <c r="F957" s="96"/>
      <c r="G957" s="96"/>
      <c r="H957" s="96"/>
      <c r="I957" s="96"/>
    </row>
    <row r="958" spans="1:9" x14ac:dyDescent="0.25">
      <c r="A958" s="131"/>
      <c r="B958" s="96"/>
      <c r="C958" s="96"/>
      <c r="D958" s="96"/>
      <c r="E958" s="96"/>
      <c r="F958" s="96"/>
      <c r="G958" s="96"/>
      <c r="H958" s="96"/>
      <c r="I958" s="96"/>
    </row>
    <row r="959" spans="1:9" x14ac:dyDescent="0.25">
      <c r="A959" s="131"/>
      <c r="B959" s="96"/>
      <c r="C959" s="96"/>
      <c r="D959" s="96"/>
      <c r="E959" s="96"/>
      <c r="F959" s="96"/>
      <c r="G959" s="96"/>
      <c r="H959" s="96"/>
      <c r="I959" s="96"/>
    </row>
    <row r="960" spans="1:9" x14ac:dyDescent="0.25">
      <c r="A960" s="131"/>
      <c r="B960" s="96"/>
      <c r="C960" s="96"/>
      <c r="D960" s="96"/>
      <c r="E960" s="96"/>
      <c r="F960" s="96"/>
      <c r="G960" s="96"/>
      <c r="H960" s="96"/>
      <c r="I960" s="96"/>
    </row>
    <row r="961" spans="1:9" x14ac:dyDescent="0.25">
      <c r="A961" s="131"/>
      <c r="B961" s="96"/>
      <c r="C961" s="96"/>
      <c r="D961" s="96"/>
      <c r="E961" s="96"/>
      <c r="F961" s="96"/>
      <c r="G961" s="96"/>
      <c r="H961" s="96"/>
      <c r="I961" s="96"/>
    </row>
    <row r="962" spans="1:9" x14ac:dyDescent="0.25">
      <c r="A962" s="131"/>
      <c r="B962" s="96"/>
      <c r="C962" s="96"/>
      <c r="D962" s="96"/>
      <c r="E962" s="96"/>
      <c r="F962" s="96"/>
      <c r="G962" s="96"/>
      <c r="H962" s="96"/>
      <c r="I962" s="96"/>
    </row>
    <row r="963" spans="1:9" x14ac:dyDescent="0.25">
      <c r="A963" s="131"/>
      <c r="B963" s="96"/>
      <c r="C963" s="96"/>
      <c r="D963" s="96"/>
      <c r="E963" s="96"/>
      <c r="F963" s="96"/>
      <c r="G963" s="96"/>
      <c r="H963" s="96"/>
      <c r="I963" s="96"/>
    </row>
    <row r="964" spans="1:9" x14ac:dyDescent="0.25">
      <c r="A964" s="131"/>
      <c r="B964" s="96"/>
      <c r="C964" s="96"/>
      <c r="D964" s="96"/>
      <c r="E964" s="96"/>
      <c r="F964" s="96"/>
      <c r="G964" s="96"/>
      <c r="H964" s="96"/>
      <c r="I964" s="96"/>
    </row>
    <row r="965" spans="1:9" x14ac:dyDescent="0.25">
      <c r="A965" s="131"/>
      <c r="B965" s="96"/>
      <c r="C965" s="96"/>
      <c r="D965" s="96"/>
      <c r="E965" s="96"/>
      <c r="F965" s="96"/>
      <c r="G965" s="96"/>
      <c r="H965" s="96"/>
      <c r="I965" s="96"/>
    </row>
    <row r="966" spans="1:9" x14ac:dyDescent="0.25">
      <c r="A966" s="131"/>
      <c r="B966" s="96"/>
      <c r="C966" s="96"/>
      <c r="D966" s="96"/>
      <c r="E966" s="96"/>
      <c r="F966" s="96"/>
      <c r="G966" s="96"/>
      <c r="H966" s="96"/>
      <c r="I966" s="96"/>
    </row>
    <row r="967" spans="1:9" x14ac:dyDescent="0.25">
      <c r="A967" s="131"/>
      <c r="B967" s="96"/>
      <c r="C967" s="96"/>
      <c r="D967" s="96"/>
      <c r="E967" s="96"/>
      <c r="F967" s="96"/>
      <c r="G967" s="96"/>
      <c r="H967" s="96"/>
      <c r="I967" s="96"/>
    </row>
    <row r="968" spans="1:9" x14ac:dyDescent="0.25">
      <c r="A968" s="131"/>
      <c r="B968" s="96"/>
      <c r="C968" s="96"/>
      <c r="D968" s="96"/>
      <c r="E968" s="96"/>
      <c r="F968" s="96"/>
      <c r="G968" s="96"/>
      <c r="H968" s="96"/>
      <c r="I968" s="96"/>
    </row>
    <row r="969" spans="1:9" x14ac:dyDescent="0.25">
      <c r="A969" s="131"/>
      <c r="B969" s="96"/>
      <c r="C969" s="96"/>
      <c r="D969" s="96"/>
      <c r="E969" s="96"/>
      <c r="F969" s="96"/>
      <c r="G969" s="96"/>
      <c r="H969" s="96"/>
      <c r="I969" s="96"/>
    </row>
    <row r="970" spans="1:9" x14ac:dyDescent="0.25">
      <c r="A970" s="131"/>
      <c r="B970" s="96"/>
      <c r="C970" s="96"/>
      <c r="D970" s="96"/>
      <c r="E970" s="96"/>
      <c r="F970" s="96"/>
      <c r="G970" s="96"/>
      <c r="H970" s="96"/>
      <c r="I970" s="96"/>
    </row>
    <row r="971" spans="1:9" x14ac:dyDescent="0.25">
      <c r="A971" s="131"/>
      <c r="B971" s="96"/>
      <c r="C971" s="96"/>
      <c r="D971" s="96"/>
      <c r="E971" s="96"/>
      <c r="F971" s="96"/>
      <c r="G971" s="96"/>
      <c r="H971" s="96"/>
      <c r="I971" s="96"/>
    </row>
    <row r="972" spans="1:9" x14ac:dyDescent="0.25">
      <c r="A972" s="131"/>
      <c r="B972" s="96"/>
      <c r="C972" s="96"/>
      <c r="D972" s="96"/>
      <c r="E972" s="96"/>
      <c r="F972" s="96"/>
      <c r="G972" s="96"/>
      <c r="H972" s="96"/>
      <c r="I972" s="96"/>
    </row>
    <row r="973" spans="1:9" x14ac:dyDescent="0.25">
      <c r="A973" s="131"/>
      <c r="B973" s="96"/>
      <c r="C973" s="96"/>
      <c r="D973" s="96"/>
      <c r="E973" s="96"/>
      <c r="F973" s="96"/>
      <c r="G973" s="96"/>
      <c r="H973" s="96"/>
      <c r="I973" s="96"/>
    </row>
    <row r="974" spans="1:9" x14ac:dyDescent="0.25">
      <c r="A974" s="131"/>
      <c r="B974" s="96"/>
      <c r="C974" s="96"/>
      <c r="D974" s="96"/>
      <c r="E974" s="96"/>
      <c r="F974" s="96"/>
      <c r="G974" s="96"/>
      <c r="H974" s="96"/>
      <c r="I974" s="96"/>
    </row>
    <row r="975" spans="1:9" x14ac:dyDescent="0.25">
      <c r="A975" s="131"/>
      <c r="B975" s="96"/>
      <c r="C975" s="96"/>
      <c r="D975" s="96"/>
      <c r="E975" s="96"/>
      <c r="F975" s="96"/>
      <c r="G975" s="96"/>
      <c r="H975" s="96"/>
      <c r="I975" s="96"/>
    </row>
    <row r="976" spans="1:9" x14ac:dyDescent="0.25">
      <c r="A976" s="131"/>
      <c r="B976" s="96"/>
      <c r="C976" s="96"/>
      <c r="D976" s="96"/>
      <c r="E976" s="96"/>
      <c r="F976" s="96"/>
      <c r="G976" s="96"/>
      <c r="H976" s="96"/>
      <c r="I976" s="96"/>
    </row>
    <row r="977" spans="1:9" x14ac:dyDescent="0.25">
      <c r="A977" s="131"/>
      <c r="B977" s="96"/>
      <c r="C977" s="96"/>
      <c r="D977" s="96"/>
      <c r="E977" s="96"/>
      <c r="F977" s="96"/>
      <c r="G977" s="96"/>
      <c r="H977" s="96"/>
      <c r="I977" s="96"/>
    </row>
    <row r="978" spans="1:9" x14ac:dyDescent="0.25">
      <c r="A978" s="131"/>
      <c r="B978" s="96"/>
      <c r="C978" s="96"/>
      <c r="D978" s="96"/>
      <c r="E978" s="96"/>
      <c r="F978" s="96"/>
      <c r="G978" s="96"/>
      <c r="H978" s="96"/>
      <c r="I978" s="96"/>
    </row>
    <row r="979" spans="1:9" x14ac:dyDescent="0.25">
      <c r="A979" s="131"/>
      <c r="B979" s="96"/>
      <c r="C979" s="96"/>
      <c r="D979" s="96"/>
      <c r="E979" s="96"/>
      <c r="F979" s="96"/>
      <c r="G979" s="96"/>
      <c r="H979" s="96"/>
      <c r="I979" s="96"/>
    </row>
    <row r="980" spans="1:9" x14ac:dyDescent="0.25">
      <c r="A980" s="131"/>
      <c r="B980" s="96"/>
      <c r="C980" s="96"/>
      <c r="D980" s="96"/>
      <c r="E980" s="96"/>
      <c r="F980" s="96"/>
      <c r="G980" s="96"/>
      <c r="H980" s="96"/>
      <c r="I980" s="96"/>
    </row>
    <row r="981" spans="1:9" x14ac:dyDescent="0.25">
      <c r="A981" s="131"/>
      <c r="B981" s="96"/>
      <c r="C981" s="96"/>
      <c r="D981" s="96"/>
      <c r="E981" s="96"/>
      <c r="F981" s="96"/>
      <c r="G981" s="96"/>
      <c r="H981" s="96"/>
      <c r="I981" s="96"/>
    </row>
    <row r="982" spans="1:9" x14ac:dyDescent="0.25">
      <c r="A982" s="131"/>
      <c r="B982" s="96"/>
      <c r="C982" s="96"/>
      <c r="D982" s="96"/>
      <c r="E982" s="96"/>
      <c r="F982" s="96"/>
      <c r="G982" s="96"/>
      <c r="H982" s="96"/>
      <c r="I982" s="96"/>
    </row>
    <row r="983" spans="1:9" x14ac:dyDescent="0.25">
      <c r="A983" s="131"/>
      <c r="B983" s="96"/>
      <c r="C983" s="96"/>
      <c r="D983" s="96"/>
      <c r="E983" s="96"/>
      <c r="F983" s="96"/>
      <c r="G983" s="96"/>
      <c r="H983" s="96"/>
      <c r="I983" s="96"/>
    </row>
    <row r="984" spans="1:9" x14ac:dyDescent="0.25">
      <c r="A984" s="131"/>
      <c r="B984" s="96"/>
      <c r="C984" s="96"/>
      <c r="D984" s="96"/>
      <c r="E984" s="96"/>
      <c r="F984" s="96"/>
      <c r="G984" s="96"/>
      <c r="H984" s="96"/>
      <c r="I984" s="96"/>
    </row>
    <row r="985" spans="1:9" x14ac:dyDescent="0.25">
      <c r="A985" s="131"/>
      <c r="B985" s="96"/>
      <c r="C985" s="96"/>
      <c r="D985" s="96"/>
      <c r="E985" s="96"/>
      <c r="F985" s="96"/>
      <c r="G985" s="96"/>
      <c r="H985" s="96"/>
      <c r="I985" s="96"/>
    </row>
    <row r="986" spans="1:9" x14ac:dyDescent="0.25">
      <c r="A986" s="131"/>
      <c r="B986" s="96"/>
      <c r="C986" s="96"/>
      <c r="D986" s="96"/>
      <c r="E986" s="96"/>
      <c r="F986" s="96"/>
      <c r="G986" s="96"/>
      <c r="H986" s="96"/>
      <c r="I986" s="96"/>
    </row>
    <row r="987" spans="1:9" x14ac:dyDescent="0.25">
      <c r="A987" s="131"/>
      <c r="B987" s="96"/>
      <c r="C987" s="96"/>
      <c r="D987" s="96"/>
      <c r="E987" s="96"/>
      <c r="F987" s="96"/>
      <c r="G987" s="96"/>
      <c r="H987" s="96"/>
      <c r="I987" s="96"/>
    </row>
    <row r="988" spans="1:9" x14ac:dyDescent="0.25">
      <c r="A988" s="131"/>
      <c r="B988" s="96"/>
      <c r="C988" s="96"/>
      <c r="D988" s="96"/>
      <c r="E988" s="96"/>
      <c r="F988" s="96"/>
      <c r="G988" s="96"/>
      <c r="H988" s="96"/>
      <c r="I988" s="96"/>
    </row>
    <row r="989" spans="1:9" x14ac:dyDescent="0.25">
      <c r="A989" s="131"/>
      <c r="B989" s="96"/>
      <c r="C989" s="96"/>
      <c r="D989" s="96"/>
      <c r="E989" s="96"/>
      <c r="F989" s="96"/>
      <c r="G989" s="96"/>
      <c r="H989" s="96"/>
      <c r="I989" s="96"/>
    </row>
    <row r="990" spans="1:9" x14ac:dyDescent="0.25">
      <c r="A990" s="131"/>
      <c r="B990" s="96"/>
      <c r="C990" s="96"/>
      <c r="D990" s="96"/>
      <c r="E990" s="96"/>
      <c r="F990" s="96"/>
      <c r="G990" s="96"/>
      <c r="H990" s="96"/>
      <c r="I990" s="96"/>
    </row>
    <row r="991" spans="1:9" x14ac:dyDescent="0.25">
      <c r="A991" s="131"/>
      <c r="B991" s="96"/>
      <c r="C991" s="96"/>
      <c r="D991" s="96"/>
      <c r="E991" s="96"/>
      <c r="F991" s="96"/>
      <c r="G991" s="96"/>
      <c r="H991" s="96"/>
      <c r="I991" s="96"/>
    </row>
    <row r="992" spans="1:9" x14ac:dyDescent="0.25">
      <c r="A992" s="131"/>
      <c r="B992" s="96"/>
      <c r="C992" s="96"/>
      <c r="D992" s="96"/>
      <c r="E992" s="96"/>
      <c r="F992" s="96"/>
      <c r="G992" s="96"/>
      <c r="H992" s="96"/>
      <c r="I992" s="96"/>
    </row>
    <row r="993" spans="1:9" x14ac:dyDescent="0.25">
      <c r="A993" s="131"/>
      <c r="B993" s="96"/>
      <c r="C993" s="96"/>
      <c r="D993" s="96"/>
      <c r="E993" s="96"/>
      <c r="F993" s="96"/>
      <c r="G993" s="96"/>
      <c r="H993" s="96"/>
      <c r="I993" s="96"/>
    </row>
    <row r="994" spans="1:9" x14ac:dyDescent="0.25">
      <c r="A994" s="131"/>
      <c r="B994" s="96"/>
      <c r="C994" s="96"/>
      <c r="D994" s="96"/>
      <c r="E994" s="96"/>
      <c r="F994" s="96"/>
      <c r="G994" s="96"/>
      <c r="H994" s="96"/>
      <c r="I994" s="96"/>
    </row>
    <row r="995" spans="1:9" x14ac:dyDescent="0.25">
      <c r="A995" s="131"/>
      <c r="B995" s="96"/>
      <c r="C995" s="96"/>
      <c r="D995" s="96"/>
      <c r="E995" s="96"/>
      <c r="F995" s="96"/>
      <c r="G995" s="96"/>
      <c r="H995" s="96"/>
      <c r="I995" s="96"/>
    </row>
    <row r="996" spans="1:9" x14ac:dyDescent="0.25">
      <c r="A996" s="131"/>
      <c r="B996" s="96"/>
      <c r="C996" s="96"/>
      <c r="D996" s="96"/>
      <c r="E996" s="96"/>
      <c r="F996" s="96"/>
      <c r="G996" s="96"/>
      <c r="H996" s="96"/>
      <c r="I996" s="96"/>
    </row>
    <row r="997" spans="1:9" x14ac:dyDescent="0.25">
      <c r="A997" s="131"/>
      <c r="B997" s="96"/>
      <c r="C997" s="96"/>
      <c r="D997" s="96"/>
      <c r="E997" s="96"/>
      <c r="F997" s="96"/>
      <c r="G997" s="96"/>
      <c r="H997" s="96"/>
      <c r="I997" s="96"/>
    </row>
    <row r="998" spans="1:9" x14ac:dyDescent="0.25">
      <c r="A998" s="131"/>
      <c r="B998" s="96"/>
      <c r="C998" s="96"/>
      <c r="D998" s="96"/>
      <c r="E998" s="96"/>
      <c r="F998" s="96"/>
      <c r="G998" s="96"/>
      <c r="H998" s="96"/>
      <c r="I998" s="96"/>
    </row>
    <row r="999" spans="1:9" x14ac:dyDescent="0.25">
      <c r="A999" s="131"/>
      <c r="B999" s="96"/>
      <c r="C999" s="96"/>
      <c r="D999" s="96"/>
      <c r="E999" s="96"/>
      <c r="F999" s="96"/>
      <c r="G999" s="96"/>
      <c r="H999" s="96"/>
      <c r="I999" s="96"/>
    </row>
    <row r="1000" spans="1:9" x14ac:dyDescent="0.25">
      <c r="A1000" s="131"/>
      <c r="B1000" s="96"/>
      <c r="C1000" s="96"/>
      <c r="D1000" s="96"/>
      <c r="E1000" s="96"/>
      <c r="F1000" s="96"/>
      <c r="G1000" s="96"/>
      <c r="H1000" s="96"/>
      <c r="I1000" s="96"/>
    </row>
    <row r="1001" spans="1:9" x14ac:dyDescent="0.25">
      <c r="A1001" s="131"/>
      <c r="B1001" s="96"/>
      <c r="C1001" s="96"/>
      <c r="D1001" s="96"/>
      <c r="E1001" s="96"/>
      <c r="F1001" s="96"/>
      <c r="G1001" s="96"/>
      <c r="H1001" s="96"/>
      <c r="I1001" s="96"/>
    </row>
    <row r="1002" spans="1:9" x14ac:dyDescent="0.25">
      <c r="A1002" s="131"/>
      <c r="B1002" s="96"/>
      <c r="C1002" s="96"/>
      <c r="D1002" s="96"/>
      <c r="E1002" s="96"/>
      <c r="F1002" s="96"/>
      <c r="G1002" s="96"/>
      <c r="H1002" s="96"/>
      <c r="I1002" s="96"/>
    </row>
    <row r="1003" spans="1:9" x14ac:dyDescent="0.25">
      <c r="A1003" s="131"/>
      <c r="B1003" s="96"/>
      <c r="C1003" s="96"/>
      <c r="D1003" s="96"/>
      <c r="E1003" s="96"/>
      <c r="F1003" s="96"/>
      <c r="G1003" s="96"/>
      <c r="H1003" s="96"/>
      <c r="I1003" s="96"/>
    </row>
    <row r="1004" spans="1:9" x14ac:dyDescent="0.25">
      <c r="A1004" s="131"/>
      <c r="B1004" s="96"/>
      <c r="C1004" s="96"/>
      <c r="D1004" s="96"/>
      <c r="E1004" s="96"/>
      <c r="F1004" s="96"/>
      <c r="G1004" s="96"/>
      <c r="H1004" s="96"/>
      <c r="I1004" s="96"/>
    </row>
    <row r="1005" spans="1:9" x14ac:dyDescent="0.25">
      <c r="A1005" s="131"/>
      <c r="B1005" s="96"/>
      <c r="C1005" s="96"/>
      <c r="D1005" s="96"/>
      <c r="E1005" s="96"/>
      <c r="F1005" s="96"/>
      <c r="G1005" s="96"/>
      <c r="H1005" s="96"/>
      <c r="I1005" s="96"/>
    </row>
    <row r="1006" spans="1:9" x14ac:dyDescent="0.25">
      <c r="A1006" s="131"/>
      <c r="B1006" s="96"/>
      <c r="C1006" s="96"/>
      <c r="D1006" s="96"/>
      <c r="E1006" s="96"/>
      <c r="F1006" s="96"/>
      <c r="G1006" s="96"/>
      <c r="H1006" s="96"/>
      <c r="I1006" s="96"/>
    </row>
    <row r="1007" spans="1:9" x14ac:dyDescent="0.25">
      <c r="A1007" s="131"/>
      <c r="B1007" s="96"/>
      <c r="C1007" s="96"/>
      <c r="D1007" s="96"/>
      <c r="E1007" s="96"/>
      <c r="F1007" s="96"/>
      <c r="G1007" s="96"/>
      <c r="H1007" s="96"/>
      <c r="I1007" s="96"/>
    </row>
    <row r="1008" spans="1:9" x14ac:dyDescent="0.25">
      <c r="A1008" s="131"/>
      <c r="B1008" s="96"/>
      <c r="C1008" s="96"/>
      <c r="D1008" s="96"/>
      <c r="E1008" s="96"/>
      <c r="F1008" s="96"/>
      <c r="G1008" s="96"/>
      <c r="H1008" s="96"/>
      <c r="I1008" s="96"/>
    </row>
    <row r="1009" spans="1:9" x14ac:dyDescent="0.25">
      <c r="A1009" s="131"/>
      <c r="B1009" s="96"/>
      <c r="C1009" s="96"/>
      <c r="D1009" s="96"/>
      <c r="E1009" s="96"/>
      <c r="F1009" s="96"/>
      <c r="G1009" s="96"/>
      <c r="H1009" s="96"/>
      <c r="I1009" s="96"/>
    </row>
    <row r="1010" spans="1:9" x14ac:dyDescent="0.25">
      <c r="A1010" s="131"/>
      <c r="B1010" s="96"/>
      <c r="C1010" s="96"/>
      <c r="D1010" s="96"/>
      <c r="E1010" s="96"/>
      <c r="F1010" s="96"/>
      <c r="G1010" s="96"/>
      <c r="H1010" s="96"/>
      <c r="I1010" s="96"/>
    </row>
    <row r="1011" spans="1:9" x14ac:dyDescent="0.25">
      <c r="A1011" s="131"/>
      <c r="B1011" s="96"/>
      <c r="C1011" s="96"/>
      <c r="D1011" s="96"/>
      <c r="E1011" s="96"/>
      <c r="F1011" s="96"/>
      <c r="G1011" s="96"/>
      <c r="H1011" s="96"/>
      <c r="I1011" s="96"/>
    </row>
    <row r="1012" spans="1:9" x14ac:dyDescent="0.25">
      <c r="A1012" s="131"/>
      <c r="B1012" s="96"/>
      <c r="C1012" s="96"/>
      <c r="D1012" s="96"/>
      <c r="E1012" s="96"/>
      <c r="F1012" s="96"/>
      <c r="G1012" s="96"/>
      <c r="H1012" s="96"/>
      <c r="I1012" s="96"/>
    </row>
    <row r="1013" spans="1:9" x14ac:dyDescent="0.25">
      <c r="A1013" s="131"/>
      <c r="B1013" s="96"/>
      <c r="C1013" s="96"/>
      <c r="D1013" s="96"/>
      <c r="E1013" s="96"/>
      <c r="F1013" s="96"/>
      <c r="G1013" s="96"/>
      <c r="H1013" s="96"/>
      <c r="I1013" s="96"/>
    </row>
    <row r="1014" spans="1:9" x14ac:dyDescent="0.25">
      <c r="A1014" s="131"/>
      <c r="B1014" s="96"/>
      <c r="C1014" s="96"/>
      <c r="D1014" s="96"/>
      <c r="E1014" s="96"/>
      <c r="F1014" s="96"/>
      <c r="G1014" s="96"/>
      <c r="H1014" s="96"/>
      <c r="I1014" s="96"/>
    </row>
    <row r="1015" spans="1:9" x14ac:dyDescent="0.25">
      <c r="A1015" s="131"/>
      <c r="B1015" s="96"/>
      <c r="C1015" s="96"/>
      <c r="D1015" s="96"/>
      <c r="E1015" s="96"/>
      <c r="F1015" s="96"/>
      <c r="G1015" s="96"/>
      <c r="H1015" s="96"/>
      <c r="I1015" s="96"/>
    </row>
    <row r="1016" spans="1:9" x14ac:dyDescent="0.25">
      <c r="A1016" s="131"/>
      <c r="B1016" s="96"/>
      <c r="C1016" s="96"/>
      <c r="D1016" s="96"/>
      <c r="E1016" s="96"/>
      <c r="F1016" s="96"/>
      <c r="G1016" s="96"/>
      <c r="H1016" s="96"/>
      <c r="I1016" s="96"/>
    </row>
    <row r="1017" spans="1:9" x14ac:dyDescent="0.25">
      <c r="A1017" s="131"/>
      <c r="B1017" s="96"/>
      <c r="C1017" s="96"/>
      <c r="D1017" s="96"/>
      <c r="E1017" s="96"/>
      <c r="F1017" s="96"/>
      <c r="G1017" s="96"/>
      <c r="H1017" s="96"/>
      <c r="I1017" s="96"/>
    </row>
    <row r="1018" spans="1:9" x14ac:dyDescent="0.25">
      <c r="A1018" s="131"/>
      <c r="B1018" s="96"/>
      <c r="C1018" s="96"/>
      <c r="D1018" s="96"/>
      <c r="E1018" s="96"/>
      <c r="F1018" s="96"/>
      <c r="G1018" s="96"/>
      <c r="H1018" s="96"/>
      <c r="I1018" s="96"/>
    </row>
    <row r="1019" spans="1:9" x14ac:dyDescent="0.25">
      <c r="A1019" s="131"/>
      <c r="B1019" s="96"/>
      <c r="C1019" s="96"/>
      <c r="D1019" s="96"/>
      <c r="E1019" s="96"/>
      <c r="F1019" s="96"/>
      <c r="G1019" s="96"/>
      <c r="H1019" s="96"/>
      <c r="I1019" s="96"/>
    </row>
    <row r="1020" spans="1:9" x14ac:dyDescent="0.25">
      <c r="A1020" s="131"/>
      <c r="B1020" s="96"/>
      <c r="C1020" s="96"/>
      <c r="D1020" s="96"/>
      <c r="E1020" s="96"/>
      <c r="F1020" s="96"/>
      <c r="G1020" s="96"/>
      <c r="H1020" s="96"/>
      <c r="I1020" s="96"/>
    </row>
    <row r="1021" spans="1:9" x14ac:dyDescent="0.25">
      <c r="A1021" s="131"/>
      <c r="B1021" s="96"/>
      <c r="C1021" s="96"/>
      <c r="D1021" s="96"/>
      <c r="E1021" s="96"/>
      <c r="F1021" s="96"/>
      <c r="G1021" s="96"/>
      <c r="H1021" s="96"/>
      <c r="I1021" s="96"/>
    </row>
    <row r="1022" spans="1:9" x14ac:dyDescent="0.25">
      <c r="A1022" s="131"/>
      <c r="B1022" s="96"/>
      <c r="C1022" s="96"/>
      <c r="D1022" s="96"/>
      <c r="E1022" s="96"/>
      <c r="F1022" s="96"/>
      <c r="G1022" s="96"/>
      <c r="H1022" s="96"/>
      <c r="I1022" s="96"/>
    </row>
    <row r="1023" spans="1:9" x14ac:dyDescent="0.25">
      <c r="A1023" s="131"/>
      <c r="B1023" s="96"/>
      <c r="C1023" s="96"/>
      <c r="D1023" s="96"/>
      <c r="E1023" s="96"/>
      <c r="F1023" s="96"/>
      <c r="G1023" s="96"/>
      <c r="H1023" s="96"/>
      <c r="I1023" s="96"/>
    </row>
    <row r="1024" spans="1:9" x14ac:dyDescent="0.25">
      <c r="A1024" s="131"/>
      <c r="B1024" s="96"/>
      <c r="C1024" s="96"/>
      <c r="D1024" s="96"/>
      <c r="E1024" s="96"/>
      <c r="F1024" s="96"/>
      <c r="G1024" s="96"/>
      <c r="H1024" s="96"/>
      <c r="I1024" s="96"/>
    </row>
    <row r="1025" spans="1:9" x14ac:dyDescent="0.25">
      <c r="A1025" s="131"/>
      <c r="B1025" s="96"/>
      <c r="C1025" s="96"/>
      <c r="D1025" s="96"/>
      <c r="E1025" s="96"/>
      <c r="F1025" s="96"/>
      <c r="G1025" s="96"/>
      <c r="H1025" s="96"/>
      <c r="I1025" s="96"/>
    </row>
    <row r="1026" spans="1:9" x14ac:dyDescent="0.25">
      <c r="A1026" s="131"/>
      <c r="B1026" s="96"/>
      <c r="C1026" s="96"/>
      <c r="D1026" s="96"/>
      <c r="E1026" s="96"/>
      <c r="F1026" s="96"/>
      <c r="G1026" s="96"/>
      <c r="H1026" s="96"/>
      <c r="I1026" s="96"/>
    </row>
    <row r="1027" spans="1:9" x14ac:dyDescent="0.25">
      <c r="A1027" s="131"/>
      <c r="B1027" s="96"/>
      <c r="C1027" s="96"/>
      <c r="D1027" s="96"/>
      <c r="E1027" s="96"/>
      <c r="F1027" s="96"/>
      <c r="G1027" s="96"/>
      <c r="H1027" s="96"/>
      <c r="I1027" s="96"/>
    </row>
    <row r="1028" spans="1:9" x14ac:dyDescent="0.25">
      <c r="A1028" s="131"/>
      <c r="B1028" s="96"/>
      <c r="C1028" s="96"/>
      <c r="D1028" s="96"/>
      <c r="E1028" s="96"/>
      <c r="F1028" s="96"/>
      <c r="G1028" s="96"/>
      <c r="H1028" s="96"/>
      <c r="I1028" s="96"/>
    </row>
    <row r="1029" spans="1:9" x14ac:dyDescent="0.25">
      <c r="A1029" s="131"/>
      <c r="B1029" s="96"/>
      <c r="C1029" s="96"/>
      <c r="D1029" s="96"/>
      <c r="E1029" s="96"/>
      <c r="F1029" s="96"/>
      <c r="G1029" s="96"/>
      <c r="H1029" s="96"/>
      <c r="I1029" s="96"/>
    </row>
    <row r="1030" spans="1:9" x14ac:dyDescent="0.25">
      <c r="A1030" s="131"/>
      <c r="B1030" s="96"/>
      <c r="C1030" s="96"/>
      <c r="D1030" s="96"/>
      <c r="E1030" s="96"/>
      <c r="F1030" s="96"/>
      <c r="G1030" s="96"/>
      <c r="H1030" s="96"/>
      <c r="I1030" s="96"/>
    </row>
    <row r="1031" spans="1:9" x14ac:dyDescent="0.25">
      <c r="A1031" s="131"/>
      <c r="B1031" s="96"/>
      <c r="C1031" s="96"/>
      <c r="D1031" s="96"/>
      <c r="E1031" s="96"/>
      <c r="F1031" s="96"/>
      <c r="G1031" s="96"/>
      <c r="H1031" s="96"/>
      <c r="I1031" s="96"/>
    </row>
    <row r="1032" spans="1:9" x14ac:dyDescent="0.25">
      <c r="A1032" s="131"/>
      <c r="B1032" s="96"/>
      <c r="C1032" s="96"/>
      <c r="D1032" s="96"/>
      <c r="E1032" s="96"/>
      <c r="F1032" s="96"/>
      <c r="G1032" s="96"/>
      <c r="H1032" s="96"/>
      <c r="I1032" s="96"/>
    </row>
    <row r="1033" spans="1:9" x14ac:dyDescent="0.25">
      <c r="A1033" s="131"/>
      <c r="B1033" s="96"/>
      <c r="C1033" s="96"/>
      <c r="D1033" s="96"/>
      <c r="E1033" s="96"/>
      <c r="F1033" s="96"/>
      <c r="G1033" s="96"/>
      <c r="H1033" s="96"/>
      <c r="I1033" s="96"/>
    </row>
    <row r="1034" spans="1:9" x14ac:dyDescent="0.25">
      <c r="A1034" s="131"/>
      <c r="B1034" s="96"/>
      <c r="C1034" s="96"/>
      <c r="D1034" s="96"/>
      <c r="E1034" s="96"/>
      <c r="F1034" s="96"/>
      <c r="G1034" s="96"/>
      <c r="H1034" s="96"/>
      <c r="I1034" s="96"/>
    </row>
    <row r="1035" spans="1:9" x14ac:dyDescent="0.25">
      <c r="A1035" s="131"/>
      <c r="B1035" s="96"/>
      <c r="C1035" s="96"/>
      <c r="D1035" s="96"/>
      <c r="E1035" s="96"/>
      <c r="F1035" s="96"/>
      <c r="G1035" s="96"/>
      <c r="H1035" s="96"/>
      <c r="I1035" s="96"/>
    </row>
    <row r="1036" spans="1:9" x14ac:dyDescent="0.25">
      <c r="A1036" s="131"/>
      <c r="B1036" s="96"/>
      <c r="C1036" s="96"/>
      <c r="D1036" s="96"/>
      <c r="E1036" s="96"/>
      <c r="F1036" s="96"/>
      <c r="G1036" s="96"/>
      <c r="H1036" s="96"/>
      <c r="I1036" s="96"/>
    </row>
    <row r="1037" spans="1:9" x14ac:dyDescent="0.25">
      <c r="A1037" s="131"/>
      <c r="B1037" s="96"/>
      <c r="C1037" s="96"/>
      <c r="D1037" s="96"/>
      <c r="E1037" s="96"/>
      <c r="F1037" s="96"/>
      <c r="G1037" s="96"/>
      <c r="H1037" s="96"/>
      <c r="I1037" s="96"/>
    </row>
    <row r="1038" spans="1:9" x14ac:dyDescent="0.25">
      <c r="A1038" s="131"/>
      <c r="B1038" s="96"/>
      <c r="C1038" s="96"/>
      <c r="D1038" s="96"/>
      <c r="E1038" s="96"/>
      <c r="F1038" s="96"/>
      <c r="G1038" s="96"/>
      <c r="H1038" s="96"/>
      <c r="I1038" s="96"/>
    </row>
    <row r="1039" spans="1:9" x14ac:dyDescent="0.25">
      <c r="A1039" s="131"/>
      <c r="B1039" s="96"/>
      <c r="C1039" s="96"/>
      <c r="D1039" s="96"/>
      <c r="E1039" s="96"/>
      <c r="F1039" s="96"/>
      <c r="G1039" s="96"/>
      <c r="H1039" s="96"/>
      <c r="I1039" s="96"/>
    </row>
    <row r="1040" spans="1:9" x14ac:dyDescent="0.25">
      <c r="A1040" s="131"/>
      <c r="B1040" s="96"/>
      <c r="C1040" s="96"/>
      <c r="D1040" s="96"/>
      <c r="E1040" s="96"/>
      <c r="F1040" s="96"/>
      <c r="G1040" s="96"/>
      <c r="H1040" s="96"/>
      <c r="I1040" s="96"/>
    </row>
    <row r="1041" spans="1:9" x14ac:dyDescent="0.25">
      <c r="A1041" s="131"/>
      <c r="B1041" s="96"/>
      <c r="C1041" s="96"/>
      <c r="D1041" s="96"/>
      <c r="E1041" s="96"/>
      <c r="F1041" s="96"/>
      <c r="G1041" s="96"/>
      <c r="H1041" s="96"/>
      <c r="I1041" s="96"/>
    </row>
    <row r="1042" spans="1:9" x14ac:dyDescent="0.25">
      <c r="A1042" s="131"/>
      <c r="B1042" s="96"/>
      <c r="C1042" s="96"/>
      <c r="D1042" s="96"/>
      <c r="E1042" s="96"/>
      <c r="F1042" s="96"/>
      <c r="G1042" s="96"/>
      <c r="H1042" s="96"/>
      <c r="I1042" s="96"/>
    </row>
    <row r="1043" spans="1:9" x14ac:dyDescent="0.25">
      <c r="A1043" s="131"/>
      <c r="B1043" s="96"/>
      <c r="C1043" s="96"/>
      <c r="D1043" s="96"/>
      <c r="E1043" s="96"/>
      <c r="F1043" s="96"/>
      <c r="G1043" s="96"/>
      <c r="H1043" s="96"/>
      <c r="I1043" s="96"/>
    </row>
    <row r="1044" spans="1:9" x14ac:dyDescent="0.25">
      <c r="A1044" s="131"/>
      <c r="B1044" s="96"/>
      <c r="C1044" s="96"/>
      <c r="D1044" s="96"/>
      <c r="E1044" s="96"/>
      <c r="F1044" s="96"/>
      <c r="G1044" s="96"/>
      <c r="H1044" s="96"/>
      <c r="I1044" s="96"/>
    </row>
    <row r="1045" spans="1:9" x14ac:dyDescent="0.25">
      <c r="A1045" s="131"/>
      <c r="B1045" s="96"/>
      <c r="C1045" s="96"/>
      <c r="D1045" s="96"/>
      <c r="E1045" s="96"/>
      <c r="F1045" s="96"/>
      <c r="G1045" s="96"/>
      <c r="H1045" s="96"/>
      <c r="I1045" s="96"/>
    </row>
    <row r="1046" spans="1:9" x14ac:dyDescent="0.25">
      <c r="A1046" s="131"/>
      <c r="B1046" s="96"/>
      <c r="C1046" s="96"/>
      <c r="D1046" s="96"/>
      <c r="E1046" s="96"/>
      <c r="F1046" s="96"/>
      <c r="G1046" s="96"/>
      <c r="H1046" s="96"/>
      <c r="I1046" s="96"/>
    </row>
    <row r="1047" spans="1:9" x14ac:dyDescent="0.25">
      <c r="A1047" s="131"/>
      <c r="B1047" s="96"/>
      <c r="C1047" s="96"/>
      <c r="D1047" s="96"/>
      <c r="E1047" s="96"/>
      <c r="F1047" s="96"/>
      <c r="G1047" s="96"/>
      <c r="H1047" s="96"/>
      <c r="I1047" s="96"/>
    </row>
    <row r="1048" spans="1:9" x14ac:dyDescent="0.25">
      <c r="A1048" s="131"/>
      <c r="B1048" s="96"/>
      <c r="C1048" s="96"/>
      <c r="D1048" s="96"/>
      <c r="E1048" s="96"/>
      <c r="F1048" s="96"/>
      <c r="G1048" s="96"/>
      <c r="H1048" s="96"/>
      <c r="I1048" s="96"/>
    </row>
    <row r="1049" spans="1:9" x14ac:dyDescent="0.25">
      <c r="A1049" s="131"/>
      <c r="B1049" s="96"/>
      <c r="C1049" s="96"/>
      <c r="D1049" s="96"/>
      <c r="E1049" s="96"/>
      <c r="F1049" s="96"/>
      <c r="G1049" s="96"/>
      <c r="H1049" s="96"/>
      <c r="I1049" s="96"/>
    </row>
    <row r="1050" spans="1:9" x14ac:dyDescent="0.25">
      <c r="A1050" s="131"/>
      <c r="B1050" s="96"/>
      <c r="C1050" s="96"/>
      <c r="D1050" s="96"/>
      <c r="E1050" s="96"/>
      <c r="F1050" s="96"/>
      <c r="G1050" s="96"/>
      <c r="H1050" s="96"/>
      <c r="I1050" s="96"/>
    </row>
    <row r="1051" spans="1:9" x14ac:dyDescent="0.25">
      <c r="A1051" s="131"/>
      <c r="B1051" s="96"/>
      <c r="C1051" s="96"/>
      <c r="D1051" s="96"/>
      <c r="E1051" s="96"/>
      <c r="F1051" s="96"/>
      <c r="G1051" s="96"/>
      <c r="H1051" s="96"/>
      <c r="I1051" s="96"/>
    </row>
    <row r="1052" spans="1:9" x14ac:dyDescent="0.25">
      <c r="A1052" s="131"/>
      <c r="B1052" s="96"/>
      <c r="C1052" s="96"/>
      <c r="D1052" s="96"/>
      <c r="E1052" s="96"/>
      <c r="F1052" s="96"/>
      <c r="G1052" s="96"/>
      <c r="H1052" s="96"/>
      <c r="I1052" s="96"/>
    </row>
    <row r="1053" spans="1:9" x14ac:dyDescent="0.25">
      <c r="A1053" s="131"/>
      <c r="B1053" s="96"/>
      <c r="C1053" s="96"/>
      <c r="D1053" s="96"/>
      <c r="E1053" s="96"/>
      <c r="F1053" s="96"/>
      <c r="G1053" s="96"/>
      <c r="H1053" s="96"/>
      <c r="I1053" s="96"/>
    </row>
    <row r="1054" spans="1:9" x14ac:dyDescent="0.25">
      <c r="A1054" s="131"/>
      <c r="B1054" s="96"/>
      <c r="C1054" s="96"/>
      <c r="D1054" s="96"/>
      <c r="E1054" s="96"/>
      <c r="F1054" s="96"/>
      <c r="G1054" s="96"/>
      <c r="H1054" s="96"/>
      <c r="I1054" s="96"/>
    </row>
    <row r="1055" spans="1:9" x14ac:dyDescent="0.25">
      <c r="A1055" s="131"/>
      <c r="B1055" s="96"/>
      <c r="C1055" s="96"/>
      <c r="D1055" s="96"/>
      <c r="E1055" s="96"/>
      <c r="F1055" s="96"/>
      <c r="G1055" s="96"/>
      <c r="H1055" s="96"/>
      <c r="I1055" s="96"/>
    </row>
    <row r="1056" spans="1:9" x14ac:dyDescent="0.25">
      <c r="A1056" s="131"/>
      <c r="B1056" s="96"/>
      <c r="C1056" s="96"/>
      <c r="D1056" s="96"/>
      <c r="E1056" s="96"/>
      <c r="F1056" s="96"/>
      <c r="G1056" s="96"/>
      <c r="H1056" s="96"/>
      <c r="I1056" s="96"/>
    </row>
    <row r="1057" spans="1:9" x14ac:dyDescent="0.25">
      <c r="A1057" s="131"/>
      <c r="B1057" s="96"/>
      <c r="C1057" s="96"/>
      <c r="D1057" s="96"/>
      <c r="E1057" s="96"/>
      <c r="F1057" s="96"/>
      <c r="G1057" s="96"/>
      <c r="H1057" s="96"/>
      <c r="I1057" s="96"/>
    </row>
    <row r="1058" spans="1:9" x14ac:dyDescent="0.25">
      <c r="A1058" s="131"/>
      <c r="B1058" s="96"/>
      <c r="C1058" s="96"/>
      <c r="D1058" s="96"/>
      <c r="E1058" s="96"/>
      <c r="F1058" s="96"/>
      <c r="G1058" s="96"/>
      <c r="H1058" s="96"/>
      <c r="I1058" s="96"/>
    </row>
    <row r="1059" spans="1:9" x14ac:dyDescent="0.25">
      <c r="A1059" s="131"/>
      <c r="B1059" s="96"/>
      <c r="C1059" s="96"/>
      <c r="D1059" s="96"/>
      <c r="E1059" s="96"/>
      <c r="F1059" s="96"/>
      <c r="G1059" s="96"/>
      <c r="H1059" s="96"/>
      <c r="I1059" s="96"/>
    </row>
    <row r="1060" spans="1:9" x14ac:dyDescent="0.25">
      <c r="A1060" s="131"/>
      <c r="B1060" s="96"/>
      <c r="C1060" s="96"/>
      <c r="D1060" s="96"/>
      <c r="E1060" s="96"/>
      <c r="F1060" s="96"/>
      <c r="G1060" s="96"/>
      <c r="H1060" s="96"/>
      <c r="I1060" s="96"/>
    </row>
    <row r="1061" spans="1:9" x14ac:dyDescent="0.25">
      <c r="A1061" s="131"/>
      <c r="B1061" s="96"/>
      <c r="C1061" s="96"/>
      <c r="D1061" s="96"/>
      <c r="E1061" s="96"/>
      <c r="F1061" s="96"/>
      <c r="G1061" s="96"/>
      <c r="H1061" s="96"/>
      <c r="I1061" s="96"/>
    </row>
    <row r="1062" spans="1:9" x14ac:dyDescent="0.25">
      <c r="A1062" s="131"/>
      <c r="B1062" s="96"/>
      <c r="C1062" s="96"/>
      <c r="D1062" s="96"/>
      <c r="E1062" s="96"/>
      <c r="F1062" s="96"/>
      <c r="G1062" s="96"/>
      <c r="H1062" s="96"/>
      <c r="I1062" s="96"/>
    </row>
    <row r="1063" spans="1:9" x14ac:dyDescent="0.25">
      <c r="A1063" s="131"/>
      <c r="B1063" s="96"/>
      <c r="C1063" s="96"/>
      <c r="D1063" s="96"/>
      <c r="E1063" s="96"/>
      <c r="F1063" s="96"/>
      <c r="G1063" s="96"/>
      <c r="H1063" s="96"/>
      <c r="I1063" s="96"/>
    </row>
    <row r="1064" spans="1:9" x14ac:dyDescent="0.25">
      <c r="A1064" s="131"/>
      <c r="B1064" s="96"/>
      <c r="C1064" s="96"/>
      <c r="D1064" s="96"/>
      <c r="E1064" s="96"/>
      <c r="F1064" s="96"/>
      <c r="G1064" s="96"/>
      <c r="H1064" s="96"/>
      <c r="I1064" s="96"/>
    </row>
    <row r="1065" spans="1:9" x14ac:dyDescent="0.25">
      <c r="A1065" s="131"/>
      <c r="B1065" s="96"/>
      <c r="C1065" s="96"/>
      <c r="D1065" s="96"/>
      <c r="E1065" s="96"/>
      <c r="F1065" s="96"/>
      <c r="G1065" s="96"/>
      <c r="H1065" s="96"/>
      <c r="I1065" s="96"/>
    </row>
    <row r="1066" spans="1:9" x14ac:dyDescent="0.25">
      <c r="A1066" s="131"/>
      <c r="B1066" s="96"/>
      <c r="C1066" s="96"/>
      <c r="D1066" s="96"/>
      <c r="E1066" s="96"/>
      <c r="F1066" s="96"/>
      <c r="G1066" s="96"/>
      <c r="H1066" s="96"/>
      <c r="I1066" s="96"/>
    </row>
    <row r="1067" spans="1:9" x14ac:dyDescent="0.25">
      <c r="A1067" s="131"/>
      <c r="B1067" s="96"/>
      <c r="C1067" s="96"/>
      <c r="D1067" s="96"/>
      <c r="E1067" s="96"/>
      <c r="F1067" s="96"/>
      <c r="G1067" s="96"/>
      <c r="H1067" s="96"/>
      <c r="I1067" s="96"/>
    </row>
    <row r="1068" spans="1:9" x14ac:dyDescent="0.25">
      <c r="A1068" s="131"/>
      <c r="B1068" s="96"/>
      <c r="C1068" s="96"/>
      <c r="D1068" s="96"/>
      <c r="E1068" s="96"/>
      <c r="F1068" s="96"/>
      <c r="G1068" s="96"/>
      <c r="H1068" s="96"/>
      <c r="I1068" s="96"/>
    </row>
    <row r="1069" spans="1:9" x14ac:dyDescent="0.25">
      <c r="A1069" s="131"/>
      <c r="B1069" s="96"/>
      <c r="C1069" s="96"/>
      <c r="D1069" s="96"/>
      <c r="E1069" s="96"/>
      <c r="F1069" s="96"/>
      <c r="G1069" s="96"/>
      <c r="H1069" s="96"/>
      <c r="I1069" s="96"/>
    </row>
    <row r="1070" spans="1:9" x14ac:dyDescent="0.25">
      <c r="A1070" s="131"/>
      <c r="B1070" s="96"/>
      <c r="C1070" s="96"/>
      <c r="D1070" s="96"/>
      <c r="E1070" s="96"/>
      <c r="F1070" s="96"/>
      <c r="G1070" s="96"/>
      <c r="H1070" s="96"/>
      <c r="I1070" s="96"/>
    </row>
    <row r="1071" spans="1:9" x14ac:dyDescent="0.25">
      <c r="A1071" s="131"/>
      <c r="B1071" s="96"/>
      <c r="C1071" s="96"/>
      <c r="D1071" s="96"/>
      <c r="E1071" s="96"/>
      <c r="F1071" s="96"/>
      <c r="G1071" s="96"/>
      <c r="H1071" s="96"/>
      <c r="I1071" s="96"/>
    </row>
    <row r="1072" spans="1:9" x14ac:dyDescent="0.25">
      <c r="A1072" s="131"/>
      <c r="B1072" s="96"/>
      <c r="C1072" s="96"/>
      <c r="D1072" s="96"/>
      <c r="E1072" s="96"/>
      <c r="F1072" s="96"/>
      <c r="G1072" s="96"/>
      <c r="H1072" s="96"/>
      <c r="I1072" s="96"/>
    </row>
    <row r="1073" spans="1:9" x14ac:dyDescent="0.25">
      <c r="A1073" s="131"/>
      <c r="B1073" s="96"/>
      <c r="C1073" s="96"/>
      <c r="D1073" s="96"/>
      <c r="E1073" s="96"/>
      <c r="F1073" s="96"/>
      <c r="G1073" s="96"/>
      <c r="H1073" s="96"/>
      <c r="I1073" s="96"/>
    </row>
    <row r="1074" spans="1:9" x14ac:dyDescent="0.25">
      <c r="A1074" s="131"/>
      <c r="B1074" s="96"/>
      <c r="C1074" s="96"/>
      <c r="D1074" s="96"/>
      <c r="E1074" s="96"/>
      <c r="F1074" s="96"/>
      <c r="G1074" s="96"/>
      <c r="H1074" s="96"/>
      <c r="I1074" s="96"/>
    </row>
    <row r="1075" spans="1:9" x14ac:dyDescent="0.25">
      <c r="A1075" s="131"/>
      <c r="B1075" s="96"/>
      <c r="C1075" s="96"/>
      <c r="D1075" s="96"/>
      <c r="E1075" s="96"/>
      <c r="F1075" s="96"/>
      <c r="G1075" s="96"/>
      <c r="H1075" s="96"/>
      <c r="I1075" s="96"/>
    </row>
    <row r="1076" spans="1:9" x14ac:dyDescent="0.25">
      <c r="A1076" s="131"/>
      <c r="B1076" s="96"/>
      <c r="C1076" s="96"/>
      <c r="D1076" s="96"/>
      <c r="E1076" s="96"/>
      <c r="F1076" s="96"/>
      <c r="G1076" s="96"/>
      <c r="H1076" s="96"/>
      <c r="I1076" s="96"/>
    </row>
    <row r="1077" spans="1:9" x14ac:dyDescent="0.25">
      <c r="A1077" s="131"/>
      <c r="B1077" s="96"/>
      <c r="C1077" s="96"/>
      <c r="D1077" s="96"/>
      <c r="E1077" s="96"/>
      <c r="F1077" s="96"/>
      <c r="G1077" s="96"/>
      <c r="H1077" s="96"/>
      <c r="I1077" s="96"/>
    </row>
    <row r="1078" spans="1:9" x14ac:dyDescent="0.25">
      <c r="A1078" s="131"/>
      <c r="B1078" s="96"/>
      <c r="C1078" s="96"/>
      <c r="D1078" s="96"/>
      <c r="E1078" s="96"/>
      <c r="F1078" s="96"/>
      <c r="G1078" s="96"/>
      <c r="H1078" s="96"/>
      <c r="I1078" s="96"/>
    </row>
    <row r="1079" spans="1:9" x14ac:dyDescent="0.25">
      <c r="A1079" s="131"/>
      <c r="B1079" s="96"/>
      <c r="C1079" s="96"/>
      <c r="D1079" s="96"/>
      <c r="E1079" s="96"/>
      <c r="F1079" s="96"/>
      <c r="G1079" s="96"/>
      <c r="H1079" s="96"/>
      <c r="I1079" s="96"/>
    </row>
    <row r="1080" spans="1:9" x14ac:dyDescent="0.25">
      <c r="A1080" s="131"/>
      <c r="B1080" s="96"/>
      <c r="C1080" s="96"/>
      <c r="D1080" s="96"/>
      <c r="E1080" s="96"/>
      <c r="F1080" s="96"/>
      <c r="G1080" s="96"/>
      <c r="H1080" s="96"/>
      <c r="I1080" s="96"/>
    </row>
    <row r="1081" spans="1:9" x14ac:dyDescent="0.25">
      <c r="A1081" s="131"/>
      <c r="B1081" s="96"/>
      <c r="C1081" s="96"/>
      <c r="D1081" s="96"/>
      <c r="E1081" s="96"/>
      <c r="F1081" s="96"/>
      <c r="G1081" s="96"/>
      <c r="H1081" s="96"/>
      <c r="I1081" s="96"/>
    </row>
    <row r="1082" spans="1:9" x14ac:dyDescent="0.25">
      <c r="A1082" s="131"/>
      <c r="B1082" s="96"/>
      <c r="C1082" s="96"/>
      <c r="D1082" s="96"/>
      <c r="E1082" s="96"/>
      <c r="F1082" s="96"/>
      <c r="G1082" s="96"/>
      <c r="H1082" s="96"/>
      <c r="I1082" s="96"/>
    </row>
    <row r="1083" spans="1:9" x14ac:dyDescent="0.25">
      <c r="A1083" s="131"/>
      <c r="B1083" s="96"/>
      <c r="C1083" s="96"/>
      <c r="D1083" s="96"/>
      <c r="E1083" s="96"/>
      <c r="F1083" s="96"/>
      <c r="G1083" s="96"/>
      <c r="H1083" s="96"/>
      <c r="I1083" s="96"/>
    </row>
    <row r="1084" spans="1:9" x14ac:dyDescent="0.25">
      <c r="A1084" s="131"/>
      <c r="B1084" s="96"/>
      <c r="C1084" s="96"/>
      <c r="D1084" s="96"/>
      <c r="E1084" s="96"/>
      <c r="F1084" s="96"/>
      <c r="G1084" s="96"/>
      <c r="H1084" s="96"/>
      <c r="I1084" s="96"/>
    </row>
    <row r="1085" spans="1:9" x14ac:dyDescent="0.25">
      <c r="A1085" s="131"/>
      <c r="B1085" s="96"/>
      <c r="C1085" s="96"/>
      <c r="D1085" s="96"/>
      <c r="E1085" s="96"/>
      <c r="F1085" s="96"/>
      <c r="G1085" s="96"/>
      <c r="H1085" s="96"/>
      <c r="I1085" s="96"/>
    </row>
    <row r="1086" spans="1:9" x14ac:dyDescent="0.25">
      <c r="A1086" s="131"/>
      <c r="B1086" s="96"/>
      <c r="C1086" s="96"/>
      <c r="D1086" s="96"/>
      <c r="E1086" s="96"/>
      <c r="F1086" s="96"/>
      <c r="G1086" s="96"/>
      <c r="H1086" s="96"/>
      <c r="I1086" s="96"/>
    </row>
    <row r="1087" spans="1:9" x14ac:dyDescent="0.25">
      <c r="A1087" s="131"/>
      <c r="B1087" s="96"/>
      <c r="C1087" s="96"/>
      <c r="D1087" s="96"/>
      <c r="E1087" s="96"/>
      <c r="F1087" s="96"/>
      <c r="G1087" s="96"/>
      <c r="H1087" s="96"/>
      <c r="I1087" s="96"/>
    </row>
    <row r="1088" spans="1:9" x14ac:dyDescent="0.25">
      <c r="A1088" s="131"/>
      <c r="B1088" s="96"/>
      <c r="C1088" s="96"/>
      <c r="D1088" s="96"/>
      <c r="E1088" s="96"/>
      <c r="F1088" s="96"/>
      <c r="G1088" s="96"/>
      <c r="H1088" s="96"/>
      <c r="I1088" s="96"/>
    </row>
    <row r="1089" spans="1:9" x14ac:dyDescent="0.25">
      <c r="A1089" s="131"/>
      <c r="B1089" s="96"/>
      <c r="C1089" s="96"/>
      <c r="D1089" s="96"/>
      <c r="E1089" s="96"/>
      <c r="F1089" s="96"/>
      <c r="G1089" s="96"/>
      <c r="H1089" s="96"/>
      <c r="I1089" s="96"/>
    </row>
    <row r="1090" spans="1:9" x14ac:dyDescent="0.25">
      <c r="A1090" s="131"/>
      <c r="B1090" s="96"/>
      <c r="C1090" s="96"/>
      <c r="D1090" s="96"/>
      <c r="E1090" s="96"/>
      <c r="F1090" s="96"/>
      <c r="G1090" s="96"/>
      <c r="H1090" s="96"/>
      <c r="I1090" s="96"/>
    </row>
    <row r="1091" spans="1:9" x14ac:dyDescent="0.25">
      <c r="A1091" s="131"/>
      <c r="B1091" s="96"/>
      <c r="C1091" s="96"/>
      <c r="D1091" s="96"/>
      <c r="E1091" s="96"/>
      <c r="F1091" s="96"/>
      <c r="G1091" s="96"/>
      <c r="H1091" s="96"/>
      <c r="I1091" s="96"/>
    </row>
    <row r="1092" spans="1:9" x14ac:dyDescent="0.25">
      <c r="A1092" s="131"/>
      <c r="B1092" s="96"/>
      <c r="C1092" s="96"/>
      <c r="D1092" s="96"/>
      <c r="E1092" s="96"/>
      <c r="F1092" s="96"/>
      <c r="G1092" s="96"/>
      <c r="H1092" s="96"/>
      <c r="I1092" s="96"/>
    </row>
    <row r="1093" spans="1:9" x14ac:dyDescent="0.25">
      <c r="A1093" s="131"/>
      <c r="B1093" s="96"/>
      <c r="C1093" s="96"/>
      <c r="D1093" s="96"/>
      <c r="E1093" s="96"/>
      <c r="F1093" s="96"/>
      <c r="G1093" s="96"/>
      <c r="H1093" s="96"/>
      <c r="I1093" s="96"/>
    </row>
    <row r="1094" spans="1:9" x14ac:dyDescent="0.25">
      <c r="A1094" s="131"/>
      <c r="B1094" s="96"/>
      <c r="C1094" s="96"/>
      <c r="D1094" s="96"/>
      <c r="E1094" s="96"/>
      <c r="F1094" s="96"/>
      <c r="G1094" s="96"/>
      <c r="H1094" s="96"/>
      <c r="I1094" s="96"/>
    </row>
    <row r="1095" spans="1:9" x14ac:dyDescent="0.25">
      <c r="A1095" s="131"/>
      <c r="B1095" s="96"/>
      <c r="C1095" s="96"/>
      <c r="D1095" s="96"/>
      <c r="E1095" s="96"/>
      <c r="F1095" s="96"/>
      <c r="G1095" s="96"/>
      <c r="H1095" s="96"/>
      <c r="I1095" s="96"/>
    </row>
    <row r="1096" spans="1:9" x14ac:dyDescent="0.25">
      <c r="A1096" s="131"/>
      <c r="B1096" s="96"/>
      <c r="C1096" s="96"/>
      <c r="D1096" s="96"/>
      <c r="E1096" s="96"/>
      <c r="F1096" s="96"/>
      <c r="G1096" s="96"/>
      <c r="H1096" s="96"/>
      <c r="I1096" s="96"/>
    </row>
    <row r="1097" spans="1:9" x14ac:dyDescent="0.25">
      <c r="A1097" s="131"/>
      <c r="B1097" s="96"/>
      <c r="C1097" s="96"/>
      <c r="D1097" s="96"/>
      <c r="E1097" s="96"/>
      <c r="F1097" s="96"/>
      <c r="G1097" s="96"/>
      <c r="H1097" s="96"/>
      <c r="I1097" s="96"/>
    </row>
    <row r="1098" spans="1:9" x14ac:dyDescent="0.25">
      <c r="A1098" s="131"/>
      <c r="B1098" s="96"/>
      <c r="C1098" s="96"/>
      <c r="D1098" s="96"/>
      <c r="E1098" s="96"/>
      <c r="F1098" s="96"/>
      <c r="G1098" s="96"/>
      <c r="H1098" s="96"/>
      <c r="I1098" s="96"/>
    </row>
    <row r="1099" spans="1:9" x14ac:dyDescent="0.25">
      <c r="A1099" s="131"/>
      <c r="B1099" s="96"/>
      <c r="C1099" s="96"/>
      <c r="D1099" s="96"/>
      <c r="E1099" s="96"/>
      <c r="F1099" s="96"/>
      <c r="G1099" s="96"/>
      <c r="H1099" s="96"/>
      <c r="I1099" s="96"/>
    </row>
    <row r="1100" spans="1:9" x14ac:dyDescent="0.25">
      <c r="A1100" s="131"/>
      <c r="B1100" s="96"/>
      <c r="C1100" s="96"/>
      <c r="D1100" s="96"/>
      <c r="E1100" s="96"/>
      <c r="F1100" s="96"/>
      <c r="G1100" s="96"/>
      <c r="H1100" s="96"/>
      <c r="I1100" s="96"/>
    </row>
    <row r="1101" spans="1:9" x14ac:dyDescent="0.25">
      <c r="A1101" s="131"/>
      <c r="B1101" s="96"/>
      <c r="C1101" s="96"/>
      <c r="D1101" s="96"/>
      <c r="E1101" s="96"/>
      <c r="F1101" s="96"/>
      <c r="G1101" s="96"/>
      <c r="H1101" s="96"/>
      <c r="I1101" s="96"/>
    </row>
    <row r="1102" spans="1:9" x14ac:dyDescent="0.25">
      <c r="A1102" s="131"/>
      <c r="B1102" s="96"/>
      <c r="C1102" s="96"/>
      <c r="D1102" s="96"/>
      <c r="E1102" s="96"/>
      <c r="F1102" s="96"/>
      <c r="G1102" s="96"/>
      <c r="H1102" s="96"/>
      <c r="I1102" s="96"/>
    </row>
    <row r="1103" spans="1:9" x14ac:dyDescent="0.25">
      <c r="A1103" s="131"/>
      <c r="B1103" s="96"/>
      <c r="C1103" s="96"/>
      <c r="D1103" s="96"/>
      <c r="E1103" s="96"/>
      <c r="F1103" s="96"/>
      <c r="G1103" s="96"/>
      <c r="H1103" s="96"/>
      <c r="I1103" s="96"/>
    </row>
    <row r="1104" spans="1:9" x14ac:dyDescent="0.25">
      <c r="A1104" s="131"/>
      <c r="B1104" s="96"/>
      <c r="C1104" s="96"/>
      <c r="D1104" s="96"/>
      <c r="E1104" s="96"/>
      <c r="F1104" s="96"/>
      <c r="G1104" s="96"/>
      <c r="H1104" s="96"/>
      <c r="I1104" s="96"/>
    </row>
    <row r="1105" spans="1:9" x14ac:dyDescent="0.25">
      <c r="A1105" s="131"/>
      <c r="B1105" s="96"/>
      <c r="C1105" s="96"/>
      <c r="D1105" s="96"/>
      <c r="E1105" s="96"/>
      <c r="F1105" s="96"/>
      <c r="G1105" s="96"/>
      <c r="H1105" s="96"/>
      <c r="I1105" s="96"/>
    </row>
    <row r="1106" spans="1:9" x14ac:dyDescent="0.25">
      <c r="A1106" s="131"/>
      <c r="B1106" s="96"/>
      <c r="C1106" s="96"/>
      <c r="D1106" s="96"/>
      <c r="E1106" s="96"/>
      <c r="F1106" s="96"/>
      <c r="G1106" s="96"/>
      <c r="H1106" s="96"/>
      <c r="I1106" s="96"/>
    </row>
    <row r="1107" spans="1:9" x14ac:dyDescent="0.25">
      <c r="A1107" s="131"/>
      <c r="B1107" s="96"/>
      <c r="C1107" s="96"/>
      <c r="D1107" s="96"/>
      <c r="E1107" s="96"/>
      <c r="F1107" s="96"/>
      <c r="G1107" s="96"/>
      <c r="H1107" s="96"/>
      <c r="I1107" s="96"/>
    </row>
    <row r="1108" spans="1:9" x14ac:dyDescent="0.25">
      <c r="A1108" s="131"/>
      <c r="B1108" s="96"/>
      <c r="C1108" s="96"/>
      <c r="D1108" s="96"/>
      <c r="E1108" s="96"/>
      <c r="F1108" s="96"/>
      <c r="G1108" s="96"/>
      <c r="H1108" s="96"/>
      <c r="I1108" s="96"/>
    </row>
    <row r="1109" spans="1:9" x14ac:dyDescent="0.25">
      <c r="A1109" s="131"/>
      <c r="B1109" s="96"/>
      <c r="C1109" s="96"/>
      <c r="D1109" s="96"/>
      <c r="E1109" s="96"/>
      <c r="F1109" s="96"/>
      <c r="G1109" s="96"/>
      <c r="H1109" s="96"/>
      <c r="I1109" s="96"/>
    </row>
    <row r="1110" spans="1:9" x14ac:dyDescent="0.25">
      <c r="A1110" s="131"/>
      <c r="B1110" s="96"/>
      <c r="C1110" s="96"/>
      <c r="D1110" s="96"/>
      <c r="E1110" s="96"/>
      <c r="F1110" s="96"/>
      <c r="G1110" s="96"/>
      <c r="H1110" s="96"/>
      <c r="I1110" s="96"/>
    </row>
    <row r="1111" spans="1:9" x14ac:dyDescent="0.25">
      <c r="A1111" s="131"/>
      <c r="B1111" s="96"/>
      <c r="C1111" s="96"/>
      <c r="D1111" s="96"/>
      <c r="E1111" s="96"/>
      <c r="F1111" s="96"/>
      <c r="G1111" s="96"/>
      <c r="H1111" s="96"/>
      <c r="I1111" s="96"/>
    </row>
    <row r="1112" spans="1:9" x14ac:dyDescent="0.25">
      <c r="A1112" s="131"/>
      <c r="B1112" s="96"/>
      <c r="C1112" s="96"/>
      <c r="D1112" s="96"/>
      <c r="E1112" s="96"/>
      <c r="F1112" s="96"/>
      <c r="G1112" s="96"/>
      <c r="H1112" s="96"/>
      <c r="I1112" s="96"/>
    </row>
    <row r="1113" spans="1:9" x14ac:dyDescent="0.25">
      <c r="A1113" s="131"/>
      <c r="B1113" s="96"/>
      <c r="C1113" s="96"/>
      <c r="D1113" s="96"/>
      <c r="E1113" s="96"/>
      <c r="F1113" s="96"/>
      <c r="G1113" s="96"/>
      <c r="H1113" s="96"/>
      <c r="I1113" s="96"/>
    </row>
    <row r="1114" spans="1:9" x14ac:dyDescent="0.25">
      <c r="A1114" s="131"/>
      <c r="B1114" s="96"/>
      <c r="C1114" s="96"/>
      <c r="D1114" s="96"/>
      <c r="E1114" s="96"/>
      <c r="F1114" s="96"/>
      <c r="G1114" s="96"/>
      <c r="H1114" s="96"/>
      <c r="I1114" s="96"/>
    </row>
    <row r="1115" spans="1:9" x14ac:dyDescent="0.25">
      <c r="A1115" s="131"/>
      <c r="B1115" s="96"/>
      <c r="C1115" s="96"/>
      <c r="D1115" s="96"/>
      <c r="E1115" s="96"/>
      <c r="F1115" s="96"/>
      <c r="G1115" s="96"/>
      <c r="H1115" s="96"/>
      <c r="I1115" s="96"/>
    </row>
    <row r="1116" spans="1:9" x14ac:dyDescent="0.25">
      <c r="A1116" s="131"/>
      <c r="B1116" s="96"/>
      <c r="C1116" s="96"/>
      <c r="D1116" s="96"/>
      <c r="E1116" s="96"/>
      <c r="F1116" s="96"/>
      <c r="G1116" s="96"/>
      <c r="H1116" s="96"/>
      <c r="I1116" s="96"/>
    </row>
    <row r="1117" spans="1:9" x14ac:dyDescent="0.25">
      <c r="A1117" s="131"/>
      <c r="B1117" s="96"/>
      <c r="C1117" s="96"/>
      <c r="D1117" s="96"/>
      <c r="E1117" s="96"/>
      <c r="F1117" s="96"/>
      <c r="G1117" s="96"/>
      <c r="H1117" s="96"/>
      <c r="I1117" s="96"/>
    </row>
    <row r="1118" spans="1:9" x14ac:dyDescent="0.25">
      <c r="A1118" s="131"/>
      <c r="B1118" s="96"/>
      <c r="C1118" s="96"/>
      <c r="D1118" s="96"/>
      <c r="E1118" s="96"/>
      <c r="F1118" s="96"/>
      <c r="G1118" s="96"/>
      <c r="H1118" s="96"/>
      <c r="I1118" s="96"/>
    </row>
    <row r="1119" spans="1:9" x14ac:dyDescent="0.25">
      <c r="A1119" s="131"/>
      <c r="B1119" s="96"/>
      <c r="C1119" s="96"/>
      <c r="D1119" s="96"/>
      <c r="E1119" s="96"/>
      <c r="F1119" s="96"/>
      <c r="G1119" s="96"/>
      <c r="H1119" s="96"/>
      <c r="I1119" s="96"/>
    </row>
    <row r="1120" spans="1:9" x14ac:dyDescent="0.25">
      <c r="A1120" s="131"/>
      <c r="B1120" s="96"/>
      <c r="C1120" s="96"/>
      <c r="D1120" s="96"/>
      <c r="E1120" s="96"/>
      <c r="F1120" s="96"/>
      <c r="G1120" s="96"/>
      <c r="H1120" s="96"/>
      <c r="I1120" s="96"/>
    </row>
    <row r="1121" spans="1:9" x14ac:dyDescent="0.25">
      <c r="A1121" s="131"/>
      <c r="B1121" s="96"/>
      <c r="C1121" s="96"/>
      <c r="D1121" s="96"/>
      <c r="E1121" s="96"/>
      <c r="F1121" s="96"/>
      <c r="G1121" s="96"/>
      <c r="H1121" s="96"/>
      <c r="I1121" s="96"/>
    </row>
    <row r="1122" spans="1:9" x14ac:dyDescent="0.25">
      <c r="A1122" s="131"/>
      <c r="B1122" s="96"/>
      <c r="C1122" s="96"/>
      <c r="D1122" s="96"/>
      <c r="E1122" s="96"/>
      <c r="F1122" s="96"/>
      <c r="G1122" s="96"/>
      <c r="H1122" s="96"/>
      <c r="I1122" s="96"/>
    </row>
    <row r="1123" spans="1:9" x14ac:dyDescent="0.25">
      <c r="A1123" s="131"/>
      <c r="B1123" s="96"/>
      <c r="C1123" s="96"/>
      <c r="D1123" s="96"/>
      <c r="E1123" s="96"/>
      <c r="F1123" s="96"/>
      <c r="G1123" s="96"/>
      <c r="H1123" s="96"/>
      <c r="I1123" s="96"/>
    </row>
    <row r="1124" spans="1:9" x14ac:dyDescent="0.25">
      <c r="A1124" s="131"/>
      <c r="B1124" s="96"/>
      <c r="C1124" s="96"/>
      <c r="D1124" s="96"/>
      <c r="E1124" s="96"/>
      <c r="F1124" s="96"/>
      <c r="G1124" s="96"/>
      <c r="H1124" s="96"/>
      <c r="I1124" s="96"/>
    </row>
    <row r="1125" spans="1:9" x14ac:dyDescent="0.25">
      <c r="A1125" s="131"/>
      <c r="B1125" s="96"/>
      <c r="C1125" s="96"/>
      <c r="D1125" s="96"/>
      <c r="E1125" s="96"/>
      <c r="F1125" s="96"/>
      <c r="G1125" s="96"/>
      <c r="H1125" s="96"/>
      <c r="I1125" s="96"/>
    </row>
    <row r="1126" spans="1:9" x14ac:dyDescent="0.25">
      <c r="A1126" s="131"/>
      <c r="B1126" s="96"/>
      <c r="C1126" s="96"/>
      <c r="D1126" s="96"/>
      <c r="E1126" s="96"/>
      <c r="F1126" s="96"/>
      <c r="G1126" s="96"/>
      <c r="H1126" s="96"/>
      <c r="I1126" s="96"/>
    </row>
    <row r="1127" spans="1:9" x14ac:dyDescent="0.25">
      <c r="A1127" s="131"/>
      <c r="B1127" s="96"/>
      <c r="C1127" s="96"/>
      <c r="D1127" s="96"/>
      <c r="E1127" s="96"/>
      <c r="F1127" s="96"/>
      <c r="G1127" s="96"/>
      <c r="H1127" s="96"/>
      <c r="I1127" s="96"/>
    </row>
    <row r="1128" spans="1:9" x14ac:dyDescent="0.25">
      <c r="A1128" s="131"/>
      <c r="B1128" s="96"/>
      <c r="C1128" s="96"/>
      <c r="D1128" s="96"/>
      <c r="E1128" s="96"/>
      <c r="F1128" s="96"/>
      <c r="G1128" s="96"/>
      <c r="H1128" s="96"/>
      <c r="I1128" s="96"/>
    </row>
    <row r="1129" spans="1:9" x14ac:dyDescent="0.25">
      <c r="A1129" s="131"/>
      <c r="B1129" s="96"/>
      <c r="C1129" s="96"/>
      <c r="D1129" s="96"/>
      <c r="E1129" s="96"/>
      <c r="F1129" s="96"/>
      <c r="G1129" s="96"/>
      <c r="H1129" s="96"/>
      <c r="I1129" s="96"/>
    </row>
    <row r="1130" spans="1:9" x14ac:dyDescent="0.25">
      <c r="A1130" s="131"/>
      <c r="B1130" s="96"/>
      <c r="C1130" s="96"/>
      <c r="D1130" s="96"/>
      <c r="E1130" s="96"/>
      <c r="F1130" s="96"/>
      <c r="G1130" s="96"/>
      <c r="H1130" s="96"/>
      <c r="I1130" s="96"/>
    </row>
    <row r="1131" spans="1:9" x14ac:dyDescent="0.25">
      <c r="A1131" s="131"/>
      <c r="B1131" s="96"/>
      <c r="C1131" s="96"/>
      <c r="D1131" s="96"/>
      <c r="E1131" s="96"/>
      <c r="F1131" s="96"/>
      <c r="G1131" s="96"/>
      <c r="H1131" s="96"/>
      <c r="I1131" s="96"/>
    </row>
    <row r="1132" spans="1:9" x14ac:dyDescent="0.25">
      <c r="A1132" s="131"/>
      <c r="B1132" s="96"/>
      <c r="C1132" s="96"/>
      <c r="D1132" s="96"/>
      <c r="E1132" s="96"/>
      <c r="F1132" s="96"/>
      <c r="G1132" s="96"/>
      <c r="H1132" s="96"/>
      <c r="I1132" s="96"/>
    </row>
    <row r="1133" spans="1:9" x14ac:dyDescent="0.25">
      <c r="A1133" s="131"/>
      <c r="B1133" s="96"/>
      <c r="C1133" s="96"/>
      <c r="D1133" s="96"/>
      <c r="E1133" s="96"/>
      <c r="F1133" s="96"/>
      <c r="G1133" s="96"/>
      <c r="H1133" s="96"/>
      <c r="I1133" s="96"/>
    </row>
    <row r="1134" spans="1:9" x14ac:dyDescent="0.25">
      <c r="A1134" s="131"/>
      <c r="B1134" s="96"/>
      <c r="C1134" s="96"/>
      <c r="D1134" s="96"/>
      <c r="E1134" s="96"/>
      <c r="F1134" s="96"/>
      <c r="G1134" s="96"/>
      <c r="H1134" s="96"/>
      <c r="I1134" s="96"/>
    </row>
    <row r="1135" spans="1:9" x14ac:dyDescent="0.25">
      <c r="A1135" s="131"/>
      <c r="B1135" s="96"/>
      <c r="C1135" s="96"/>
      <c r="D1135" s="96"/>
      <c r="E1135" s="96"/>
      <c r="F1135" s="96"/>
      <c r="G1135" s="96"/>
      <c r="H1135" s="96"/>
      <c r="I1135" s="96"/>
    </row>
    <row r="1136" spans="1:9" x14ac:dyDescent="0.25">
      <c r="A1136" s="131"/>
      <c r="B1136" s="96"/>
      <c r="C1136" s="96"/>
      <c r="D1136" s="96"/>
      <c r="E1136" s="96"/>
      <c r="F1136" s="96"/>
      <c r="G1136" s="96"/>
      <c r="H1136" s="96"/>
      <c r="I1136" s="96"/>
    </row>
    <row r="1137" spans="1:9" x14ac:dyDescent="0.25">
      <c r="A1137" s="131"/>
      <c r="B1137" s="96"/>
      <c r="C1137" s="96"/>
      <c r="D1137" s="96"/>
      <c r="E1137" s="96"/>
      <c r="F1137" s="96"/>
      <c r="G1137" s="96"/>
      <c r="H1137" s="96"/>
      <c r="I1137" s="96"/>
    </row>
    <row r="1138" spans="1:9" x14ac:dyDescent="0.25">
      <c r="A1138" s="131"/>
      <c r="B1138" s="96"/>
      <c r="C1138" s="96"/>
      <c r="D1138" s="96"/>
      <c r="E1138" s="96"/>
      <c r="F1138" s="96"/>
      <c r="G1138" s="96"/>
      <c r="H1138" s="96"/>
      <c r="I1138" s="96"/>
    </row>
    <row r="1139" spans="1:9" x14ac:dyDescent="0.25">
      <c r="A1139" s="131"/>
      <c r="B1139" s="96"/>
      <c r="C1139" s="96"/>
      <c r="D1139" s="96"/>
      <c r="E1139" s="96"/>
      <c r="F1139" s="96"/>
      <c r="G1139" s="96"/>
      <c r="H1139" s="96"/>
      <c r="I1139" s="96"/>
    </row>
    <row r="1140" spans="1:9" x14ac:dyDescent="0.25">
      <c r="A1140" s="131"/>
      <c r="B1140" s="96"/>
      <c r="C1140" s="96"/>
      <c r="D1140" s="96"/>
      <c r="E1140" s="96"/>
      <c r="F1140" s="96"/>
      <c r="G1140" s="96"/>
      <c r="H1140" s="96"/>
      <c r="I1140" s="96"/>
    </row>
    <row r="1141" spans="1:9" x14ac:dyDescent="0.25">
      <c r="A1141" s="131"/>
      <c r="B1141" s="96"/>
      <c r="C1141" s="96"/>
      <c r="D1141" s="96"/>
      <c r="E1141" s="96"/>
      <c r="F1141" s="96"/>
      <c r="G1141" s="96"/>
      <c r="H1141" s="96"/>
      <c r="I1141" s="96"/>
    </row>
    <row r="1142" spans="1:9" x14ac:dyDescent="0.25">
      <c r="A1142" s="131"/>
      <c r="B1142" s="96"/>
      <c r="C1142" s="96"/>
      <c r="D1142" s="96"/>
      <c r="E1142" s="96"/>
      <c r="F1142" s="96"/>
      <c r="G1142" s="96"/>
      <c r="H1142" s="96"/>
      <c r="I1142" s="96"/>
    </row>
    <row r="1143" spans="1:9" x14ac:dyDescent="0.25">
      <c r="A1143" s="131"/>
      <c r="B1143" s="96"/>
      <c r="C1143" s="96"/>
      <c r="D1143" s="96"/>
      <c r="E1143" s="96"/>
      <c r="F1143" s="96"/>
      <c r="G1143" s="96"/>
      <c r="H1143" s="96"/>
      <c r="I1143" s="96"/>
    </row>
    <row r="1144" spans="1:9" x14ac:dyDescent="0.25">
      <c r="A1144" s="131"/>
      <c r="B1144" s="96"/>
      <c r="C1144" s="96"/>
      <c r="D1144" s="96"/>
      <c r="E1144" s="96"/>
      <c r="F1144" s="96"/>
      <c r="G1144" s="96"/>
      <c r="H1144" s="96"/>
      <c r="I1144" s="96"/>
    </row>
    <row r="1145" spans="1:9" x14ac:dyDescent="0.25">
      <c r="A1145" s="131"/>
      <c r="B1145" s="96"/>
      <c r="C1145" s="96"/>
      <c r="D1145" s="96"/>
      <c r="E1145" s="96"/>
      <c r="F1145" s="96"/>
      <c r="G1145" s="96"/>
      <c r="H1145" s="96"/>
      <c r="I1145" s="96"/>
    </row>
    <row r="1146" spans="1:9" x14ac:dyDescent="0.25">
      <c r="A1146" s="131"/>
      <c r="B1146" s="96"/>
      <c r="C1146" s="96"/>
      <c r="D1146" s="96"/>
      <c r="E1146" s="96"/>
      <c r="F1146" s="96"/>
      <c r="G1146" s="96"/>
      <c r="H1146" s="96"/>
      <c r="I1146" s="96"/>
    </row>
    <row r="1147" spans="1:9" x14ac:dyDescent="0.25">
      <c r="A1147" s="131"/>
      <c r="B1147" s="96"/>
      <c r="C1147" s="96"/>
      <c r="D1147" s="96"/>
      <c r="E1147" s="96"/>
      <c r="F1147" s="96"/>
      <c r="G1147" s="96"/>
      <c r="H1147" s="96"/>
      <c r="I1147" s="96"/>
    </row>
    <row r="1148" spans="1:9" x14ac:dyDescent="0.25">
      <c r="A1148" s="131"/>
      <c r="B1148" s="96"/>
      <c r="C1148" s="96"/>
      <c r="D1148" s="96"/>
      <c r="E1148" s="96"/>
      <c r="F1148" s="96"/>
      <c r="G1148" s="96"/>
      <c r="H1148" s="96"/>
      <c r="I1148" s="96"/>
    </row>
    <row r="1149" spans="1:9" x14ac:dyDescent="0.25">
      <c r="A1149" s="131"/>
      <c r="B1149" s="96"/>
      <c r="C1149" s="96"/>
      <c r="D1149" s="96"/>
      <c r="E1149" s="96"/>
      <c r="F1149" s="96"/>
      <c r="G1149" s="96"/>
      <c r="H1149" s="96"/>
      <c r="I1149" s="96"/>
    </row>
    <row r="1150" spans="1:9" x14ac:dyDescent="0.25">
      <c r="A1150" s="131"/>
      <c r="B1150" s="96"/>
      <c r="C1150" s="96"/>
      <c r="D1150" s="96"/>
      <c r="E1150" s="96"/>
      <c r="F1150" s="96"/>
      <c r="G1150" s="96"/>
      <c r="H1150" s="96"/>
      <c r="I1150" s="96"/>
    </row>
    <row r="1151" spans="1:9" x14ac:dyDescent="0.25">
      <c r="A1151" s="131"/>
      <c r="B1151" s="96"/>
      <c r="C1151" s="96"/>
      <c r="D1151" s="96"/>
      <c r="E1151" s="96"/>
      <c r="F1151" s="96"/>
      <c r="G1151" s="96"/>
      <c r="H1151" s="96"/>
      <c r="I1151" s="96"/>
    </row>
    <row r="1152" spans="1:9" x14ac:dyDescent="0.25">
      <c r="A1152" s="131"/>
      <c r="B1152" s="96"/>
      <c r="C1152" s="96"/>
      <c r="D1152" s="96"/>
      <c r="E1152" s="96"/>
      <c r="F1152" s="96"/>
      <c r="G1152" s="96"/>
      <c r="H1152" s="96"/>
      <c r="I1152" s="96"/>
    </row>
    <row r="1153" spans="1:9" x14ac:dyDescent="0.25">
      <c r="A1153" s="131"/>
      <c r="B1153" s="96"/>
      <c r="C1153" s="96"/>
      <c r="D1153" s="96"/>
      <c r="E1153" s="96"/>
      <c r="F1153" s="96"/>
      <c r="G1153" s="96"/>
      <c r="H1153" s="96"/>
      <c r="I1153" s="96"/>
    </row>
    <row r="1154" spans="1:9" x14ac:dyDescent="0.25">
      <c r="A1154" s="131"/>
      <c r="B1154" s="96"/>
      <c r="C1154" s="96"/>
      <c r="D1154" s="96"/>
      <c r="E1154" s="96"/>
      <c r="F1154" s="96"/>
      <c r="G1154" s="96"/>
      <c r="H1154" s="96"/>
      <c r="I1154" s="96"/>
    </row>
    <row r="1155" spans="1:9" x14ac:dyDescent="0.25">
      <c r="A1155" s="131"/>
      <c r="B1155" s="96"/>
      <c r="C1155" s="96"/>
      <c r="D1155" s="96"/>
      <c r="E1155" s="96"/>
      <c r="F1155" s="96"/>
      <c r="G1155" s="96"/>
      <c r="H1155" s="96"/>
      <c r="I1155" s="96"/>
    </row>
    <row r="1156" spans="1:9" x14ac:dyDescent="0.25">
      <c r="A1156" s="131"/>
      <c r="B1156" s="96"/>
      <c r="C1156" s="96"/>
      <c r="D1156" s="96"/>
      <c r="E1156" s="96"/>
      <c r="F1156" s="96"/>
      <c r="G1156" s="96"/>
      <c r="H1156" s="96"/>
      <c r="I1156" s="96"/>
    </row>
    <row r="1157" spans="1:9" x14ac:dyDescent="0.25">
      <c r="A1157" s="131"/>
      <c r="B1157" s="96"/>
      <c r="C1157" s="96"/>
      <c r="D1157" s="96"/>
      <c r="E1157" s="96"/>
      <c r="F1157" s="96"/>
      <c r="G1157" s="96"/>
      <c r="H1157" s="96"/>
      <c r="I1157" s="96"/>
    </row>
    <row r="1158" spans="1:9" x14ac:dyDescent="0.25">
      <c r="A1158" s="131"/>
      <c r="B1158" s="96"/>
      <c r="C1158" s="96"/>
      <c r="D1158" s="96"/>
      <c r="E1158" s="96"/>
      <c r="F1158" s="96"/>
      <c r="G1158" s="96"/>
      <c r="H1158" s="96"/>
      <c r="I1158" s="96"/>
    </row>
    <row r="1159" spans="1:9" x14ac:dyDescent="0.25">
      <c r="A1159" s="131"/>
      <c r="B1159" s="96"/>
      <c r="C1159" s="96"/>
      <c r="D1159" s="96"/>
      <c r="E1159" s="96"/>
      <c r="F1159" s="96"/>
      <c r="G1159" s="96"/>
      <c r="H1159" s="96"/>
      <c r="I1159" s="96"/>
    </row>
    <row r="1160" spans="1:9" x14ac:dyDescent="0.25">
      <c r="A1160" s="131"/>
      <c r="B1160" s="96"/>
      <c r="C1160" s="96"/>
      <c r="D1160" s="96"/>
      <c r="E1160" s="96"/>
      <c r="F1160" s="96"/>
      <c r="G1160" s="96"/>
      <c r="H1160" s="96"/>
      <c r="I1160" s="96"/>
    </row>
    <row r="1161" spans="1:9" x14ac:dyDescent="0.25">
      <c r="A1161" s="131"/>
      <c r="B1161" s="96"/>
      <c r="C1161" s="96"/>
      <c r="D1161" s="96"/>
      <c r="E1161" s="96"/>
      <c r="F1161" s="96"/>
      <c r="G1161" s="96"/>
      <c r="H1161" s="96"/>
      <c r="I1161" s="96"/>
    </row>
    <row r="1162" spans="1:9" x14ac:dyDescent="0.25">
      <c r="A1162" s="131"/>
      <c r="B1162" s="96"/>
      <c r="C1162" s="96"/>
      <c r="D1162" s="96"/>
      <c r="E1162" s="96"/>
      <c r="F1162" s="96"/>
      <c r="G1162" s="96"/>
      <c r="H1162" s="96"/>
      <c r="I1162" s="96"/>
    </row>
    <row r="1163" spans="1:9" x14ac:dyDescent="0.25">
      <c r="A1163" s="131"/>
      <c r="B1163" s="96"/>
      <c r="C1163" s="96"/>
      <c r="D1163" s="96"/>
      <c r="E1163" s="96"/>
      <c r="F1163" s="96"/>
      <c r="G1163" s="96"/>
      <c r="H1163" s="96"/>
      <c r="I1163" s="96"/>
    </row>
    <row r="1164" spans="1:9" x14ac:dyDescent="0.25">
      <c r="A1164" s="131"/>
      <c r="B1164" s="96"/>
      <c r="C1164" s="96"/>
      <c r="D1164" s="96"/>
      <c r="E1164" s="96"/>
      <c r="F1164" s="96"/>
      <c r="G1164" s="96"/>
      <c r="H1164" s="96"/>
      <c r="I1164" s="96"/>
    </row>
    <row r="1165" spans="1:9" x14ac:dyDescent="0.25">
      <c r="A1165" s="131"/>
      <c r="B1165" s="96"/>
      <c r="C1165" s="96"/>
      <c r="D1165" s="96"/>
      <c r="E1165" s="96"/>
      <c r="F1165" s="96"/>
      <c r="G1165" s="96"/>
      <c r="H1165" s="96"/>
      <c r="I1165" s="96"/>
    </row>
    <row r="1166" spans="1:9" x14ac:dyDescent="0.25">
      <c r="A1166" s="131"/>
      <c r="B1166" s="96"/>
      <c r="C1166" s="96"/>
      <c r="D1166" s="96"/>
      <c r="E1166" s="96"/>
      <c r="F1166" s="96"/>
      <c r="G1166" s="96"/>
      <c r="H1166" s="96"/>
      <c r="I1166" s="96"/>
    </row>
    <row r="1167" spans="1:9" x14ac:dyDescent="0.25">
      <c r="A1167" s="131"/>
      <c r="B1167" s="96"/>
      <c r="C1167" s="96"/>
      <c r="D1167" s="96"/>
      <c r="E1167" s="96"/>
      <c r="F1167" s="96"/>
      <c r="G1167" s="96"/>
      <c r="H1167" s="96"/>
      <c r="I1167" s="96"/>
    </row>
    <row r="1168" spans="1:9" x14ac:dyDescent="0.25">
      <c r="A1168" s="131"/>
      <c r="B1168" s="96"/>
      <c r="C1168" s="96"/>
      <c r="D1168" s="96"/>
      <c r="E1168" s="96"/>
      <c r="F1168" s="96"/>
      <c r="G1168" s="96"/>
      <c r="H1168" s="96"/>
      <c r="I1168" s="96"/>
    </row>
    <row r="1169" spans="1:9" x14ac:dyDescent="0.25">
      <c r="A1169" s="131"/>
      <c r="B1169" s="96"/>
      <c r="C1169" s="96"/>
      <c r="D1169" s="96"/>
      <c r="E1169" s="96"/>
      <c r="F1169" s="96"/>
      <c r="G1169" s="96"/>
      <c r="H1169" s="96"/>
      <c r="I1169" s="96"/>
    </row>
    <row r="1170" spans="1:9" x14ac:dyDescent="0.25">
      <c r="A1170" s="131"/>
      <c r="B1170" s="96"/>
      <c r="C1170" s="96"/>
      <c r="D1170" s="96"/>
      <c r="E1170" s="96"/>
      <c r="F1170" s="96"/>
      <c r="G1170" s="96"/>
      <c r="H1170" s="96"/>
      <c r="I1170" s="96"/>
    </row>
    <row r="1171" spans="1:9" x14ac:dyDescent="0.25">
      <c r="A1171" s="131"/>
      <c r="B1171" s="96"/>
      <c r="C1171" s="96"/>
      <c r="D1171" s="96"/>
      <c r="E1171" s="96"/>
      <c r="F1171" s="96"/>
      <c r="G1171" s="96"/>
      <c r="H1171" s="96"/>
      <c r="I1171" s="96"/>
    </row>
    <row r="1172" spans="1:9" x14ac:dyDescent="0.25">
      <c r="A1172" s="131"/>
      <c r="B1172" s="96"/>
      <c r="C1172" s="96"/>
      <c r="D1172" s="96"/>
      <c r="E1172" s="96"/>
      <c r="F1172" s="96"/>
      <c r="G1172" s="96"/>
      <c r="H1172" s="96"/>
      <c r="I1172" s="96"/>
    </row>
    <row r="1173" spans="1:9" x14ac:dyDescent="0.25">
      <c r="A1173" s="131"/>
      <c r="B1173" s="96"/>
      <c r="C1173" s="96"/>
      <c r="D1173" s="96"/>
      <c r="E1173" s="96"/>
      <c r="F1173" s="96"/>
      <c r="G1173" s="96"/>
      <c r="H1173" s="96"/>
      <c r="I1173" s="96"/>
    </row>
    <row r="1174" spans="1:9" x14ac:dyDescent="0.25">
      <c r="A1174" s="131"/>
      <c r="B1174" s="96"/>
      <c r="C1174" s="96"/>
      <c r="D1174" s="96"/>
      <c r="E1174" s="96"/>
      <c r="F1174" s="96"/>
      <c r="G1174" s="96"/>
      <c r="H1174" s="96"/>
      <c r="I1174" s="96"/>
    </row>
    <row r="1175" spans="1:9" x14ac:dyDescent="0.25">
      <c r="A1175" s="131"/>
      <c r="B1175" s="96"/>
      <c r="C1175" s="96"/>
      <c r="D1175" s="96"/>
      <c r="E1175" s="96"/>
      <c r="F1175" s="96"/>
      <c r="G1175" s="96"/>
      <c r="H1175" s="96"/>
      <c r="I1175" s="96"/>
    </row>
    <row r="1176" spans="1:9" x14ac:dyDescent="0.25">
      <c r="A1176" s="131"/>
      <c r="B1176" s="96"/>
      <c r="C1176" s="96"/>
      <c r="D1176" s="96"/>
      <c r="E1176" s="96"/>
      <c r="F1176" s="96"/>
      <c r="G1176" s="96"/>
      <c r="H1176" s="96"/>
      <c r="I1176" s="96"/>
    </row>
    <row r="1177" spans="1:9" x14ac:dyDescent="0.25">
      <c r="A1177" s="131"/>
      <c r="B1177" s="96"/>
      <c r="C1177" s="96"/>
      <c r="D1177" s="96"/>
      <c r="E1177" s="96"/>
      <c r="F1177" s="96"/>
      <c r="G1177" s="96"/>
      <c r="H1177" s="96"/>
      <c r="I1177" s="96"/>
    </row>
    <row r="1178" spans="1:9" x14ac:dyDescent="0.25">
      <c r="A1178" s="131"/>
      <c r="B1178" s="96"/>
      <c r="C1178" s="96"/>
      <c r="D1178" s="96"/>
      <c r="E1178" s="96"/>
      <c r="F1178" s="96"/>
      <c r="G1178" s="96"/>
      <c r="H1178" s="96"/>
      <c r="I1178" s="96"/>
    </row>
    <row r="1179" spans="1:9" x14ac:dyDescent="0.25">
      <c r="A1179" s="131"/>
      <c r="B1179" s="96"/>
      <c r="C1179" s="96"/>
      <c r="D1179" s="96"/>
      <c r="E1179" s="96"/>
      <c r="F1179" s="96"/>
      <c r="G1179" s="96"/>
      <c r="H1179" s="96"/>
      <c r="I1179" s="96"/>
    </row>
    <row r="1180" spans="1:9" x14ac:dyDescent="0.25">
      <c r="A1180" s="131"/>
      <c r="B1180" s="96"/>
      <c r="C1180" s="96"/>
      <c r="D1180" s="96"/>
      <c r="E1180" s="96"/>
      <c r="F1180" s="96"/>
      <c r="G1180" s="96"/>
      <c r="H1180" s="96"/>
      <c r="I1180" s="96"/>
    </row>
    <row r="1181" spans="1:9" x14ac:dyDescent="0.25">
      <c r="A1181" s="131"/>
      <c r="B1181" s="96"/>
      <c r="C1181" s="96"/>
      <c r="D1181" s="96"/>
      <c r="E1181" s="96"/>
      <c r="F1181" s="96"/>
      <c r="G1181" s="96"/>
      <c r="H1181" s="96"/>
      <c r="I1181" s="96"/>
    </row>
    <row r="1182" spans="1:9" x14ac:dyDescent="0.25">
      <c r="A1182" s="131"/>
      <c r="B1182" s="96"/>
      <c r="C1182" s="96"/>
      <c r="D1182" s="96"/>
      <c r="E1182" s="96"/>
      <c r="F1182" s="96"/>
      <c r="G1182" s="96"/>
      <c r="H1182" s="96"/>
      <c r="I1182" s="96"/>
    </row>
    <row r="1183" spans="1:9" x14ac:dyDescent="0.25">
      <c r="A1183" s="131"/>
      <c r="B1183" s="96"/>
      <c r="C1183" s="96"/>
      <c r="D1183" s="96"/>
      <c r="E1183" s="96"/>
      <c r="F1183" s="96"/>
      <c r="G1183" s="96"/>
      <c r="H1183" s="96"/>
      <c r="I1183" s="96"/>
    </row>
    <row r="1184" spans="1:9" x14ac:dyDescent="0.25">
      <c r="A1184" s="131"/>
      <c r="B1184" s="96"/>
      <c r="C1184" s="96"/>
      <c r="D1184" s="96"/>
      <c r="E1184" s="96"/>
      <c r="F1184" s="96"/>
      <c r="G1184" s="96"/>
      <c r="H1184" s="96"/>
      <c r="I1184" s="96"/>
    </row>
    <row r="1185" spans="1:9" x14ac:dyDescent="0.25">
      <c r="A1185" s="131"/>
      <c r="B1185" s="96"/>
      <c r="C1185" s="96"/>
      <c r="D1185" s="96"/>
      <c r="E1185" s="96"/>
      <c r="F1185" s="96"/>
      <c r="G1185" s="96"/>
      <c r="H1185" s="96"/>
      <c r="I1185" s="96"/>
    </row>
    <row r="1186" spans="1:9" x14ac:dyDescent="0.25">
      <c r="A1186" s="131"/>
      <c r="B1186" s="96"/>
      <c r="C1186" s="96"/>
      <c r="D1186" s="96"/>
      <c r="E1186" s="96"/>
      <c r="F1186" s="96"/>
      <c r="G1186" s="96"/>
      <c r="H1186" s="96"/>
      <c r="I1186" s="96"/>
    </row>
    <row r="1187" spans="1:9" x14ac:dyDescent="0.25">
      <c r="A1187" s="131"/>
      <c r="B1187" s="96"/>
      <c r="C1187" s="96"/>
      <c r="D1187" s="96"/>
      <c r="E1187" s="96"/>
      <c r="F1187" s="96"/>
      <c r="G1187" s="96"/>
      <c r="H1187" s="96"/>
      <c r="I1187" s="96"/>
    </row>
    <row r="1188" spans="1:9" x14ac:dyDescent="0.25">
      <c r="A1188" s="131"/>
      <c r="B1188" s="96"/>
      <c r="C1188" s="96"/>
      <c r="D1188" s="96"/>
      <c r="E1188" s="96"/>
      <c r="F1188" s="96"/>
      <c r="G1188" s="96"/>
      <c r="H1188" s="96"/>
      <c r="I1188" s="96"/>
    </row>
    <row r="1189" spans="1:9" x14ac:dyDescent="0.25">
      <c r="A1189" s="131"/>
      <c r="B1189" s="96"/>
      <c r="C1189" s="96"/>
      <c r="D1189" s="96"/>
      <c r="E1189" s="96"/>
      <c r="F1189" s="96"/>
      <c r="G1189" s="96"/>
      <c r="H1189" s="96"/>
      <c r="I1189" s="96"/>
    </row>
    <row r="1190" spans="1:9" x14ac:dyDescent="0.25">
      <c r="A1190" s="131"/>
      <c r="B1190" s="96"/>
      <c r="C1190" s="96"/>
      <c r="D1190" s="96"/>
      <c r="E1190" s="96"/>
      <c r="F1190" s="96"/>
      <c r="G1190" s="96"/>
      <c r="H1190" s="96"/>
      <c r="I1190" s="96"/>
    </row>
    <row r="1191" spans="1:9" x14ac:dyDescent="0.25">
      <c r="A1191" s="131"/>
      <c r="B1191" s="96"/>
      <c r="C1191" s="96"/>
      <c r="D1191" s="96"/>
      <c r="E1191" s="96"/>
      <c r="F1191" s="96"/>
      <c r="G1191" s="96"/>
      <c r="H1191" s="96"/>
      <c r="I1191" s="96"/>
    </row>
    <row r="1192" spans="1:9" x14ac:dyDescent="0.25">
      <c r="A1192" s="131"/>
      <c r="B1192" s="96"/>
      <c r="C1192" s="96"/>
      <c r="D1192" s="96"/>
      <c r="E1192" s="96"/>
      <c r="F1192" s="96"/>
      <c r="G1192" s="96"/>
      <c r="H1192" s="96"/>
      <c r="I1192" s="96"/>
    </row>
    <row r="1193" spans="1:9" x14ac:dyDescent="0.25">
      <c r="A1193" s="131"/>
      <c r="B1193" s="96"/>
      <c r="C1193" s="96"/>
      <c r="D1193" s="96"/>
      <c r="E1193" s="96"/>
      <c r="F1193" s="96"/>
      <c r="G1193" s="96"/>
      <c r="H1193" s="96"/>
      <c r="I1193" s="96"/>
    </row>
    <row r="1194" spans="1:9" x14ac:dyDescent="0.25">
      <c r="A1194" s="131"/>
      <c r="B1194" s="96"/>
      <c r="C1194" s="96"/>
      <c r="D1194" s="96"/>
      <c r="E1194" s="96"/>
      <c r="F1194" s="96"/>
      <c r="G1194" s="96"/>
      <c r="H1194" s="96"/>
      <c r="I1194" s="96"/>
    </row>
    <row r="1195" spans="1:9" x14ac:dyDescent="0.25">
      <c r="A1195" s="131"/>
      <c r="B1195" s="96"/>
      <c r="C1195" s="96"/>
      <c r="D1195" s="96"/>
      <c r="E1195" s="96"/>
      <c r="F1195" s="96"/>
      <c r="G1195" s="96"/>
      <c r="H1195" s="96"/>
      <c r="I1195" s="96"/>
    </row>
    <row r="1196" spans="1:9" x14ac:dyDescent="0.25">
      <c r="A1196" s="131"/>
      <c r="B1196" s="96"/>
      <c r="C1196" s="96"/>
      <c r="D1196" s="96"/>
      <c r="E1196" s="96"/>
      <c r="F1196" s="96"/>
      <c r="G1196" s="96"/>
      <c r="H1196" s="96"/>
      <c r="I1196" s="96"/>
    </row>
    <row r="1197" spans="1:9" x14ac:dyDescent="0.25">
      <c r="A1197" s="131"/>
      <c r="B1197" s="96"/>
      <c r="C1197" s="96"/>
      <c r="D1197" s="96"/>
      <c r="E1197" s="96"/>
      <c r="F1197" s="96"/>
      <c r="G1197" s="96"/>
      <c r="H1197" s="96"/>
      <c r="I1197" s="96"/>
    </row>
    <row r="1198" spans="1:9" x14ac:dyDescent="0.25">
      <c r="A1198" s="131"/>
      <c r="B1198" s="96"/>
      <c r="C1198" s="96"/>
      <c r="D1198" s="96"/>
      <c r="E1198" s="96"/>
      <c r="F1198" s="96"/>
      <c r="G1198" s="96"/>
      <c r="H1198" s="96"/>
      <c r="I1198" s="96"/>
    </row>
    <row r="1199" spans="1:9" x14ac:dyDescent="0.25">
      <c r="A1199" s="131"/>
      <c r="B1199" s="96"/>
      <c r="C1199" s="96"/>
      <c r="D1199" s="96"/>
      <c r="E1199" s="96"/>
      <c r="F1199" s="96"/>
      <c r="G1199" s="96"/>
      <c r="H1199" s="96"/>
      <c r="I1199" s="96"/>
    </row>
    <row r="1200" spans="1:9" x14ac:dyDescent="0.25">
      <c r="A1200" s="131"/>
      <c r="B1200" s="96"/>
      <c r="C1200" s="96"/>
      <c r="D1200" s="96"/>
      <c r="E1200" s="96"/>
      <c r="F1200" s="96"/>
      <c r="G1200" s="96"/>
      <c r="H1200" s="96"/>
      <c r="I1200" s="96"/>
    </row>
    <row r="1201" spans="1:9" x14ac:dyDescent="0.25">
      <c r="A1201" s="131"/>
      <c r="B1201" s="96"/>
      <c r="C1201" s="96"/>
      <c r="D1201" s="96"/>
      <c r="E1201" s="96"/>
      <c r="F1201" s="96"/>
      <c r="G1201" s="96"/>
      <c r="H1201" s="96"/>
      <c r="I1201" s="96"/>
    </row>
    <row r="1202" spans="1:9" x14ac:dyDescent="0.25">
      <c r="A1202" s="131"/>
      <c r="B1202" s="96"/>
      <c r="C1202" s="96"/>
      <c r="D1202" s="96"/>
      <c r="E1202" s="96"/>
      <c r="F1202" s="96"/>
      <c r="G1202" s="96"/>
      <c r="H1202" s="96"/>
      <c r="I1202" s="96"/>
    </row>
    <row r="1203" spans="1:9" x14ac:dyDescent="0.25">
      <c r="A1203" s="131"/>
      <c r="B1203" s="96"/>
      <c r="C1203" s="96"/>
      <c r="D1203" s="96"/>
      <c r="E1203" s="96"/>
      <c r="F1203" s="96"/>
      <c r="G1203" s="96"/>
      <c r="H1203" s="96"/>
      <c r="I1203" s="96"/>
    </row>
    <row r="1204" spans="1:9" x14ac:dyDescent="0.25">
      <c r="A1204" s="131"/>
      <c r="B1204" s="96"/>
      <c r="C1204" s="96"/>
      <c r="D1204" s="96"/>
      <c r="E1204" s="96"/>
      <c r="F1204" s="96"/>
      <c r="G1204" s="96"/>
      <c r="H1204" s="96"/>
      <c r="I1204" s="96"/>
    </row>
    <row r="1205" spans="1:9" x14ac:dyDescent="0.25">
      <c r="A1205" s="131"/>
      <c r="B1205" s="96"/>
      <c r="C1205" s="96"/>
      <c r="D1205" s="96"/>
      <c r="E1205" s="96"/>
      <c r="F1205" s="96"/>
      <c r="G1205" s="96"/>
      <c r="H1205" s="96"/>
      <c r="I1205" s="96"/>
    </row>
    <row r="1206" spans="1:9" x14ac:dyDescent="0.25">
      <c r="A1206" s="131"/>
      <c r="B1206" s="96"/>
      <c r="C1206" s="96"/>
      <c r="D1206" s="96"/>
      <c r="E1206" s="96"/>
      <c r="F1206" s="96"/>
      <c r="G1206" s="96"/>
      <c r="H1206" s="96"/>
      <c r="I1206" s="96"/>
    </row>
    <row r="1207" spans="1:9" x14ac:dyDescent="0.25">
      <c r="A1207" s="131"/>
      <c r="B1207" s="96"/>
      <c r="C1207" s="96"/>
      <c r="D1207" s="96"/>
      <c r="E1207" s="96"/>
      <c r="F1207" s="96"/>
      <c r="G1207" s="96"/>
      <c r="H1207" s="96"/>
      <c r="I1207" s="96"/>
    </row>
    <row r="1208" spans="1:9" x14ac:dyDescent="0.25">
      <c r="A1208" s="131"/>
      <c r="B1208" s="96"/>
      <c r="C1208" s="96"/>
      <c r="D1208" s="96"/>
      <c r="E1208" s="96"/>
      <c r="F1208" s="96"/>
      <c r="G1208" s="96"/>
      <c r="H1208" s="96"/>
      <c r="I1208" s="96"/>
    </row>
    <row r="1209" spans="1:9" x14ac:dyDescent="0.25">
      <c r="A1209" s="131"/>
      <c r="B1209" s="96"/>
      <c r="C1209" s="96"/>
      <c r="D1209" s="96"/>
      <c r="E1209" s="96"/>
      <c r="F1209" s="96"/>
      <c r="G1209" s="96"/>
      <c r="H1209" s="96"/>
      <c r="I1209" s="96"/>
    </row>
    <row r="1210" spans="1:9" x14ac:dyDescent="0.25">
      <c r="A1210" s="131"/>
      <c r="B1210" s="96"/>
      <c r="C1210" s="96"/>
      <c r="D1210" s="96"/>
      <c r="E1210" s="96"/>
      <c r="F1210" s="96"/>
      <c r="G1210" s="96"/>
      <c r="H1210" s="96"/>
      <c r="I1210" s="96"/>
    </row>
    <row r="1211" spans="1:9" x14ac:dyDescent="0.25">
      <c r="A1211" s="131"/>
      <c r="B1211" s="96"/>
      <c r="C1211" s="96"/>
      <c r="D1211" s="96"/>
      <c r="E1211" s="96"/>
      <c r="F1211" s="96"/>
      <c r="G1211" s="96"/>
      <c r="H1211" s="96"/>
      <c r="I1211" s="96"/>
    </row>
    <row r="1212" spans="1:9" x14ac:dyDescent="0.25">
      <c r="A1212" s="131"/>
      <c r="B1212" s="96"/>
      <c r="C1212" s="96"/>
      <c r="D1212" s="96"/>
      <c r="E1212" s="96"/>
      <c r="F1212" s="96"/>
      <c r="G1212" s="96"/>
      <c r="H1212" s="96"/>
      <c r="I1212" s="96"/>
    </row>
    <row r="1213" spans="1:9" x14ac:dyDescent="0.25">
      <c r="A1213" s="131"/>
      <c r="B1213" s="96"/>
      <c r="C1213" s="96"/>
      <c r="D1213" s="96"/>
      <c r="E1213" s="96"/>
      <c r="F1213" s="96"/>
      <c r="G1213" s="96"/>
      <c r="H1213" s="96"/>
      <c r="I1213" s="96"/>
    </row>
    <row r="1214" spans="1:9" x14ac:dyDescent="0.25">
      <c r="A1214" s="131"/>
      <c r="B1214" s="96"/>
      <c r="C1214" s="96"/>
      <c r="D1214" s="96"/>
      <c r="E1214" s="96"/>
      <c r="F1214" s="96"/>
      <c r="G1214" s="96"/>
      <c r="H1214" s="96"/>
      <c r="I1214" s="96"/>
    </row>
    <row r="1215" spans="1:9" x14ac:dyDescent="0.25">
      <c r="A1215" s="131"/>
      <c r="B1215" s="96"/>
      <c r="C1215" s="96"/>
      <c r="D1215" s="96"/>
      <c r="E1215" s="96"/>
      <c r="F1215" s="96"/>
      <c r="G1215" s="96"/>
      <c r="H1215" s="96"/>
      <c r="I1215" s="96"/>
    </row>
    <row r="1216" spans="1:9" x14ac:dyDescent="0.25">
      <c r="A1216" s="131"/>
      <c r="B1216" s="96"/>
      <c r="C1216" s="96"/>
      <c r="D1216" s="96"/>
      <c r="E1216" s="96"/>
      <c r="F1216" s="96"/>
      <c r="G1216" s="96"/>
      <c r="H1216" s="96"/>
      <c r="I1216" s="96"/>
    </row>
    <row r="1217" spans="1:9" x14ac:dyDescent="0.25">
      <c r="A1217" s="131"/>
      <c r="B1217" s="96"/>
      <c r="C1217" s="96"/>
      <c r="D1217" s="96"/>
      <c r="E1217" s="96"/>
      <c r="F1217" s="96"/>
      <c r="G1217" s="96"/>
      <c r="H1217" s="96"/>
      <c r="I1217" s="96"/>
    </row>
    <row r="1218" spans="1:9" x14ac:dyDescent="0.25">
      <c r="A1218" s="131"/>
      <c r="B1218" s="96"/>
      <c r="C1218" s="96"/>
      <c r="D1218" s="96"/>
      <c r="E1218" s="96"/>
      <c r="F1218" s="96"/>
      <c r="G1218" s="96"/>
      <c r="H1218" s="96"/>
      <c r="I1218" s="96"/>
    </row>
    <row r="1219" spans="1:9" x14ac:dyDescent="0.25">
      <c r="A1219" s="131"/>
      <c r="B1219" s="96"/>
      <c r="C1219" s="96"/>
      <c r="D1219" s="96"/>
      <c r="E1219" s="96"/>
      <c r="F1219" s="96"/>
      <c r="G1219" s="96"/>
      <c r="H1219" s="96"/>
      <c r="I1219" s="96"/>
    </row>
    <row r="1220" spans="1:9" x14ac:dyDescent="0.25">
      <c r="A1220" s="131"/>
      <c r="B1220" s="96"/>
      <c r="C1220" s="96"/>
      <c r="D1220" s="96"/>
      <c r="E1220" s="96"/>
      <c r="F1220" s="96"/>
      <c r="G1220" s="96"/>
      <c r="H1220" s="96"/>
      <c r="I1220" s="96"/>
    </row>
    <row r="1221" spans="1:9" x14ac:dyDescent="0.25">
      <c r="A1221" s="131"/>
      <c r="B1221" s="96"/>
      <c r="C1221" s="96"/>
      <c r="D1221" s="96"/>
      <c r="E1221" s="96"/>
      <c r="F1221" s="96"/>
      <c r="G1221" s="96"/>
      <c r="H1221" s="96"/>
      <c r="I1221" s="96"/>
    </row>
    <row r="1222" spans="1:9" x14ac:dyDescent="0.25">
      <c r="A1222" s="131"/>
      <c r="B1222" s="96"/>
      <c r="C1222" s="96"/>
      <c r="D1222" s="96"/>
      <c r="E1222" s="96"/>
      <c r="F1222" s="96"/>
      <c r="G1222" s="96"/>
      <c r="H1222" s="96"/>
      <c r="I1222" s="96"/>
    </row>
    <row r="1223" spans="1:9" x14ac:dyDescent="0.25">
      <c r="A1223" s="131"/>
      <c r="B1223" s="96"/>
      <c r="C1223" s="96"/>
      <c r="D1223" s="96"/>
      <c r="E1223" s="96"/>
      <c r="F1223" s="96"/>
      <c r="G1223" s="96"/>
      <c r="H1223" s="96"/>
      <c r="I1223" s="96"/>
    </row>
    <row r="1224" spans="1:9" x14ac:dyDescent="0.25">
      <c r="A1224" s="131"/>
      <c r="B1224" s="96"/>
      <c r="C1224" s="96"/>
      <c r="D1224" s="96"/>
      <c r="E1224" s="96"/>
      <c r="F1224" s="96"/>
      <c r="G1224" s="96"/>
      <c r="H1224" s="96"/>
      <c r="I1224" s="96"/>
    </row>
    <row r="1225" spans="1:9" x14ac:dyDescent="0.25">
      <c r="A1225" s="131"/>
      <c r="B1225" s="96"/>
      <c r="C1225" s="96"/>
      <c r="D1225" s="96"/>
      <c r="E1225" s="96"/>
      <c r="F1225" s="96"/>
      <c r="G1225" s="96"/>
      <c r="H1225" s="96"/>
      <c r="I1225" s="96"/>
    </row>
    <row r="1226" spans="1:9" x14ac:dyDescent="0.25">
      <c r="A1226" s="131"/>
      <c r="B1226" s="96"/>
      <c r="C1226" s="96"/>
      <c r="D1226" s="96"/>
      <c r="E1226" s="96"/>
      <c r="F1226" s="96"/>
      <c r="G1226" s="96"/>
      <c r="H1226" s="96"/>
      <c r="I1226" s="96"/>
    </row>
    <row r="1227" spans="1:9" x14ac:dyDescent="0.25">
      <c r="A1227" s="131"/>
      <c r="B1227" s="96"/>
      <c r="C1227" s="96"/>
      <c r="D1227" s="96"/>
      <c r="E1227" s="96"/>
      <c r="F1227" s="96"/>
      <c r="G1227" s="96"/>
      <c r="H1227" s="96"/>
      <c r="I1227" s="96"/>
    </row>
    <row r="1228" spans="1:9" x14ac:dyDescent="0.25">
      <c r="A1228" s="131"/>
      <c r="B1228" s="96"/>
      <c r="C1228" s="96"/>
      <c r="D1228" s="96"/>
      <c r="E1228" s="96"/>
      <c r="F1228" s="96"/>
      <c r="G1228" s="96"/>
      <c r="H1228" s="96"/>
      <c r="I1228" s="96"/>
    </row>
    <row r="1229" spans="1:9" x14ac:dyDescent="0.25">
      <c r="A1229" s="131"/>
      <c r="B1229" s="96"/>
      <c r="C1229" s="96"/>
      <c r="D1229" s="96"/>
      <c r="E1229" s="96"/>
      <c r="F1229" s="96"/>
      <c r="G1229" s="96"/>
      <c r="H1229" s="96"/>
      <c r="I1229" s="96"/>
    </row>
    <row r="1230" spans="1:9" x14ac:dyDescent="0.25">
      <c r="A1230" s="131"/>
      <c r="B1230" s="96"/>
      <c r="C1230" s="96"/>
      <c r="D1230" s="96"/>
      <c r="E1230" s="96"/>
      <c r="F1230" s="96"/>
      <c r="G1230" s="96"/>
      <c r="H1230" s="96"/>
      <c r="I1230" s="96"/>
    </row>
    <row r="1231" spans="1:9" x14ac:dyDescent="0.25">
      <c r="A1231" s="131"/>
      <c r="B1231" s="96"/>
      <c r="C1231" s="96"/>
      <c r="D1231" s="96"/>
      <c r="E1231" s="96"/>
      <c r="F1231" s="96"/>
      <c r="G1231" s="96"/>
      <c r="H1231" s="96"/>
      <c r="I1231" s="96"/>
    </row>
    <row r="1232" spans="1:9" x14ac:dyDescent="0.25">
      <c r="A1232" s="131"/>
      <c r="B1232" s="96"/>
      <c r="C1232" s="96"/>
      <c r="D1232" s="96"/>
      <c r="E1232" s="96"/>
      <c r="F1232" s="96"/>
      <c r="G1232" s="96"/>
      <c r="H1232" s="96"/>
      <c r="I1232" s="96"/>
    </row>
    <row r="1233" spans="1:9" x14ac:dyDescent="0.25">
      <c r="A1233" s="131"/>
      <c r="B1233" s="96"/>
      <c r="C1233" s="96"/>
      <c r="D1233" s="96"/>
      <c r="E1233" s="96"/>
      <c r="F1233" s="96"/>
      <c r="G1233" s="96"/>
      <c r="H1233" s="96"/>
      <c r="I1233" s="96"/>
    </row>
    <row r="1234" spans="1:9" x14ac:dyDescent="0.25">
      <c r="A1234" s="131"/>
      <c r="B1234" s="96"/>
      <c r="C1234" s="96"/>
      <c r="D1234" s="96"/>
      <c r="E1234" s="96"/>
      <c r="F1234" s="96"/>
      <c r="G1234" s="96"/>
      <c r="H1234" s="96"/>
      <c r="I1234" s="96"/>
    </row>
    <row r="1235" spans="1:9" x14ac:dyDescent="0.25">
      <c r="A1235" s="131"/>
      <c r="B1235" s="96"/>
      <c r="C1235" s="96"/>
      <c r="D1235" s="96"/>
      <c r="E1235" s="96"/>
      <c r="F1235" s="96"/>
      <c r="G1235" s="96"/>
      <c r="H1235" s="96"/>
      <c r="I1235" s="96"/>
    </row>
    <row r="1236" spans="1:9" x14ac:dyDescent="0.25">
      <c r="A1236" s="131"/>
      <c r="B1236" s="96"/>
      <c r="C1236" s="96"/>
      <c r="D1236" s="96"/>
      <c r="E1236" s="96"/>
      <c r="F1236" s="96"/>
      <c r="G1236" s="96"/>
      <c r="H1236" s="96"/>
      <c r="I1236" s="96"/>
    </row>
    <row r="1237" spans="1:9" x14ac:dyDescent="0.25">
      <c r="A1237" s="131"/>
      <c r="B1237" s="96"/>
      <c r="C1237" s="96"/>
      <c r="D1237" s="96"/>
      <c r="E1237" s="96"/>
      <c r="F1237" s="96"/>
      <c r="G1237" s="96"/>
      <c r="H1237" s="96"/>
      <c r="I1237" s="96"/>
    </row>
    <row r="1238" spans="1:9" x14ac:dyDescent="0.25">
      <c r="A1238" s="131"/>
      <c r="B1238" s="96"/>
      <c r="C1238" s="96"/>
      <c r="D1238" s="96"/>
      <c r="E1238" s="96"/>
      <c r="F1238" s="96"/>
      <c r="G1238" s="96"/>
      <c r="H1238" s="96"/>
      <c r="I1238" s="96"/>
    </row>
    <row r="1239" spans="1:9" x14ac:dyDescent="0.25">
      <c r="A1239" s="131"/>
      <c r="B1239" s="96"/>
      <c r="C1239" s="96"/>
      <c r="D1239" s="96"/>
      <c r="E1239" s="96"/>
      <c r="F1239" s="96"/>
      <c r="G1239" s="96"/>
      <c r="H1239" s="96"/>
      <c r="I1239" s="96"/>
    </row>
    <row r="1240" spans="1:9" x14ac:dyDescent="0.25">
      <c r="A1240" s="131"/>
      <c r="B1240" s="96"/>
      <c r="C1240" s="96"/>
      <c r="D1240" s="96"/>
      <c r="E1240" s="96"/>
      <c r="F1240" s="96"/>
      <c r="G1240" s="96"/>
      <c r="H1240" s="96"/>
      <c r="I1240" s="96"/>
    </row>
    <row r="1241" spans="1:9" x14ac:dyDescent="0.25">
      <c r="A1241" s="131"/>
      <c r="B1241" s="96"/>
      <c r="C1241" s="96"/>
      <c r="D1241" s="96"/>
      <c r="E1241" s="96"/>
      <c r="F1241" s="96"/>
      <c r="G1241" s="96"/>
      <c r="H1241" s="96"/>
      <c r="I1241" s="96"/>
    </row>
    <row r="1242" spans="1:9" x14ac:dyDescent="0.25">
      <c r="A1242" s="131"/>
      <c r="B1242" s="96"/>
      <c r="C1242" s="96"/>
      <c r="D1242" s="96"/>
      <c r="E1242" s="96"/>
      <c r="F1242" s="96"/>
      <c r="G1242" s="96"/>
      <c r="H1242" s="96"/>
      <c r="I1242" s="96"/>
    </row>
    <row r="1243" spans="1:9" x14ac:dyDescent="0.25">
      <c r="A1243" s="131"/>
      <c r="B1243" s="96"/>
      <c r="C1243" s="96"/>
      <c r="D1243" s="96"/>
      <c r="E1243" s="96"/>
      <c r="F1243" s="96"/>
      <c r="G1243" s="96"/>
      <c r="H1243" s="96"/>
      <c r="I1243" s="96"/>
    </row>
    <row r="1244" spans="1:9" x14ac:dyDescent="0.25">
      <c r="A1244" s="131"/>
      <c r="B1244" s="96"/>
      <c r="C1244" s="96"/>
      <c r="D1244" s="96"/>
      <c r="E1244" s="96"/>
      <c r="F1244" s="96"/>
      <c r="G1244" s="96"/>
      <c r="H1244" s="96"/>
      <c r="I1244" s="96"/>
    </row>
    <row r="1245" spans="1:9" x14ac:dyDescent="0.25">
      <c r="A1245" s="131"/>
      <c r="B1245" s="96"/>
      <c r="C1245" s="96"/>
      <c r="D1245" s="96"/>
      <c r="E1245" s="96"/>
      <c r="F1245" s="96"/>
      <c r="G1245" s="96"/>
      <c r="H1245" s="96"/>
      <c r="I1245" s="96"/>
    </row>
    <row r="1246" spans="1:9" x14ac:dyDescent="0.25">
      <c r="A1246" s="131"/>
      <c r="B1246" s="96"/>
      <c r="C1246" s="96"/>
      <c r="D1246" s="96"/>
      <c r="E1246" s="96"/>
      <c r="F1246" s="96"/>
      <c r="G1246" s="96"/>
      <c r="H1246" s="96"/>
      <c r="I1246" s="96"/>
    </row>
    <row r="1247" spans="1:9" x14ac:dyDescent="0.25">
      <c r="A1247" s="131"/>
      <c r="B1247" s="96"/>
      <c r="C1247" s="96"/>
      <c r="D1247" s="96"/>
      <c r="E1247" s="96"/>
      <c r="F1247" s="96"/>
      <c r="G1247" s="96"/>
      <c r="H1247" s="96"/>
      <c r="I1247" s="96"/>
    </row>
    <row r="1248" spans="1:9" x14ac:dyDescent="0.25">
      <c r="A1248" s="131"/>
      <c r="B1248" s="96"/>
      <c r="C1248" s="96"/>
      <c r="D1248" s="96"/>
      <c r="E1248" s="96"/>
      <c r="F1248" s="96"/>
      <c r="G1248" s="96"/>
      <c r="H1248" s="96"/>
      <c r="I1248" s="96"/>
    </row>
    <row r="1249" spans="1:9" x14ac:dyDescent="0.25">
      <c r="A1249" s="131"/>
      <c r="B1249" s="96"/>
      <c r="C1249" s="96"/>
      <c r="D1249" s="96"/>
      <c r="E1249" s="96"/>
      <c r="F1249" s="96"/>
      <c r="G1249" s="96"/>
      <c r="H1249" s="96"/>
      <c r="I1249" s="96"/>
    </row>
    <row r="1250" spans="1:9" x14ac:dyDescent="0.25">
      <c r="A1250" s="131"/>
      <c r="B1250" s="96"/>
      <c r="C1250" s="96"/>
      <c r="D1250" s="96"/>
      <c r="E1250" s="96"/>
      <c r="F1250" s="96"/>
      <c r="G1250" s="96"/>
      <c r="H1250" s="96"/>
      <c r="I1250" s="96"/>
    </row>
    <row r="1251" spans="1:9" x14ac:dyDescent="0.25">
      <c r="A1251" s="131"/>
      <c r="B1251" s="96"/>
      <c r="C1251" s="96"/>
      <c r="D1251" s="96"/>
      <c r="E1251" s="96"/>
      <c r="F1251" s="96"/>
      <c r="G1251" s="96"/>
      <c r="H1251" s="96"/>
      <c r="I1251" s="96"/>
    </row>
    <row r="1252" spans="1:9" x14ac:dyDescent="0.25">
      <c r="A1252" s="131"/>
      <c r="B1252" s="96"/>
      <c r="C1252" s="96"/>
      <c r="D1252" s="96"/>
      <c r="E1252" s="96"/>
      <c r="F1252" s="96"/>
      <c r="G1252" s="96"/>
      <c r="H1252" s="96"/>
      <c r="I1252" s="96"/>
    </row>
    <row r="1253" spans="1:9" x14ac:dyDescent="0.25">
      <c r="A1253" s="131"/>
      <c r="B1253" s="96"/>
      <c r="C1253" s="96"/>
      <c r="D1253" s="96"/>
      <c r="E1253" s="96"/>
      <c r="F1253" s="96"/>
      <c r="G1253" s="96"/>
      <c r="H1253" s="96"/>
      <c r="I1253" s="96"/>
    </row>
    <row r="1254" spans="1:9" x14ac:dyDescent="0.25">
      <c r="A1254" s="131"/>
      <c r="B1254" s="96"/>
      <c r="C1254" s="96"/>
      <c r="D1254" s="96"/>
      <c r="E1254" s="96"/>
      <c r="F1254" s="96"/>
      <c r="G1254" s="96"/>
      <c r="H1254" s="96"/>
      <c r="I1254" s="96"/>
    </row>
    <row r="1255" spans="1:9" x14ac:dyDescent="0.25">
      <c r="A1255" s="131"/>
      <c r="B1255" s="96"/>
      <c r="C1255" s="96"/>
      <c r="D1255" s="96"/>
      <c r="E1255" s="96"/>
      <c r="F1255" s="96"/>
      <c r="G1255" s="96"/>
      <c r="H1255" s="96"/>
      <c r="I1255" s="96"/>
    </row>
    <row r="1256" spans="1:9" x14ac:dyDescent="0.25">
      <c r="A1256" s="131"/>
      <c r="B1256" s="96"/>
      <c r="C1256" s="96"/>
      <c r="D1256" s="96"/>
      <c r="E1256" s="96"/>
      <c r="F1256" s="96"/>
      <c r="G1256" s="96"/>
      <c r="H1256" s="96"/>
      <c r="I1256" s="96"/>
    </row>
    <row r="1257" spans="1:9" x14ac:dyDescent="0.25">
      <c r="A1257" s="131"/>
      <c r="B1257" s="96"/>
      <c r="C1257" s="96"/>
      <c r="D1257" s="96"/>
      <c r="E1257" s="96"/>
      <c r="F1257" s="96"/>
      <c r="G1257" s="96"/>
      <c r="H1257" s="96"/>
      <c r="I1257" s="96"/>
    </row>
    <row r="1258" spans="1:9" x14ac:dyDescent="0.25">
      <c r="A1258" s="131"/>
      <c r="B1258" s="96"/>
      <c r="C1258" s="96"/>
      <c r="D1258" s="96"/>
      <c r="E1258" s="96"/>
      <c r="F1258" s="96"/>
      <c r="G1258" s="96"/>
      <c r="H1258" s="96"/>
      <c r="I1258" s="96"/>
    </row>
    <row r="1259" spans="1:9" x14ac:dyDescent="0.25">
      <c r="A1259" s="131"/>
      <c r="B1259" s="96"/>
      <c r="C1259" s="96"/>
      <c r="D1259" s="96"/>
      <c r="E1259" s="96"/>
      <c r="F1259" s="96"/>
      <c r="G1259" s="96"/>
      <c r="H1259" s="96"/>
      <c r="I1259" s="96"/>
    </row>
    <row r="1260" spans="1:9" x14ac:dyDescent="0.25">
      <c r="A1260" s="131"/>
      <c r="B1260" s="96"/>
      <c r="C1260" s="96"/>
      <c r="D1260" s="96"/>
      <c r="E1260" s="96"/>
      <c r="F1260" s="96"/>
      <c r="G1260" s="96"/>
      <c r="H1260" s="96"/>
      <c r="I1260" s="96"/>
    </row>
    <row r="1261" spans="1:9" x14ac:dyDescent="0.25">
      <c r="A1261" s="131"/>
      <c r="B1261" s="96"/>
      <c r="C1261" s="96"/>
      <c r="D1261" s="96"/>
      <c r="E1261" s="96"/>
      <c r="F1261" s="96"/>
      <c r="G1261" s="96"/>
      <c r="H1261" s="96"/>
      <c r="I1261" s="96"/>
    </row>
    <row r="1262" spans="1:9" x14ac:dyDescent="0.25">
      <c r="A1262" s="131"/>
      <c r="B1262" s="96"/>
      <c r="C1262" s="96"/>
      <c r="D1262" s="96"/>
      <c r="E1262" s="96"/>
      <c r="F1262" s="96"/>
      <c r="G1262" s="96"/>
      <c r="H1262" s="96"/>
      <c r="I1262" s="96"/>
    </row>
    <row r="1263" spans="1:9" x14ac:dyDescent="0.25">
      <c r="A1263" s="131"/>
      <c r="B1263" s="96"/>
      <c r="C1263" s="96"/>
      <c r="D1263" s="96"/>
      <c r="E1263" s="96"/>
      <c r="F1263" s="96"/>
      <c r="G1263" s="96"/>
      <c r="H1263" s="96"/>
      <c r="I1263" s="96"/>
    </row>
    <row r="1264" spans="1:9" x14ac:dyDescent="0.25">
      <c r="A1264" s="131"/>
      <c r="B1264" s="96"/>
      <c r="C1264" s="96"/>
      <c r="D1264" s="96"/>
      <c r="E1264" s="96"/>
      <c r="F1264" s="96"/>
      <c r="G1264" s="96"/>
      <c r="H1264" s="96"/>
      <c r="I1264" s="96"/>
    </row>
    <row r="1265" spans="1:9" x14ac:dyDescent="0.25">
      <c r="A1265" s="131"/>
      <c r="B1265" s="96"/>
      <c r="C1265" s="96"/>
      <c r="D1265" s="96"/>
      <c r="E1265" s="96"/>
      <c r="F1265" s="96"/>
      <c r="G1265" s="96"/>
      <c r="H1265" s="96"/>
      <c r="I1265" s="96"/>
    </row>
    <row r="1266" spans="1:9" x14ac:dyDescent="0.25">
      <c r="A1266" s="131"/>
      <c r="B1266" s="96"/>
      <c r="C1266" s="96"/>
      <c r="D1266" s="96"/>
      <c r="E1266" s="96"/>
      <c r="F1266" s="96"/>
      <c r="G1266" s="96"/>
      <c r="H1266" s="96"/>
      <c r="I1266" s="96"/>
    </row>
    <row r="1267" spans="1:9" x14ac:dyDescent="0.25">
      <c r="A1267" s="131"/>
      <c r="B1267" s="96"/>
      <c r="C1267" s="96"/>
      <c r="D1267" s="96"/>
      <c r="E1267" s="96"/>
      <c r="F1267" s="96"/>
      <c r="G1267" s="96"/>
      <c r="H1267" s="96"/>
      <c r="I1267" s="96"/>
    </row>
    <row r="1268" spans="1:9" x14ac:dyDescent="0.25">
      <c r="A1268" s="131"/>
      <c r="B1268" s="96"/>
      <c r="C1268" s="96"/>
      <c r="D1268" s="96"/>
      <c r="E1268" s="96"/>
      <c r="F1268" s="96"/>
      <c r="G1268" s="96"/>
      <c r="H1268" s="96"/>
      <c r="I1268" s="96"/>
    </row>
    <row r="1269" spans="1:9" x14ac:dyDescent="0.25">
      <c r="A1269" s="131"/>
      <c r="B1269" s="96"/>
      <c r="C1269" s="96"/>
      <c r="D1269" s="96"/>
      <c r="E1269" s="96"/>
      <c r="F1269" s="96"/>
      <c r="G1269" s="96"/>
      <c r="H1269" s="96"/>
      <c r="I1269" s="96"/>
    </row>
    <row r="1270" spans="1:9" x14ac:dyDescent="0.25">
      <c r="A1270" s="131"/>
      <c r="B1270" s="96"/>
      <c r="C1270" s="96"/>
      <c r="D1270" s="96"/>
      <c r="E1270" s="96"/>
      <c r="F1270" s="96"/>
      <c r="G1270" s="96"/>
      <c r="H1270" s="96"/>
      <c r="I1270" s="96"/>
    </row>
    <row r="1271" spans="1:9" x14ac:dyDescent="0.25">
      <c r="A1271" s="131"/>
      <c r="B1271" s="96"/>
      <c r="C1271" s="96"/>
      <c r="D1271" s="96"/>
      <c r="E1271" s="96"/>
      <c r="F1271" s="96"/>
      <c r="G1271" s="96"/>
      <c r="H1271" s="96"/>
      <c r="I1271" s="96"/>
    </row>
    <row r="1272" spans="1:9" x14ac:dyDescent="0.25">
      <c r="A1272" s="131"/>
      <c r="B1272" s="96"/>
      <c r="C1272" s="96"/>
      <c r="D1272" s="96"/>
      <c r="E1272" s="96"/>
      <c r="F1272" s="96"/>
      <c r="G1272" s="96"/>
      <c r="H1272" s="96"/>
      <c r="I1272" s="96"/>
    </row>
    <row r="1273" spans="1:9" x14ac:dyDescent="0.25">
      <c r="A1273" s="131"/>
      <c r="B1273" s="96"/>
      <c r="C1273" s="96"/>
      <c r="D1273" s="96"/>
      <c r="E1273" s="96"/>
      <c r="F1273" s="96"/>
      <c r="G1273" s="96"/>
      <c r="H1273" s="96"/>
      <c r="I1273" s="96"/>
    </row>
    <row r="1274" spans="1:9" x14ac:dyDescent="0.25">
      <c r="A1274" s="131"/>
      <c r="B1274" s="96"/>
      <c r="C1274" s="96"/>
      <c r="D1274" s="96"/>
      <c r="E1274" s="96"/>
      <c r="F1274" s="96"/>
      <c r="G1274" s="96"/>
      <c r="H1274" s="96"/>
      <c r="I1274" s="96"/>
    </row>
    <row r="1275" spans="1:9" x14ac:dyDescent="0.25">
      <c r="A1275" s="131"/>
      <c r="B1275" s="96"/>
      <c r="C1275" s="96"/>
      <c r="D1275" s="96"/>
      <c r="E1275" s="96"/>
      <c r="F1275" s="96"/>
      <c r="G1275" s="96"/>
      <c r="H1275" s="96"/>
      <c r="I1275" s="96"/>
    </row>
    <row r="1276" spans="1:9" x14ac:dyDescent="0.25">
      <c r="A1276" s="131"/>
      <c r="B1276" s="96"/>
      <c r="C1276" s="96"/>
      <c r="D1276" s="96"/>
      <c r="E1276" s="96"/>
      <c r="F1276" s="96"/>
      <c r="G1276" s="96"/>
      <c r="H1276" s="96"/>
      <c r="I1276" s="96"/>
    </row>
    <row r="1277" spans="1:9" x14ac:dyDescent="0.25">
      <c r="A1277" s="131"/>
      <c r="B1277" s="96"/>
      <c r="C1277" s="96"/>
      <c r="D1277" s="96"/>
      <c r="E1277" s="96"/>
      <c r="F1277" s="96"/>
      <c r="G1277" s="96"/>
      <c r="H1277" s="96"/>
      <c r="I1277" s="96"/>
    </row>
    <row r="1278" spans="1:9" x14ac:dyDescent="0.25">
      <c r="A1278" s="131"/>
      <c r="B1278" s="96"/>
      <c r="C1278" s="96"/>
      <c r="D1278" s="96"/>
      <c r="E1278" s="96"/>
      <c r="F1278" s="96"/>
      <c r="G1278" s="96"/>
      <c r="H1278" s="96"/>
      <c r="I1278" s="96"/>
    </row>
    <row r="1279" spans="1:9" x14ac:dyDescent="0.25">
      <c r="A1279" s="131"/>
      <c r="B1279" s="96"/>
      <c r="C1279" s="96"/>
      <c r="D1279" s="96"/>
      <c r="E1279" s="96"/>
      <c r="F1279" s="96"/>
      <c r="G1279" s="96"/>
      <c r="H1279" s="96"/>
      <c r="I1279" s="96"/>
    </row>
    <row r="1280" spans="1:9" x14ac:dyDescent="0.25">
      <c r="A1280" s="131"/>
      <c r="B1280" s="96"/>
      <c r="C1280" s="96"/>
      <c r="D1280" s="96"/>
      <c r="E1280" s="96"/>
      <c r="F1280" s="96"/>
      <c r="G1280" s="96"/>
      <c r="H1280" s="96"/>
      <c r="I1280" s="96"/>
    </row>
    <row r="1281" spans="1:9" x14ac:dyDescent="0.25">
      <c r="A1281" s="131"/>
      <c r="B1281" s="96"/>
      <c r="C1281" s="96"/>
      <c r="D1281" s="96"/>
      <c r="E1281" s="96"/>
      <c r="F1281" s="96"/>
      <c r="G1281" s="96"/>
      <c r="H1281" s="96"/>
      <c r="I1281" s="96"/>
    </row>
    <row r="1282" spans="1:9" x14ac:dyDescent="0.25">
      <c r="A1282" s="131"/>
      <c r="B1282" s="96"/>
      <c r="C1282" s="96"/>
      <c r="D1282" s="96"/>
      <c r="E1282" s="96"/>
      <c r="F1282" s="96"/>
      <c r="G1282" s="96"/>
      <c r="H1282" s="96"/>
      <c r="I1282" s="96"/>
    </row>
    <row r="1283" spans="1:9" x14ac:dyDescent="0.25">
      <c r="A1283" s="131"/>
      <c r="B1283" s="96"/>
      <c r="C1283" s="96"/>
      <c r="D1283" s="96"/>
      <c r="E1283" s="96"/>
      <c r="F1283" s="96"/>
      <c r="G1283" s="96"/>
      <c r="H1283" s="96"/>
      <c r="I1283" s="96"/>
    </row>
    <row r="1284" spans="1:9" x14ac:dyDescent="0.25">
      <c r="A1284" s="131"/>
      <c r="B1284" s="96"/>
      <c r="C1284" s="96"/>
      <c r="D1284" s="96"/>
      <c r="E1284" s="96"/>
      <c r="F1284" s="96"/>
      <c r="G1284" s="96"/>
      <c r="H1284" s="96"/>
      <c r="I1284" s="96"/>
    </row>
    <row r="1285" spans="1:9" x14ac:dyDescent="0.25">
      <c r="A1285" s="131"/>
      <c r="B1285" s="96"/>
      <c r="C1285" s="96"/>
      <c r="D1285" s="96"/>
      <c r="E1285" s="96"/>
      <c r="F1285" s="96"/>
      <c r="G1285" s="96"/>
      <c r="H1285" s="96"/>
      <c r="I1285" s="96"/>
    </row>
    <row r="1286" spans="1:9" x14ac:dyDescent="0.25">
      <c r="A1286" s="131"/>
      <c r="B1286" s="96"/>
      <c r="C1286" s="96"/>
      <c r="D1286" s="96"/>
      <c r="E1286" s="96"/>
      <c r="F1286" s="96"/>
      <c r="G1286" s="96"/>
      <c r="H1286" s="96"/>
      <c r="I1286" s="96"/>
    </row>
    <row r="1287" spans="1:9" x14ac:dyDescent="0.25">
      <c r="A1287" s="131"/>
      <c r="B1287" s="96"/>
      <c r="C1287" s="96"/>
      <c r="D1287" s="96"/>
      <c r="E1287" s="96"/>
      <c r="F1287" s="96"/>
      <c r="G1287" s="96"/>
      <c r="H1287" s="96"/>
      <c r="I1287" s="96"/>
    </row>
    <row r="1288" spans="1:9" x14ac:dyDescent="0.25">
      <c r="A1288" s="131"/>
      <c r="B1288" s="96"/>
      <c r="C1288" s="96"/>
      <c r="D1288" s="96"/>
      <c r="E1288" s="96"/>
      <c r="F1288" s="96"/>
      <c r="G1288" s="96"/>
      <c r="H1288" s="96"/>
      <c r="I1288" s="96"/>
    </row>
    <row r="1289" spans="1:9" x14ac:dyDescent="0.25">
      <c r="A1289" s="131"/>
      <c r="B1289" s="96"/>
      <c r="C1289" s="96"/>
      <c r="D1289" s="96"/>
      <c r="E1289" s="96"/>
      <c r="F1289" s="96"/>
      <c r="G1289" s="96"/>
      <c r="H1289" s="96"/>
      <c r="I1289" s="96"/>
    </row>
    <row r="1290" spans="1:9" x14ac:dyDescent="0.25">
      <c r="A1290" s="131"/>
      <c r="B1290" s="96"/>
      <c r="C1290" s="96"/>
      <c r="D1290" s="96"/>
      <c r="E1290" s="96"/>
      <c r="F1290" s="96"/>
      <c r="G1290" s="96"/>
      <c r="H1290" s="96"/>
      <c r="I1290" s="96"/>
    </row>
    <row r="1291" spans="1:9" x14ac:dyDescent="0.25">
      <c r="A1291" s="131"/>
      <c r="B1291" s="96"/>
      <c r="C1291" s="96"/>
      <c r="D1291" s="96"/>
      <c r="E1291" s="96"/>
      <c r="F1291" s="96"/>
      <c r="G1291" s="96"/>
      <c r="H1291" s="96"/>
      <c r="I1291" s="96"/>
    </row>
    <row r="1292" spans="1:9" x14ac:dyDescent="0.25">
      <c r="A1292" s="131"/>
      <c r="B1292" s="96"/>
      <c r="C1292" s="96"/>
      <c r="D1292" s="96"/>
      <c r="E1292" s="96"/>
      <c r="F1292" s="96"/>
      <c r="G1292" s="96"/>
      <c r="H1292" s="96"/>
      <c r="I1292" s="96"/>
    </row>
    <row r="1293" spans="1:9" x14ac:dyDescent="0.25">
      <c r="A1293" s="131"/>
      <c r="B1293" s="96"/>
      <c r="C1293" s="96"/>
      <c r="D1293" s="96"/>
      <c r="E1293" s="96"/>
      <c r="F1293" s="96"/>
      <c r="G1293" s="96"/>
      <c r="H1293" s="96"/>
      <c r="I1293" s="96"/>
    </row>
    <row r="1294" spans="1:9" x14ac:dyDescent="0.25">
      <c r="A1294" s="131"/>
      <c r="B1294" s="96"/>
      <c r="C1294" s="96"/>
      <c r="D1294" s="96"/>
      <c r="E1294" s="96"/>
      <c r="F1294" s="96"/>
      <c r="G1294" s="96"/>
      <c r="H1294" s="96"/>
      <c r="I1294" s="96"/>
    </row>
    <row r="1295" spans="1:9" x14ac:dyDescent="0.25">
      <c r="A1295" s="131"/>
      <c r="B1295" s="96"/>
      <c r="C1295" s="96"/>
      <c r="D1295" s="96"/>
      <c r="E1295" s="96"/>
      <c r="F1295" s="96"/>
      <c r="G1295" s="96"/>
      <c r="H1295" s="96"/>
      <c r="I1295" s="96"/>
    </row>
    <row r="1296" spans="1:9" x14ac:dyDescent="0.25">
      <c r="A1296" s="131"/>
      <c r="B1296" s="96"/>
      <c r="C1296" s="96"/>
      <c r="D1296" s="96"/>
      <c r="E1296" s="96"/>
      <c r="F1296" s="96"/>
      <c r="G1296" s="96"/>
      <c r="H1296" s="96"/>
      <c r="I1296" s="96"/>
    </row>
    <row r="1297" spans="1:9" x14ac:dyDescent="0.25">
      <c r="A1297" s="131"/>
      <c r="B1297" s="96"/>
      <c r="C1297" s="96"/>
      <c r="D1297" s="96"/>
      <c r="E1297" s="96"/>
      <c r="F1297" s="96"/>
      <c r="G1297" s="96"/>
      <c r="H1297" s="96"/>
      <c r="I1297" s="96"/>
    </row>
    <row r="1298" spans="1:9" x14ac:dyDescent="0.25">
      <c r="A1298" s="131"/>
      <c r="B1298" s="96"/>
      <c r="C1298" s="96"/>
      <c r="D1298" s="96"/>
      <c r="E1298" s="96"/>
      <c r="F1298" s="96"/>
      <c r="G1298" s="96"/>
      <c r="H1298" s="96"/>
      <c r="I1298" s="96"/>
    </row>
    <row r="1299" spans="1:9" x14ac:dyDescent="0.25">
      <c r="A1299" s="131"/>
      <c r="B1299" s="96"/>
      <c r="C1299" s="96"/>
      <c r="D1299" s="96"/>
      <c r="E1299" s="96"/>
      <c r="F1299" s="96"/>
      <c r="G1299" s="96"/>
      <c r="H1299" s="96"/>
      <c r="I1299" s="96"/>
    </row>
    <row r="1300" spans="1:9" x14ac:dyDescent="0.25">
      <c r="A1300" s="131"/>
      <c r="B1300" s="96"/>
      <c r="C1300" s="96"/>
      <c r="D1300" s="96"/>
      <c r="E1300" s="96"/>
      <c r="F1300" s="96"/>
      <c r="G1300" s="96"/>
      <c r="H1300" s="96"/>
      <c r="I1300" s="96"/>
    </row>
    <row r="1301" spans="1:9" x14ac:dyDescent="0.25">
      <c r="A1301" s="131"/>
      <c r="B1301" s="96"/>
      <c r="C1301" s="96"/>
      <c r="D1301" s="96"/>
      <c r="E1301" s="96"/>
      <c r="F1301" s="96"/>
      <c r="G1301" s="96"/>
      <c r="H1301" s="96"/>
      <c r="I1301" s="96"/>
    </row>
    <row r="1302" spans="1:9" x14ac:dyDescent="0.25">
      <c r="A1302" s="131"/>
      <c r="B1302" s="96"/>
      <c r="C1302" s="96"/>
      <c r="D1302" s="96"/>
      <c r="E1302" s="96"/>
      <c r="F1302" s="96"/>
      <c r="G1302" s="96"/>
      <c r="H1302" s="96"/>
      <c r="I1302" s="96"/>
    </row>
    <row r="1303" spans="1:9" x14ac:dyDescent="0.25">
      <c r="A1303" s="131"/>
      <c r="B1303" s="96"/>
      <c r="C1303" s="96"/>
      <c r="D1303" s="96"/>
      <c r="E1303" s="96"/>
      <c r="F1303" s="96"/>
      <c r="G1303" s="96"/>
      <c r="H1303" s="96"/>
      <c r="I1303" s="96"/>
    </row>
    <row r="1304" spans="1:9" x14ac:dyDescent="0.25">
      <c r="A1304" s="131"/>
      <c r="B1304" s="96"/>
      <c r="C1304" s="96"/>
      <c r="D1304" s="96"/>
      <c r="E1304" s="96"/>
      <c r="F1304" s="96"/>
      <c r="G1304" s="96"/>
      <c r="H1304" s="96"/>
      <c r="I1304" s="96"/>
    </row>
    <row r="1305" spans="1:9" x14ac:dyDescent="0.25">
      <c r="A1305" s="131"/>
      <c r="B1305" s="96"/>
      <c r="C1305" s="96"/>
      <c r="D1305" s="96"/>
      <c r="E1305" s="96"/>
      <c r="F1305" s="96"/>
      <c r="G1305" s="96"/>
      <c r="H1305" s="96"/>
      <c r="I1305" s="96"/>
    </row>
    <row r="1306" spans="1:9" x14ac:dyDescent="0.25">
      <c r="A1306" s="131"/>
      <c r="B1306" s="96"/>
      <c r="C1306" s="96"/>
      <c r="D1306" s="96"/>
      <c r="E1306" s="96"/>
      <c r="F1306" s="96"/>
      <c r="G1306" s="96"/>
      <c r="H1306" s="96"/>
      <c r="I1306" s="96"/>
    </row>
    <row r="1307" spans="1:9" x14ac:dyDescent="0.25">
      <c r="A1307" s="131"/>
      <c r="B1307" s="96"/>
      <c r="C1307" s="96"/>
      <c r="D1307" s="96"/>
      <c r="E1307" s="96"/>
      <c r="F1307" s="96"/>
      <c r="G1307" s="96"/>
      <c r="H1307" s="96"/>
      <c r="I1307" s="96"/>
    </row>
    <row r="1308" spans="1:9" x14ac:dyDescent="0.25">
      <c r="A1308" s="131"/>
      <c r="B1308" s="96"/>
      <c r="C1308" s="96"/>
      <c r="D1308" s="96"/>
      <c r="E1308" s="96"/>
      <c r="F1308" s="96"/>
      <c r="G1308" s="96"/>
      <c r="H1308" s="96"/>
      <c r="I1308" s="96"/>
    </row>
    <row r="1309" spans="1:9" x14ac:dyDescent="0.25">
      <c r="A1309" s="131"/>
      <c r="B1309" s="96"/>
      <c r="C1309" s="96"/>
      <c r="D1309" s="96"/>
      <c r="E1309" s="96"/>
      <c r="F1309" s="96"/>
      <c r="G1309" s="96"/>
      <c r="H1309" s="96"/>
      <c r="I1309" s="96"/>
    </row>
    <row r="1310" spans="1:9" x14ac:dyDescent="0.25">
      <c r="A1310" s="131"/>
      <c r="B1310" s="96"/>
      <c r="C1310" s="96"/>
      <c r="D1310" s="96"/>
      <c r="E1310" s="96"/>
      <c r="F1310" s="96"/>
      <c r="G1310" s="96"/>
      <c r="H1310" s="96"/>
      <c r="I1310" s="96"/>
    </row>
    <row r="1311" spans="1:9" x14ac:dyDescent="0.25">
      <c r="A1311" s="131"/>
      <c r="B1311" s="96"/>
      <c r="C1311" s="96"/>
      <c r="D1311" s="96"/>
      <c r="E1311" s="96"/>
      <c r="F1311" s="96"/>
      <c r="G1311" s="96"/>
      <c r="H1311" s="96"/>
      <c r="I1311" s="96"/>
    </row>
    <row r="1312" spans="1:9" x14ac:dyDescent="0.25">
      <c r="A1312" s="131"/>
      <c r="B1312" s="96"/>
      <c r="C1312" s="96"/>
      <c r="D1312" s="96"/>
      <c r="E1312" s="96"/>
      <c r="F1312" s="96"/>
      <c r="G1312" s="96"/>
      <c r="H1312" s="96"/>
      <c r="I1312" s="96"/>
    </row>
    <row r="1313" spans="1:9" x14ac:dyDescent="0.25">
      <c r="A1313" s="131"/>
      <c r="B1313" s="96"/>
      <c r="C1313" s="96"/>
      <c r="D1313" s="96"/>
      <c r="E1313" s="96"/>
      <c r="F1313" s="96"/>
      <c r="G1313" s="96"/>
      <c r="H1313" s="96"/>
      <c r="I1313" s="96"/>
    </row>
    <row r="1314" spans="1:9" x14ac:dyDescent="0.25">
      <c r="A1314" s="131"/>
      <c r="B1314" s="96"/>
      <c r="C1314" s="96"/>
      <c r="D1314" s="96"/>
      <c r="E1314" s="96"/>
      <c r="F1314" s="96"/>
      <c r="G1314" s="96"/>
      <c r="H1314" s="96"/>
      <c r="I1314" s="96"/>
    </row>
    <row r="1315" spans="1:9" x14ac:dyDescent="0.25">
      <c r="A1315" s="131"/>
      <c r="B1315" s="96"/>
      <c r="C1315" s="96"/>
      <c r="D1315" s="96"/>
      <c r="E1315" s="96"/>
      <c r="F1315" s="96"/>
      <c r="G1315" s="96"/>
      <c r="H1315" s="96"/>
      <c r="I1315" s="96"/>
    </row>
    <row r="1316" spans="1:9" x14ac:dyDescent="0.25">
      <c r="A1316" s="131"/>
      <c r="B1316" s="96"/>
      <c r="C1316" s="96"/>
      <c r="D1316" s="96"/>
      <c r="E1316" s="96"/>
      <c r="F1316" s="96"/>
      <c r="G1316" s="96"/>
      <c r="H1316" s="96"/>
      <c r="I1316" s="96"/>
    </row>
    <row r="1317" spans="1:9" x14ac:dyDescent="0.25">
      <c r="A1317" s="131"/>
      <c r="B1317" s="96"/>
      <c r="C1317" s="96"/>
      <c r="D1317" s="96"/>
      <c r="E1317" s="96"/>
      <c r="F1317" s="96"/>
      <c r="G1317" s="96"/>
      <c r="H1317" s="96"/>
      <c r="I1317" s="96"/>
    </row>
    <row r="1318" spans="1:9" x14ac:dyDescent="0.25">
      <c r="A1318" s="131"/>
      <c r="B1318" s="96"/>
      <c r="C1318" s="96"/>
      <c r="D1318" s="96"/>
      <c r="E1318" s="96"/>
      <c r="F1318" s="96"/>
      <c r="G1318" s="96"/>
      <c r="H1318" s="96"/>
      <c r="I1318" s="96"/>
    </row>
    <row r="1319" spans="1:9" x14ac:dyDescent="0.25">
      <c r="A1319" s="131"/>
      <c r="B1319" s="96"/>
      <c r="C1319" s="96"/>
      <c r="D1319" s="96"/>
      <c r="E1319" s="96"/>
      <c r="F1319" s="96"/>
      <c r="G1319" s="96"/>
      <c r="H1319" s="96"/>
      <c r="I1319" s="96"/>
    </row>
    <row r="1320" spans="1:9" x14ac:dyDescent="0.25">
      <c r="A1320" s="131"/>
      <c r="B1320" s="96"/>
      <c r="C1320" s="96"/>
      <c r="D1320" s="96"/>
      <c r="E1320" s="96"/>
      <c r="F1320" s="96"/>
      <c r="G1320" s="96"/>
      <c r="H1320" s="96"/>
      <c r="I1320" s="96"/>
    </row>
    <row r="1321" spans="1:9" x14ac:dyDescent="0.25">
      <c r="A1321" s="131"/>
      <c r="B1321" s="96"/>
      <c r="C1321" s="96"/>
      <c r="D1321" s="96"/>
      <c r="E1321" s="96"/>
      <c r="F1321" s="96"/>
      <c r="G1321" s="96"/>
      <c r="H1321" s="96"/>
      <c r="I1321" s="96"/>
    </row>
    <row r="1322" spans="1:9" x14ac:dyDescent="0.25">
      <c r="A1322" s="131"/>
      <c r="B1322" s="96"/>
      <c r="C1322" s="96"/>
      <c r="D1322" s="96"/>
      <c r="E1322" s="96"/>
      <c r="F1322" s="96"/>
      <c r="G1322" s="96"/>
      <c r="H1322" s="96"/>
      <c r="I1322" s="96"/>
    </row>
    <row r="1323" spans="1:9" x14ac:dyDescent="0.25">
      <c r="A1323" s="131"/>
      <c r="B1323" s="96"/>
      <c r="C1323" s="96"/>
      <c r="D1323" s="96"/>
      <c r="E1323" s="96"/>
      <c r="F1323" s="96"/>
      <c r="G1323" s="96"/>
      <c r="H1323" s="96"/>
      <c r="I1323" s="96"/>
    </row>
    <row r="1324" spans="1:9" x14ac:dyDescent="0.25">
      <c r="A1324" s="131"/>
      <c r="B1324" s="96"/>
      <c r="C1324" s="96"/>
      <c r="D1324" s="96"/>
      <c r="E1324" s="96"/>
      <c r="F1324" s="96"/>
      <c r="G1324" s="96"/>
      <c r="H1324" s="96"/>
      <c r="I1324" s="96"/>
    </row>
    <row r="1325" spans="1:9" x14ac:dyDescent="0.25">
      <c r="A1325" s="131"/>
      <c r="B1325" s="96"/>
      <c r="C1325" s="96"/>
      <c r="D1325" s="96"/>
      <c r="E1325" s="96"/>
      <c r="F1325" s="96"/>
      <c r="G1325" s="96"/>
      <c r="H1325" s="96"/>
      <c r="I1325" s="96"/>
    </row>
    <row r="1326" spans="1:9" x14ac:dyDescent="0.25">
      <c r="A1326" s="131"/>
      <c r="B1326" s="96"/>
      <c r="C1326" s="96"/>
      <c r="D1326" s="96"/>
      <c r="E1326" s="96"/>
      <c r="F1326" s="96"/>
      <c r="G1326" s="96"/>
      <c r="H1326" s="96"/>
      <c r="I1326" s="96"/>
    </row>
    <row r="1327" spans="1:9" x14ac:dyDescent="0.25">
      <c r="A1327" s="131"/>
      <c r="B1327" s="96"/>
      <c r="C1327" s="96"/>
      <c r="D1327" s="96"/>
      <c r="E1327" s="96"/>
      <c r="F1327" s="96"/>
      <c r="G1327" s="96"/>
      <c r="H1327" s="96"/>
      <c r="I1327" s="96"/>
    </row>
    <row r="1328" spans="1:9" x14ac:dyDescent="0.25">
      <c r="A1328" s="131"/>
      <c r="B1328" s="96"/>
      <c r="C1328" s="96"/>
      <c r="D1328" s="96"/>
      <c r="E1328" s="96"/>
      <c r="F1328" s="96"/>
      <c r="G1328" s="96"/>
      <c r="H1328" s="96"/>
      <c r="I1328" s="96"/>
    </row>
    <row r="1329" spans="1:9" x14ac:dyDescent="0.25">
      <c r="A1329" s="131"/>
      <c r="B1329" s="96"/>
      <c r="C1329" s="96"/>
      <c r="D1329" s="96"/>
      <c r="E1329" s="96"/>
      <c r="F1329" s="96"/>
      <c r="G1329" s="96"/>
      <c r="H1329" s="96"/>
      <c r="I1329" s="96"/>
    </row>
    <row r="1330" spans="1:9" x14ac:dyDescent="0.25">
      <c r="A1330" s="131"/>
      <c r="B1330" s="96"/>
      <c r="C1330" s="96"/>
      <c r="D1330" s="96"/>
      <c r="E1330" s="96"/>
      <c r="F1330" s="96"/>
      <c r="G1330" s="96"/>
      <c r="H1330" s="96"/>
      <c r="I1330" s="96"/>
    </row>
    <row r="1331" spans="1:9" x14ac:dyDescent="0.25">
      <c r="A1331" s="131"/>
      <c r="B1331" s="96"/>
      <c r="C1331" s="96"/>
      <c r="D1331" s="96"/>
      <c r="E1331" s="96"/>
      <c r="F1331" s="96"/>
      <c r="G1331" s="96"/>
      <c r="H1331" s="96"/>
      <c r="I1331" s="96"/>
    </row>
    <row r="1332" spans="1:9" x14ac:dyDescent="0.25">
      <c r="A1332" s="131"/>
      <c r="B1332" s="96"/>
      <c r="C1332" s="96"/>
      <c r="D1332" s="96"/>
      <c r="E1332" s="96"/>
      <c r="F1332" s="96"/>
      <c r="G1332" s="96"/>
      <c r="H1332" s="96"/>
      <c r="I1332" s="96"/>
    </row>
    <row r="1333" spans="1:9" x14ac:dyDescent="0.25">
      <c r="A1333" s="131"/>
      <c r="B1333" s="96"/>
      <c r="C1333" s="96"/>
      <c r="D1333" s="96"/>
      <c r="E1333" s="96"/>
      <c r="F1333" s="96"/>
      <c r="G1333" s="96"/>
      <c r="H1333" s="96"/>
      <c r="I1333" s="96"/>
    </row>
    <row r="1334" spans="1:9" x14ac:dyDescent="0.25">
      <c r="A1334" s="131"/>
      <c r="B1334" s="96"/>
      <c r="C1334" s="96"/>
      <c r="D1334" s="96"/>
      <c r="E1334" s="96"/>
      <c r="F1334" s="96"/>
      <c r="G1334" s="96"/>
      <c r="H1334" s="96"/>
      <c r="I1334" s="96"/>
    </row>
    <row r="1335" spans="1:9" x14ac:dyDescent="0.25">
      <c r="A1335" s="131"/>
      <c r="B1335" s="96"/>
      <c r="C1335" s="96"/>
      <c r="D1335" s="96"/>
      <c r="E1335" s="96"/>
      <c r="F1335" s="96"/>
      <c r="G1335" s="96"/>
      <c r="H1335" s="96"/>
      <c r="I1335" s="96"/>
    </row>
    <row r="1336" spans="1:9" x14ac:dyDescent="0.25">
      <c r="A1336" s="131"/>
      <c r="B1336" s="96"/>
      <c r="C1336" s="96"/>
      <c r="D1336" s="96"/>
      <c r="E1336" s="96"/>
      <c r="F1336" s="96"/>
      <c r="G1336" s="96"/>
      <c r="H1336" s="96"/>
      <c r="I1336" s="96"/>
    </row>
    <row r="1337" spans="1:9" x14ac:dyDescent="0.25">
      <c r="A1337" s="131"/>
      <c r="B1337" s="96"/>
      <c r="C1337" s="96"/>
      <c r="D1337" s="96"/>
      <c r="E1337" s="96"/>
      <c r="F1337" s="96"/>
      <c r="G1337" s="96"/>
      <c r="H1337" s="96"/>
      <c r="I1337" s="96"/>
    </row>
    <row r="1338" spans="1:9" x14ac:dyDescent="0.25">
      <c r="A1338" s="131"/>
      <c r="B1338" s="96"/>
      <c r="C1338" s="96"/>
      <c r="D1338" s="96"/>
      <c r="E1338" s="96"/>
      <c r="F1338" s="96"/>
      <c r="G1338" s="96"/>
      <c r="H1338" s="96"/>
      <c r="I1338" s="96"/>
    </row>
    <row r="1339" spans="1:9" x14ac:dyDescent="0.25">
      <c r="A1339" s="131"/>
      <c r="B1339" s="96"/>
      <c r="C1339" s="96"/>
      <c r="D1339" s="96"/>
      <c r="E1339" s="96"/>
      <c r="F1339" s="96"/>
      <c r="G1339" s="96"/>
      <c r="H1339" s="96"/>
      <c r="I1339" s="96"/>
    </row>
    <row r="1340" spans="1:9" x14ac:dyDescent="0.25">
      <c r="A1340" s="131"/>
      <c r="B1340" s="96"/>
      <c r="C1340" s="96"/>
      <c r="D1340" s="96"/>
      <c r="E1340" s="96"/>
      <c r="F1340" s="96"/>
      <c r="G1340" s="96"/>
      <c r="H1340" s="96"/>
      <c r="I1340" s="96"/>
    </row>
    <row r="1341" spans="1:9" x14ac:dyDescent="0.25">
      <c r="A1341" s="131"/>
      <c r="B1341" s="96"/>
      <c r="C1341" s="96"/>
      <c r="D1341" s="96"/>
      <c r="E1341" s="96"/>
      <c r="F1341" s="96"/>
      <c r="G1341" s="96"/>
      <c r="H1341" s="96"/>
      <c r="I1341" s="96"/>
    </row>
    <row r="1342" spans="1:9" x14ac:dyDescent="0.25">
      <c r="A1342" s="131"/>
      <c r="B1342" s="96"/>
      <c r="C1342" s="96"/>
      <c r="D1342" s="96"/>
      <c r="E1342" s="96"/>
      <c r="F1342" s="96"/>
      <c r="G1342" s="96"/>
      <c r="H1342" s="96"/>
      <c r="I1342" s="96"/>
    </row>
    <row r="1343" spans="1:9" x14ac:dyDescent="0.25">
      <c r="A1343" s="131"/>
      <c r="B1343" s="96"/>
      <c r="C1343" s="96"/>
      <c r="D1343" s="96"/>
      <c r="E1343" s="96"/>
      <c r="F1343" s="96"/>
      <c r="G1343" s="96"/>
      <c r="H1343" s="96"/>
      <c r="I1343" s="96"/>
    </row>
    <row r="1344" spans="1:9" x14ac:dyDescent="0.25">
      <c r="A1344" s="131"/>
      <c r="B1344" s="96"/>
      <c r="C1344" s="96"/>
      <c r="D1344" s="96"/>
      <c r="E1344" s="96"/>
      <c r="F1344" s="96"/>
      <c r="G1344" s="96"/>
      <c r="H1344" s="96"/>
      <c r="I1344" s="96"/>
    </row>
    <row r="1345" spans="1:9" x14ac:dyDescent="0.25">
      <c r="A1345" s="131"/>
      <c r="B1345" s="96"/>
      <c r="C1345" s="96"/>
      <c r="D1345" s="96"/>
      <c r="E1345" s="96"/>
      <c r="F1345" s="96"/>
      <c r="G1345" s="96"/>
      <c r="H1345" s="96"/>
      <c r="I1345" s="96"/>
    </row>
    <row r="1346" spans="1:9" x14ac:dyDescent="0.25">
      <c r="A1346" s="131"/>
      <c r="B1346" s="96"/>
      <c r="C1346" s="96"/>
      <c r="D1346" s="96"/>
      <c r="E1346" s="96"/>
      <c r="F1346" s="96"/>
      <c r="G1346" s="96"/>
      <c r="H1346" s="96"/>
      <c r="I1346" s="96"/>
    </row>
    <row r="1347" spans="1:9" x14ac:dyDescent="0.25">
      <c r="A1347" s="131"/>
      <c r="B1347" s="96"/>
      <c r="C1347" s="96"/>
      <c r="D1347" s="96"/>
      <c r="E1347" s="96"/>
      <c r="F1347" s="96"/>
      <c r="G1347" s="96"/>
      <c r="H1347" s="96"/>
      <c r="I1347" s="96"/>
    </row>
    <row r="1348" spans="1:9" x14ac:dyDescent="0.25">
      <c r="A1348" s="131"/>
      <c r="B1348" s="96"/>
      <c r="C1348" s="96"/>
      <c r="D1348" s="96"/>
      <c r="E1348" s="96"/>
      <c r="F1348" s="96"/>
      <c r="G1348" s="96"/>
      <c r="H1348" s="96"/>
      <c r="I1348" s="96"/>
    </row>
    <row r="1349" spans="1:9" x14ac:dyDescent="0.25">
      <c r="A1349" s="131"/>
      <c r="B1349" s="96"/>
      <c r="C1349" s="96"/>
      <c r="D1349" s="96"/>
      <c r="E1349" s="96"/>
      <c r="F1349" s="96"/>
      <c r="G1349" s="96"/>
      <c r="H1349" s="96"/>
      <c r="I1349" s="96"/>
    </row>
    <row r="1350" spans="1:9" x14ac:dyDescent="0.25">
      <c r="A1350" s="131"/>
      <c r="B1350" s="96"/>
      <c r="C1350" s="96"/>
      <c r="D1350" s="96"/>
      <c r="E1350" s="96"/>
      <c r="F1350" s="96"/>
      <c r="G1350" s="96"/>
      <c r="H1350" s="96"/>
      <c r="I1350" s="96"/>
    </row>
    <row r="1351" spans="1:9" x14ac:dyDescent="0.25">
      <c r="A1351" s="131"/>
      <c r="B1351" s="96"/>
      <c r="C1351" s="96"/>
      <c r="D1351" s="96"/>
      <c r="E1351" s="96"/>
      <c r="F1351" s="96"/>
      <c r="G1351" s="96"/>
      <c r="H1351" s="96"/>
      <c r="I1351" s="96"/>
    </row>
    <row r="1352" spans="1:9" x14ac:dyDescent="0.25">
      <c r="A1352" s="131"/>
      <c r="B1352" s="96"/>
      <c r="C1352" s="96"/>
      <c r="D1352" s="96"/>
      <c r="E1352" s="96"/>
      <c r="F1352" s="96"/>
      <c r="G1352" s="96"/>
      <c r="H1352" s="96"/>
      <c r="I1352" s="96"/>
    </row>
    <row r="1353" spans="1:9" x14ac:dyDescent="0.25">
      <c r="A1353" s="131"/>
      <c r="B1353" s="96"/>
      <c r="C1353" s="96"/>
      <c r="D1353" s="96"/>
      <c r="E1353" s="96"/>
      <c r="F1353" s="96"/>
      <c r="G1353" s="96"/>
      <c r="H1353" s="96"/>
      <c r="I1353" s="96"/>
    </row>
    <row r="1354" spans="1:9" x14ac:dyDescent="0.25">
      <c r="A1354" s="131"/>
      <c r="B1354" s="96"/>
      <c r="C1354" s="96"/>
      <c r="D1354" s="96"/>
      <c r="E1354" s="96"/>
      <c r="F1354" s="96"/>
      <c r="G1354" s="96"/>
      <c r="H1354" s="96"/>
      <c r="I1354" s="96"/>
    </row>
    <row r="1355" spans="1:9" x14ac:dyDescent="0.25">
      <c r="A1355" s="131"/>
      <c r="B1355" s="96"/>
      <c r="C1355" s="96"/>
      <c r="D1355" s="96"/>
      <c r="E1355" s="96"/>
      <c r="F1355" s="96"/>
      <c r="G1355" s="96"/>
      <c r="H1355" s="96"/>
      <c r="I1355" s="96"/>
    </row>
    <row r="1356" spans="1:9" x14ac:dyDescent="0.25">
      <c r="A1356" s="131"/>
      <c r="B1356" s="96"/>
      <c r="C1356" s="96"/>
      <c r="D1356" s="96"/>
      <c r="E1356" s="96"/>
      <c r="F1356" s="96"/>
      <c r="G1356" s="96"/>
      <c r="H1356" s="96"/>
      <c r="I1356" s="96"/>
    </row>
    <row r="1357" spans="1:9" x14ac:dyDescent="0.25">
      <c r="A1357" s="131"/>
      <c r="B1357" s="96"/>
      <c r="C1357" s="96"/>
      <c r="D1357" s="96"/>
      <c r="E1357" s="96"/>
      <c r="F1357" s="96"/>
      <c r="G1357" s="96"/>
      <c r="H1357" s="96"/>
      <c r="I1357" s="96"/>
    </row>
    <row r="1358" spans="1:9" x14ac:dyDescent="0.25">
      <c r="A1358" s="131"/>
      <c r="B1358" s="96"/>
      <c r="C1358" s="96"/>
      <c r="D1358" s="96"/>
      <c r="E1358" s="96"/>
      <c r="F1358" s="96"/>
      <c r="G1358" s="96"/>
      <c r="H1358" s="96"/>
      <c r="I1358" s="96"/>
    </row>
    <row r="1359" spans="1:9" x14ac:dyDescent="0.25">
      <c r="A1359" s="131"/>
      <c r="B1359" s="96"/>
      <c r="C1359" s="96"/>
      <c r="D1359" s="96"/>
      <c r="E1359" s="96"/>
      <c r="F1359" s="96"/>
      <c r="G1359" s="96"/>
      <c r="H1359" s="96"/>
      <c r="I1359" s="96"/>
    </row>
    <row r="1360" spans="1:9" x14ac:dyDescent="0.25">
      <c r="A1360" s="131"/>
      <c r="B1360" s="96"/>
      <c r="C1360" s="96"/>
      <c r="D1360" s="96"/>
      <c r="E1360" s="96"/>
      <c r="F1360" s="96"/>
      <c r="G1360" s="96"/>
      <c r="H1360" s="96"/>
      <c r="I1360" s="96"/>
    </row>
    <row r="1361" spans="1:9" x14ac:dyDescent="0.25">
      <c r="A1361" s="131"/>
      <c r="B1361" s="96"/>
      <c r="C1361" s="96"/>
      <c r="D1361" s="96"/>
      <c r="E1361" s="96"/>
      <c r="F1361" s="96"/>
      <c r="G1361" s="96"/>
      <c r="H1361" s="96"/>
      <c r="I1361" s="96"/>
    </row>
    <row r="1362" spans="1:9" x14ac:dyDescent="0.25">
      <c r="A1362" s="131"/>
      <c r="B1362" s="96"/>
      <c r="C1362" s="96"/>
      <c r="D1362" s="96"/>
      <c r="E1362" s="96"/>
      <c r="F1362" s="96"/>
      <c r="G1362" s="96"/>
      <c r="H1362" s="96"/>
      <c r="I1362" s="96"/>
    </row>
    <row r="1363" spans="1:9" x14ac:dyDescent="0.25">
      <c r="A1363" s="131"/>
      <c r="B1363" s="96"/>
      <c r="C1363" s="96"/>
      <c r="D1363" s="96"/>
      <c r="E1363" s="96"/>
      <c r="F1363" s="96"/>
      <c r="G1363" s="96"/>
      <c r="H1363" s="96"/>
      <c r="I1363" s="96"/>
    </row>
    <row r="1364" spans="1:9" x14ac:dyDescent="0.25">
      <c r="A1364" s="131"/>
      <c r="B1364" s="96"/>
      <c r="C1364" s="96"/>
      <c r="D1364" s="96"/>
      <c r="E1364" s="96"/>
      <c r="F1364" s="96"/>
      <c r="G1364" s="96"/>
      <c r="H1364" s="96"/>
      <c r="I1364" s="96"/>
    </row>
    <row r="1365" spans="1:9" x14ac:dyDescent="0.25">
      <c r="A1365" s="131"/>
      <c r="B1365" s="96"/>
      <c r="C1365" s="96"/>
      <c r="D1365" s="96"/>
      <c r="E1365" s="96"/>
      <c r="F1365" s="96"/>
      <c r="G1365" s="96"/>
      <c r="H1365" s="96"/>
      <c r="I1365" s="96"/>
    </row>
    <row r="1366" spans="1:9" x14ac:dyDescent="0.25">
      <c r="A1366" s="131"/>
      <c r="B1366" s="96"/>
      <c r="C1366" s="96"/>
      <c r="D1366" s="96"/>
      <c r="E1366" s="96"/>
      <c r="F1366" s="96"/>
      <c r="G1366" s="96"/>
      <c r="H1366" s="96"/>
      <c r="I1366" s="96"/>
    </row>
    <row r="1367" spans="1:9" x14ac:dyDescent="0.25">
      <c r="A1367" s="131"/>
      <c r="B1367" s="96"/>
      <c r="C1367" s="96"/>
      <c r="D1367" s="96"/>
      <c r="E1367" s="96"/>
      <c r="F1367" s="96"/>
      <c r="G1367" s="96"/>
      <c r="H1367" s="96"/>
      <c r="I1367" s="96"/>
    </row>
    <row r="1368" spans="1:9" x14ac:dyDescent="0.25">
      <c r="A1368" s="131"/>
      <c r="B1368" s="96"/>
      <c r="C1368" s="96"/>
      <c r="D1368" s="96"/>
      <c r="E1368" s="96"/>
      <c r="F1368" s="96"/>
      <c r="G1368" s="96"/>
      <c r="H1368" s="96"/>
      <c r="I1368" s="96"/>
    </row>
    <row r="1369" spans="1:9" x14ac:dyDescent="0.25">
      <c r="A1369" s="131"/>
      <c r="B1369" s="96"/>
      <c r="C1369" s="96"/>
      <c r="D1369" s="96"/>
      <c r="E1369" s="96"/>
      <c r="F1369" s="96"/>
      <c r="G1369" s="96"/>
      <c r="H1369" s="96"/>
      <c r="I1369" s="96"/>
    </row>
    <row r="1370" spans="1:9" x14ac:dyDescent="0.25">
      <c r="A1370" s="131"/>
      <c r="B1370" s="96"/>
      <c r="C1370" s="96"/>
      <c r="D1370" s="96"/>
      <c r="E1370" s="96"/>
      <c r="F1370" s="96"/>
      <c r="G1370" s="96"/>
      <c r="H1370" s="96"/>
      <c r="I1370" s="96"/>
    </row>
    <row r="1371" spans="1:9" x14ac:dyDescent="0.25">
      <c r="A1371" s="131"/>
      <c r="B1371" s="96"/>
      <c r="C1371" s="96"/>
      <c r="D1371" s="96"/>
      <c r="E1371" s="96"/>
      <c r="F1371" s="96"/>
      <c r="G1371" s="96"/>
      <c r="H1371" s="96"/>
      <c r="I1371" s="96"/>
    </row>
    <row r="1372" spans="1:9" x14ac:dyDescent="0.25">
      <c r="A1372" s="131"/>
      <c r="B1372" s="96"/>
      <c r="C1372" s="96"/>
      <c r="D1372" s="96"/>
      <c r="E1372" s="96"/>
      <c r="F1372" s="96"/>
      <c r="G1372" s="96"/>
      <c r="H1372" s="96"/>
      <c r="I1372" s="96"/>
    </row>
    <row r="1373" spans="1:9" x14ac:dyDescent="0.25">
      <c r="A1373" s="131"/>
      <c r="B1373" s="96"/>
      <c r="C1373" s="96"/>
      <c r="D1373" s="96"/>
      <c r="E1373" s="96"/>
      <c r="F1373" s="96"/>
      <c r="G1373" s="96"/>
      <c r="H1373" s="96"/>
      <c r="I1373" s="96"/>
    </row>
    <row r="1374" spans="1:9" x14ac:dyDescent="0.25">
      <c r="A1374" s="131"/>
      <c r="B1374" s="96"/>
      <c r="C1374" s="96"/>
      <c r="D1374" s="96"/>
      <c r="E1374" s="96"/>
      <c r="F1374" s="96"/>
      <c r="G1374" s="96"/>
      <c r="H1374" s="96"/>
      <c r="I1374" s="96"/>
    </row>
    <row r="1375" spans="1:9" x14ac:dyDescent="0.25">
      <c r="A1375" s="131"/>
      <c r="B1375" s="96"/>
      <c r="C1375" s="96"/>
      <c r="D1375" s="96"/>
      <c r="E1375" s="96"/>
      <c r="F1375" s="96"/>
      <c r="G1375" s="96"/>
      <c r="H1375" s="96"/>
      <c r="I1375" s="96"/>
    </row>
    <row r="1376" spans="1:9" x14ac:dyDescent="0.25">
      <c r="A1376" s="131"/>
      <c r="B1376" s="96"/>
      <c r="C1376" s="96"/>
      <c r="D1376" s="96"/>
      <c r="E1376" s="96"/>
      <c r="F1376" s="96"/>
      <c r="G1376" s="96"/>
      <c r="H1376" s="96"/>
      <c r="I1376" s="96"/>
    </row>
    <row r="1377" spans="1:9" x14ac:dyDescent="0.25">
      <c r="A1377" s="131"/>
      <c r="B1377" s="96"/>
      <c r="C1377" s="96"/>
      <c r="D1377" s="96"/>
      <c r="E1377" s="96"/>
      <c r="F1377" s="96"/>
      <c r="G1377" s="96"/>
      <c r="H1377" s="96"/>
      <c r="I1377" s="96"/>
    </row>
    <row r="1378" spans="1:9" x14ac:dyDescent="0.25">
      <c r="A1378" s="131"/>
      <c r="B1378" s="96"/>
      <c r="C1378" s="96"/>
      <c r="D1378" s="96"/>
      <c r="E1378" s="96"/>
      <c r="F1378" s="96"/>
      <c r="G1378" s="96"/>
      <c r="H1378" s="96"/>
      <c r="I1378" s="96"/>
    </row>
    <row r="1379" spans="1:9" x14ac:dyDescent="0.25">
      <c r="A1379" s="131"/>
      <c r="B1379" s="96"/>
      <c r="C1379" s="96"/>
      <c r="D1379" s="96"/>
      <c r="E1379" s="96"/>
      <c r="F1379" s="96"/>
      <c r="G1379" s="96"/>
      <c r="H1379" s="96"/>
      <c r="I1379" s="96"/>
    </row>
    <row r="1380" spans="1:9" x14ac:dyDescent="0.25">
      <c r="A1380" s="131"/>
      <c r="B1380" s="96"/>
      <c r="C1380" s="96"/>
      <c r="D1380" s="96"/>
      <c r="E1380" s="96"/>
      <c r="F1380" s="96"/>
      <c r="G1380" s="96"/>
      <c r="H1380" s="96"/>
      <c r="I1380" s="96"/>
    </row>
    <row r="1381" spans="1:9" x14ac:dyDescent="0.25">
      <c r="A1381" s="131"/>
      <c r="B1381" s="96"/>
      <c r="C1381" s="96"/>
      <c r="D1381" s="96"/>
      <c r="E1381" s="96"/>
      <c r="F1381" s="96"/>
      <c r="G1381" s="96"/>
      <c r="H1381" s="96"/>
      <c r="I1381" s="96"/>
    </row>
    <row r="1382" spans="1:9" x14ac:dyDescent="0.25">
      <c r="A1382" s="131"/>
      <c r="B1382" s="96"/>
      <c r="C1382" s="96"/>
      <c r="D1382" s="96"/>
      <c r="E1382" s="96"/>
      <c r="F1382" s="96"/>
      <c r="G1382" s="96"/>
      <c r="H1382" s="96"/>
      <c r="I1382" s="96"/>
    </row>
    <row r="1383" spans="1:9" x14ac:dyDescent="0.25">
      <c r="A1383" s="131"/>
      <c r="B1383" s="96"/>
      <c r="C1383" s="96"/>
      <c r="D1383" s="96"/>
      <c r="E1383" s="96"/>
      <c r="F1383" s="96"/>
      <c r="G1383" s="96"/>
      <c r="H1383" s="96"/>
      <c r="I1383" s="96"/>
    </row>
    <row r="1384" spans="1:9" x14ac:dyDescent="0.25">
      <c r="A1384" s="131"/>
      <c r="B1384" s="96"/>
      <c r="C1384" s="96"/>
      <c r="D1384" s="96"/>
      <c r="E1384" s="96"/>
      <c r="F1384" s="96"/>
      <c r="G1384" s="96"/>
      <c r="H1384" s="96"/>
      <c r="I1384" s="96"/>
    </row>
    <row r="1385" spans="1:9" x14ac:dyDescent="0.25">
      <c r="A1385" s="131"/>
      <c r="B1385" s="96"/>
      <c r="C1385" s="96"/>
      <c r="D1385" s="96"/>
      <c r="E1385" s="96"/>
      <c r="F1385" s="96"/>
      <c r="G1385" s="96"/>
      <c r="H1385" s="96"/>
      <c r="I1385" s="96"/>
    </row>
    <row r="1386" spans="1:9" x14ac:dyDescent="0.25">
      <c r="A1386" s="131"/>
      <c r="B1386" s="96"/>
      <c r="C1386" s="96"/>
      <c r="D1386" s="96"/>
      <c r="E1386" s="96"/>
      <c r="F1386" s="96"/>
      <c r="G1386" s="96"/>
      <c r="H1386" s="96"/>
      <c r="I1386" s="96"/>
    </row>
    <row r="1387" spans="1:9" x14ac:dyDescent="0.25">
      <c r="A1387" s="131"/>
      <c r="B1387" s="96"/>
      <c r="C1387" s="96"/>
      <c r="D1387" s="96"/>
      <c r="E1387" s="96"/>
      <c r="F1387" s="96"/>
      <c r="G1387" s="96"/>
      <c r="H1387" s="96"/>
      <c r="I1387" s="96"/>
    </row>
    <row r="1388" spans="1:9" x14ac:dyDescent="0.25">
      <c r="A1388" s="131"/>
      <c r="B1388" s="96"/>
      <c r="C1388" s="96"/>
      <c r="D1388" s="96"/>
      <c r="E1388" s="96"/>
      <c r="F1388" s="96"/>
      <c r="G1388" s="96"/>
      <c r="H1388" s="96"/>
      <c r="I1388" s="96"/>
    </row>
    <row r="1389" spans="1:9" x14ac:dyDescent="0.25">
      <c r="A1389" s="131"/>
      <c r="B1389" s="96"/>
      <c r="C1389" s="96"/>
      <c r="D1389" s="96"/>
      <c r="E1389" s="96"/>
      <c r="F1389" s="96"/>
      <c r="G1389" s="96"/>
      <c r="H1389" s="96"/>
      <c r="I1389" s="96"/>
    </row>
    <row r="1390" spans="1:9" x14ac:dyDescent="0.25">
      <c r="A1390" s="131"/>
      <c r="B1390" s="96"/>
      <c r="C1390" s="96"/>
      <c r="D1390" s="96"/>
      <c r="E1390" s="96"/>
      <c r="F1390" s="96"/>
      <c r="G1390" s="96"/>
      <c r="H1390" s="96"/>
      <c r="I1390" s="96"/>
    </row>
    <row r="1391" spans="1:9" x14ac:dyDescent="0.25">
      <c r="A1391" s="131"/>
      <c r="B1391" s="96"/>
      <c r="C1391" s="96"/>
      <c r="D1391" s="96"/>
      <c r="E1391" s="96"/>
      <c r="F1391" s="96"/>
      <c r="G1391" s="96"/>
      <c r="H1391" s="96"/>
      <c r="I1391" s="96"/>
    </row>
    <row r="1392" spans="1:9" x14ac:dyDescent="0.25">
      <c r="A1392" s="131"/>
      <c r="B1392" s="96"/>
      <c r="C1392" s="96"/>
      <c r="D1392" s="96"/>
      <c r="E1392" s="96"/>
      <c r="F1392" s="96"/>
      <c r="G1392" s="96"/>
      <c r="H1392" s="96"/>
      <c r="I1392" s="96"/>
    </row>
    <row r="1393" spans="1:9" x14ac:dyDescent="0.25">
      <c r="A1393" s="131"/>
      <c r="B1393" s="96"/>
      <c r="C1393" s="96"/>
      <c r="D1393" s="96"/>
      <c r="E1393" s="96"/>
      <c r="F1393" s="96"/>
      <c r="G1393" s="96"/>
      <c r="H1393" s="96"/>
      <c r="I1393" s="96"/>
    </row>
    <row r="1394" spans="1:9" x14ac:dyDescent="0.25">
      <c r="A1394" s="131"/>
      <c r="B1394" s="96"/>
      <c r="C1394" s="96"/>
      <c r="D1394" s="96"/>
      <c r="E1394" s="96"/>
      <c r="F1394" s="96"/>
      <c r="G1394" s="96"/>
      <c r="H1394" s="96"/>
      <c r="I1394" s="96"/>
    </row>
    <row r="1395" spans="1:9" x14ac:dyDescent="0.25">
      <c r="A1395" s="131"/>
      <c r="B1395" s="96"/>
      <c r="C1395" s="96"/>
      <c r="D1395" s="96"/>
      <c r="E1395" s="96"/>
      <c r="F1395" s="96"/>
      <c r="G1395" s="96"/>
      <c r="H1395" s="96"/>
      <c r="I1395" s="96"/>
    </row>
    <row r="1396" spans="1:9" x14ac:dyDescent="0.25">
      <c r="A1396" s="131"/>
      <c r="B1396" s="96"/>
      <c r="C1396" s="96"/>
      <c r="D1396" s="96"/>
      <c r="E1396" s="96"/>
      <c r="F1396" s="96"/>
      <c r="G1396" s="96"/>
      <c r="H1396" s="96"/>
      <c r="I1396" s="96"/>
    </row>
    <row r="1397" spans="1:9" x14ac:dyDescent="0.25">
      <c r="A1397" s="131"/>
      <c r="B1397" s="96"/>
      <c r="C1397" s="96"/>
      <c r="D1397" s="96"/>
      <c r="E1397" s="96"/>
      <c r="F1397" s="96"/>
      <c r="G1397" s="96"/>
      <c r="H1397" s="96"/>
      <c r="I1397" s="96"/>
    </row>
    <row r="1398" spans="1:9" x14ac:dyDescent="0.25">
      <c r="A1398" s="131"/>
      <c r="B1398" s="96"/>
      <c r="C1398" s="96"/>
      <c r="D1398" s="96"/>
      <c r="E1398" s="96"/>
      <c r="F1398" s="96"/>
      <c r="G1398" s="96"/>
      <c r="H1398" s="96"/>
      <c r="I1398" s="96"/>
    </row>
    <row r="1399" spans="1:9" x14ac:dyDescent="0.25">
      <c r="A1399" s="131"/>
      <c r="B1399" s="96"/>
      <c r="C1399" s="96"/>
      <c r="D1399" s="96"/>
      <c r="E1399" s="96"/>
      <c r="F1399" s="96"/>
      <c r="G1399" s="96"/>
      <c r="H1399" s="96"/>
      <c r="I1399" s="96"/>
    </row>
    <row r="1400" spans="1:9" x14ac:dyDescent="0.25">
      <c r="A1400" s="131"/>
      <c r="B1400" s="96"/>
      <c r="C1400" s="96"/>
      <c r="D1400" s="96"/>
      <c r="E1400" s="96"/>
      <c r="F1400" s="96"/>
      <c r="G1400" s="96"/>
      <c r="H1400" s="96"/>
      <c r="I1400" s="96"/>
    </row>
    <row r="1401" spans="1:9" x14ac:dyDescent="0.25">
      <c r="A1401" s="131"/>
      <c r="B1401" s="96"/>
      <c r="C1401" s="96"/>
      <c r="D1401" s="96"/>
      <c r="E1401" s="96"/>
      <c r="F1401" s="96"/>
      <c r="G1401" s="96"/>
      <c r="H1401" s="96"/>
      <c r="I1401" s="96"/>
    </row>
    <row r="1402" spans="1:9" x14ac:dyDescent="0.25">
      <c r="A1402" s="131"/>
      <c r="B1402" s="96"/>
      <c r="C1402" s="96"/>
      <c r="D1402" s="96"/>
      <c r="E1402" s="96"/>
      <c r="F1402" s="96"/>
      <c r="G1402" s="96"/>
      <c r="H1402" s="96"/>
      <c r="I1402" s="96"/>
    </row>
    <row r="1403" spans="1:9" x14ac:dyDescent="0.25">
      <c r="A1403" s="131"/>
      <c r="B1403" s="96"/>
      <c r="C1403" s="96"/>
      <c r="D1403" s="96"/>
      <c r="E1403" s="96"/>
      <c r="F1403" s="96"/>
      <c r="G1403" s="96"/>
      <c r="H1403" s="96"/>
      <c r="I1403" s="96"/>
    </row>
    <row r="1404" spans="1:9" x14ac:dyDescent="0.25">
      <c r="A1404" s="131"/>
      <c r="B1404" s="96"/>
      <c r="C1404" s="96"/>
      <c r="D1404" s="96"/>
      <c r="E1404" s="96"/>
      <c r="F1404" s="96"/>
      <c r="G1404" s="96"/>
      <c r="H1404" s="96"/>
      <c r="I1404" s="96"/>
    </row>
    <row r="1405" spans="1:9" x14ac:dyDescent="0.25">
      <c r="A1405" s="131"/>
      <c r="B1405" s="96"/>
      <c r="C1405" s="96"/>
      <c r="D1405" s="96"/>
      <c r="E1405" s="96"/>
      <c r="F1405" s="96"/>
      <c r="G1405" s="96"/>
      <c r="H1405" s="96"/>
      <c r="I1405" s="96"/>
    </row>
    <row r="1406" spans="1:9" x14ac:dyDescent="0.25">
      <c r="A1406" s="131"/>
      <c r="B1406" s="96"/>
      <c r="C1406" s="96"/>
      <c r="D1406" s="96"/>
      <c r="E1406" s="96"/>
      <c r="F1406" s="96"/>
      <c r="G1406" s="96"/>
      <c r="H1406" s="96"/>
      <c r="I1406" s="96"/>
    </row>
    <row r="1407" spans="1:9" x14ac:dyDescent="0.25">
      <c r="A1407" s="131"/>
      <c r="B1407" s="96"/>
      <c r="C1407" s="96"/>
      <c r="D1407" s="96"/>
      <c r="E1407" s="96"/>
      <c r="F1407" s="96"/>
      <c r="G1407" s="96"/>
      <c r="H1407" s="96"/>
      <c r="I1407" s="96"/>
    </row>
    <row r="1408" spans="1:9" x14ac:dyDescent="0.25">
      <c r="A1408" s="131"/>
      <c r="B1408" s="96"/>
      <c r="C1408" s="96"/>
      <c r="D1408" s="96"/>
      <c r="E1408" s="96"/>
      <c r="F1408" s="96"/>
      <c r="G1408" s="96"/>
      <c r="H1408" s="96"/>
      <c r="I1408" s="96"/>
    </row>
    <row r="1409" spans="1:9" x14ac:dyDescent="0.25">
      <c r="A1409" s="131"/>
      <c r="B1409" s="96"/>
      <c r="C1409" s="96"/>
      <c r="D1409" s="96"/>
      <c r="E1409" s="96"/>
      <c r="F1409" s="96"/>
      <c r="G1409" s="96"/>
      <c r="H1409" s="96"/>
      <c r="I1409" s="96"/>
    </row>
    <row r="1410" spans="1:9" x14ac:dyDescent="0.25">
      <c r="A1410" s="131"/>
      <c r="B1410" s="96"/>
      <c r="C1410" s="96"/>
      <c r="D1410" s="96"/>
      <c r="E1410" s="96"/>
      <c r="F1410" s="96"/>
      <c r="G1410" s="96"/>
      <c r="H1410" s="96"/>
      <c r="I1410" s="96"/>
    </row>
    <row r="1411" spans="1:9" x14ac:dyDescent="0.25">
      <c r="A1411" s="131"/>
      <c r="B1411" s="96"/>
      <c r="C1411" s="96"/>
      <c r="D1411" s="96"/>
      <c r="E1411" s="96"/>
      <c r="F1411" s="96"/>
      <c r="G1411" s="96"/>
      <c r="H1411" s="96"/>
      <c r="I1411" s="96"/>
    </row>
    <row r="1412" spans="1:9" x14ac:dyDescent="0.25">
      <c r="A1412" s="131"/>
      <c r="B1412" s="96"/>
      <c r="C1412" s="96"/>
      <c r="D1412" s="96"/>
      <c r="E1412" s="96"/>
      <c r="F1412" s="96"/>
      <c r="G1412" s="96"/>
      <c r="H1412" s="96"/>
      <c r="I1412" s="96"/>
    </row>
    <row r="1413" spans="1:9" x14ac:dyDescent="0.25">
      <c r="A1413" s="131"/>
      <c r="B1413" s="96"/>
      <c r="C1413" s="96"/>
      <c r="D1413" s="96"/>
      <c r="E1413" s="96"/>
      <c r="F1413" s="96"/>
      <c r="G1413" s="96"/>
      <c r="H1413" s="96"/>
      <c r="I1413" s="96"/>
    </row>
    <row r="1414" spans="1:9" x14ac:dyDescent="0.25">
      <c r="A1414" s="131"/>
      <c r="B1414" s="96"/>
      <c r="C1414" s="96"/>
      <c r="D1414" s="96"/>
      <c r="E1414" s="96"/>
      <c r="F1414" s="96"/>
      <c r="G1414" s="96"/>
      <c r="H1414" s="96"/>
      <c r="I1414" s="96"/>
    </row>
    <row r="1415" spans="1:9" x14ac:dyDescent="0.25">
      <c r="A1415" s="131"/>
      <c r="B1415" s="96"/>
      <c r="C1415" s="96"/>
      <c r="D1415" s="96"/>
      <c r="E1415" s="96"/>
      <c r="F1415" s="96"/>
      <c r="G1415" s="96"/>
      <c r="H1415" s="96"/>
      <c r="I1415" s="96"/>
    </row>
    <row r="1416" spans="1:9" x14ac:dyDescent="0.25">
      <c r="A1416" s="131"/>
      <c r="B1416" s="96"/>
      <c r="C1416" s="96"/>
      <c r="D1416" s="96"/>
      <c r="E1416" s="96"/>
      <c r="F1416" s="96"/>
      <c r="G1416" s="96"/>
      <c r="H1416" s="96"/>
      <c r="I1416" s="96"/>
    </row>
    <row r="1417" spans="1:9" x14ac:dyDescent="0.25">
      <c r="A1417" s="131"/>
      <c r="B1417" s="96"/>
      <c r="C1417" s="96"/>
      <c r="D1417" s="96"/>
      <c r="E1417" s="96"/>
      <c r="F1417" s="96"/>
      <c r="G1417" s="96"/>
      <c r="H1417" s="96"/>
      <c r="I1417" s="96"/>
    </row>
    <row r="1418" spans="1:9" x14ac:dyDescent="0.25">
      <c r="A1418" s="131"/>
      <c r="B1418" s="96"/>
      <c r="C1418" s="96"/>
      <c r="D1418" s="96"/>
      <c r="E1418" s="96"/>
      <c r="F1418" s="96"/>
      <c r="G1418" s="96"/>
      <c r="H1418" s="96"/>
      <c r="I1418" s="96"/>
    </row>
    <row r="1419" spans="1:9" x14ac:dyDescent="0.25">
      <c r="A1419" s="131"/>
      <c r="B1419" s="96"/>
      <c r="C1419" s="96"/>
      <c r="D1419" s="96"/>
      <c r="E1419" s="96"/>
      <c r="F1419" s="96"/>
      <c r="G1419" s="96"/>
      <c r="H1419" s="96"/>
      <c r="I1419" s="96"/>
    </row>
    <row r="1420" spans="1:9" x14ac:dyDescent="0.25">
      <c r="A1420" s="131"/>
      <c r="B1420" s="96"/>
      <c r="C1420" s="96"/>
      <c r="D1420" s="96"/>
      <c r="E1420" s="96"/>
      <c r="F1420" s="96"/>
      <c r="G1420" s="96"/>
      <c r="H1420" s="96"/>
      <c r="I1420" s="96"/>
    </row>
    <row r="1421" spans="1:9" x14ac:dyDescent="0.25">
      <c r="A1421" s="131"/>
      <c r="B1421" s="96"/>
      <c r="C1421" s="96"/>
      <c r="D1421" s="96"/>
      <c r="E1421" s="96"/>
      <c r="F1421" s="96"/>
      <c r="G1421" s="96"/>
      <c r="H1421" s="96"/>
      <c r="I1421" s="96"/>
    </row>
    <row r="1422" spans="1:9" x14ac:dyDescent="0.25">
      <c r="A1422" s="131"/>
      <c r="B1422" s="96"/>
      <c r="C1422" s="96"/>
      <c r="D1422" s="96"/>
      <c r="E1422" s="96"/>
      <c r="F1422" s="96"/>
      <c r="G1422" s="96"/>
      <c r="H1422" s="96"/>
      <c r="I1422" s="96"/>
    </row>
    <row r="1423" spans="1:9" x14ac:dyDescent="0.25">
      <c r="A1423" s="131"/>
      <c r="B1423" s="96"/>
      <c r="C1423" s="96"/>
      <c r="D1423" s="96"/>
      <c r="E1423" s="96"/>
      <c r="F1423" s="96"/>
      <c r="G1423" s="96"/>
      <c r="H1423" s="96"/>
      <c r="I1423" s="96"/>
    </row>
    <row r="1424" spans="1:9" x14ac:dyDescent="0.25">
      <c r="A1424" s="131"/>
      <c r="B1424" s="96"/>
      <c r="C1424" s="96"/>
      <c r="D1424" s="96"/>
      <c r="E1424" s="96"/>
      <c r="F1424" s="96"/>
      <c r="G1424" s="96"/>
      <c r="H1424" s="96"/>
      <c r="I1424" s="96"/>
    </row>
    <row r="1425" spans="1:9" x14ac:dyDescent="0.25">
      <c r="A1425" s="131"/>
      <c r="B1425" s="96"/>
      <c r="C1425" s="96"/>
      <c r="D1425" s="96"/>
      <c r="E1425" s="96"/>
      <c r="F1425" s="96"/>
      <c r="G1425" s="96"/>
      <c r="H1425" s="96"/>
      <c r="I1425" s="96"/>
    </row>
    <row r="1426" spans="1:9" x14ac:dyDescent="0.25">
      <c r="A1426" s="131"/>
      <c r="B1426" s="96"/>
      <c r="C1426" s="96"/>
      <c r="D1426" s="96"/>
      <c r="E1426" s="96"/>
      <c r="F1426" s="96"/>
      <c r="G1426" s="96"/>
      <c r="H1426" s="96"/>
      <c r="I1426" s="96"/>
    </row>
    <row r="1427" spans="1:9" x14ac:dyDescent="0.25">
      <c r="A1427" s="131"/>
      <c r="B1427" s="96"/>
      <c r="C1427" s="96"/>
      <c r="D1427" s="96"/>
      <c r="E1427" s="96"/>
      <c r="F1427" s="96"/>
      <c r="G1427" s="96"/>
      <c r="H1427" s="96"/>
      <c r="I1427" s="96"/>
    </row>
    <row r="1428" spans="1:9" x14ac:dyDescent="0.25">
      <c r="A1428" s="131"/>
      <c r="B1428" s="96"/>
      <c r="C1428" s="96"/>
      <c r="D1428" s="96"/>
      <c r="E1428" s="96"/>
      <c r="F1428" s="96"/>
      <c r="G1428" s="96"/>
      <c r="H1428" s="96"/>
      <c r="I1428" s="96"/>
    </row>
    <row r="1429" spans="1:9" x14ac:dyDescent="0.25">
      <c r="A1429" s="131"/>
      <c r="B1429" s="96"/>
      <c r="C1429" s="96"/>
      <c r="D1429" s="96"/>
      <c r="E1429" s="96"/>
      <c r="F1429" s="96"/>
      <c r="G1429" s="96"/>
      <c r="H1429" s="96"/>
      <c r="I1429" s="96"/>
    </row>
    <row r="1430" spans="1:9" x14ac:dyDescent="0.25">
      <c r="A1430" s="131"/>
      <c r="B1430" s="96"/>
      <c r="C1430" s="96"/>
      <c r="D1430" s="96"/>
      <c r="E1430" s="96"/>
      <c r="F1430" s="96"/>
      <c r="G1430" s="96"/>
      <c r="H1430" s="96"/>
      <c r="I1430" s="96"/>
    </row>
    <row r="1431" spans="1:9" x14ac:dyDescent="0.25">
      <c r="A1431" s="131"/>
      <c r="B1431" s="96"/>
      <c r="C1431" s="96"/>
      <c r="D1431" s="96"/>
      <c r="E1431" s="96"/>
      <c r="F1431" s="96"/>
      <c r="G1431" s="96"/>
      <c r="H1431" s="96"/>
      <c r="I1431" s="96"/>
    </row>
    <row r="1432" spans="1:9" x14ac:dyDescent="0.25">
      <c r="A1432" s="131"/>
      <c r="B1432" s="96"/>
      <c r="C1432" s="96"/>
      <c r="D1432" s="96"/>
      <c r="E1432" s="96"/>
      <c r="F1432" s="96"/>
      <c r="G1432" s="96"/>
      <c r="H1432" s="96"/>
      <c r="I1432" s="96"/>
    </row>
    <row r="1433" spans="1:9" x14ac:dyDescent="0.25">
      <c r="A1433" s="131"/>
      <c r="B1433" s="96"/>
      <c r="C1433" s="96"/>
      <c r="D1433" s="96"/>
      <c r="E1433" s="96"/>
      <c r="F1433" s="96"/>
      <c r="G1433" s="96"/>
      <c r="H1433" s="96"/>
      <c r="I1433" s="96"/>
    </row>
    <row r="1434" spans="1:9" x14ac:dyDescent="0.25">
      <c r="A1434" s="131"/>
      <c r="B1434" s="96"/>
      <c r="C1434" s="96"/>
      <c r="D1434" s="96"/>
      <c r="E1434" s="96"/>
      <c r="F1434" s="96"/>
      <c r="G1434" s="96"/>
      <c r="H1434" s="96"/>
      <c r="I1434" s="96"/>
    </row>
    <row r="1435" spans="1:9" x14ac:dyDescent="0.25">
      <c r="A1435" s="131"/>
      <c r="B1435" s="96"/>
      <c r="C1435" s="96"/>
      <c r="D1435" s="96"/>
      <c r="E1435" s="96"/>
      <c r="F1435" s="96"/>
      <c r="G1435" s="96"/>
      <c r="H1435" s="96"/>
      <c r="I1435" s="96"/>
    </row>
    <row r="1436" spans="1:9" x14ac:dyDescent="0.25">
      <c r="A1436" s="131"/>
      <c r="B1436" s="96"/>
      <c r="C1436" s="96"/>
      <c r="D1436" s="96"/>
      <c r="E1436" s="96"/>
      <c r="F1436" s="96"/>
      <c r="G1436" s="96"/>
      <c r="H1436" s="96"/>
      <c r="I1436" s="96"/>
    </row>
    <row r="1437" spans="1:9" x14ac:dyDescent="0.25">
      <c r="A1437" s="131"/>
      <c r="B1437" s="96"/>
      <c r="C1437" s="96"/>
      <c r="D1437" s="96"/>
      <c r="E1437" s="96"/>
      <c r="F1437" s="96"/>
      <c r="G1437" s="96"/>
      <c r="H1437" s="96"/>
      <c r="I1437" s="96"/>
    </row>
    <row r="1438" spans="1:9" x14ac:dyDescent="0.25">
      <c r="A1438" s="131"/>
      <c r="B1438" s="96"/>
      <c r="C1438" s="96"/>
      <c r="D1438" s="96"/>
      <c r="E1438" s="96"/>
      <c r="F1438" s="96"/>
      <c r="G1438" s="96"/>
      <c r="H1438" s="96"/>
      <c r="I1438" s="96"/>
    </row>
    <row r="1439" spans="1:9" x14ac:dyDescent="0.25">
      <c r="A1439" s="131"/>
      <c r="B1439" s="96"/>
      <c r="C1439" s="96"/>
      <c r="D1439" s="96"/>
      <c r="E1439" s="96"/>
      <c r="F1439" s="96"/>
      <c r="G1439" s="96"/>
      <c r="H1439" s="96"/>
      <c r="I1439" s="96"/>
    </row>
    <row r="1440" spans="1:9" x14ac:dyDescent="0.25">
      <c r="A1440" s="131"/>
      <c r="B1440" s="96"/>
      <c r="C1440" s="96"/>
      <c r="D1440" s="96"/>
      <c r="E1440" s="96"/>
      <c r="F1440" s="96"/>
      <c r="G1440" s="96"/>
      <c r="H1440" s="96"/>
      <c r="I1440" s="96"/>
    </row>
    <row r="1441" spans="1:9" x14ac:dyDescent="0.25">
      <c r="A1441" s="131"/>
      <c r="B1441" s="96"/>
      <c r="C1441" s="96"/>
      <c r="D1441" s="96"/>
      <c r="E1441" s="96"/>
      <c r="F1441" s="96"/>
      <c r="G1441" s="96"/>
      <c r="H1441" s="96"/>
      <c r="I1441" s="96"/>
    </row>
    <row r="1442" spans="1:9" x14ac:dyDescent="0.25">
      <c r="A1442" s="131"/>
      <c r="B1442" s="96"/>
      <c r="C1442" s="96"/>
      <c r="D1442" s="96"/>
      <c r="E1442" s="96"/>
      <c r="F1442" s="96"/>
      <c r="G1442" s="96"/>
      <c r="H1442" s="96"/>
      <c r="I1442" s="96"/>
    </row>
    <row r="1443" spans="1:9" x14ac:dyDescent="0.25">
      <c r="A1443" s="131"/>
      <c r="B1443" s="96"/>
      <c r="C1443" s="96"/>
      <c r="D1443" s="96"/>
      <c r="E1443" s="96"/>
      <c r="F1443" s="96"/>
      <c r="G1443" s="96"/>
      <c r="H1443" s="96"/>
      <c r="I1443" s="96"/>
    </row>
    <row r="1444" spans="1:9" x14ac:dyDescent="0.25">
      <c r="A1444" s="131"/>
      <c r="B1444" s="96"/>
      <c r="C1444" s="96"/>
      <c r="D1444" s="96"/>
      <c r="E1444" s="96"/>
      <c r="F1444" s="96"/>
      <c r="G1444" s="96"/>
      <c r="H1444" s="96"/>
      <c r="I1444" s="96"/>
    </row>
    <row r="1445" spans="1:9" x14ac:dyDescent="0.25">
      <c r="A1445" s="131"/>
      <c r="B1445" s="96"/>
      <c r="C1445" s="96"/>
      <c r="D1445" s="96"/>
      <c r="E1445" s="96"/>
      <c r="F1445" s="96"/>
      <c r="G1445" s="96"/>
      <c r="H1445" s="96"/>
      <c r="I1445" s="96"/>
    </row>
    <row r="1446" spans="1:9" x14ac:dyDescent="0.25">
      <c r="A1446" s="131"/>
      <c r="B1446" s="96"/>
      <c r="C1446" s="96"/>
      <c r="D1446" s="96"/>
      <c r="E1446" s="96"/>
      <c r="F1446" s="96"/>
      <c r="G1446" s="96"/>
      <c r="H1446" s="96"/>
      <c r="I1446" s="96"/>
    </row>
    <row r="1447" spans="1:9" x14ac:dyDescent="0.25">
      <c r="A1447" s="131"/>
      <c r="B1447" s="96"/>
      <c r="C1447" s="96"/>
      <c r="D1447" s="96"/>
      <c r="E1447" s="96"/>
      <c r="F1447" s="96"/>
      <c r="G1447" s="96"/>
      <c r="H1447" s="96"/>
      <c r="I1447" s="96"/>
    </row>
    <row r="1448" spans="1:9" x14ac:dyDescent="0.25">
      <c r="A1448" s="131"/>
      <c r="B1448" s="96"/>
      <c r="C1448" s="96"/>
      <c r="D1448" s="96"/>
      <c r="E1448" s="96"/>
      <c r="F1448" s="96"/>
      <c r="G1448" s="96"/>
      <c r="H1448" s="96"/>
      <c r="I1448" s="96"/>
    </row>
    <row r="1449" spans="1:9" x14ac:dyDescent="0.25">
      <c r="A1449" s="131"/>
      <c r="B1449" s="96"/>
      <c r="C1449" s="96"/>
      <c r="D1449" s="96"/>
      <c r="E1449" s="96"/>
      <c r="F1449" s="96"/>
      <c r="G1449" s="96"/>
      <c r="H1449" s="96"/>
      <c r="I1449" s="96"/>
    </row>
    <row r="1450" spans="1:9" x14ac:dyDescent="0.25">
      <c r="A1450" s="131"/>
      <c r="B1450" s="96"/>
      <c r="C1450" s="96"/>
      <c r="D1450" s="96"/>
      <c r="E1450" s="96"/>
      <c r="F1450" s="96"/>
      <c r="G1450" s="96"/>
      <c r="H1450" s="96"/>
      <c r="I1450" s="96"/>
    </row>
    <row r="1451" spans="1:9" x14ac:dyDescent="0.25">
      <c r="A1451" s="131"/>
      <c r="B1451" s="96"/>
      <c r="C1451" s="96"/>
      <c r="D1451" s="96"/>
      <c r="E1451" s="96"/>
      <c r="F1451" s="96"/>
      <c r="G1451" s="96"/>
      <c r="H1451" s="96"/>
      <c r="I1451" s="96"/>
    </row>
    <row r="1452" spans="1:9" x14ac:dyDescent="0.25">
      <c r="A1452" s="131"/>
      <c r="B1452" s="96"/>
      <c r="C1452" s="96"/>
      <c r="D1452" s="96"/>
      <c r="E1452" s="96"/>
      <c r="F1452" s="96"/>
      <c r="G1452" s="96"/>
      <c r="H1452" s="96"/>
      <c r="I1452" s="96"/>
    </row>
    <row r="1453" spans="1:9" x14ac:dyDescent="0.25">
      <c r="A1453" s="131"/>
      <c r="B1453" s="96"/>
      <c r="C1453" s="96"/>
      <c r="D1453" s="96"/>
      <c r="E1453" s="96"/>
      <c r="F1453" s="96"/>
      <c r="G1453" s="96"/>
      <c r="H1453" s="96"/>
      <c r="I1453" s="96"/>
    </row>
    <row r="1454" spans="1:9" x14ac:dyDescent="0.25">
      <c r="A1454" s="131"/>
      <c r="B1454" s="96"/>
      <c r="C1454" s="96"/>
      <c r="D1454" s="96"/>
      <c r="E1454" s="96"/>
      <c r="F1454" s="96"/>
      <c r="G1454" s="96"/>
      <c r="H1454" s="96"/>
      <c r="I1454" s="96"/>
    </row>
    <row r="1455" spans="1:9" x14ac:dyDescent="0.25">
      <c r="A1455" s="131"/>
      <c r="B1455" s="96"/>
      <c r="C1455" s="96"/>
      <c r="D1455" s="96"/>
      <c r="E1455" s="96"/>
      <c r="F1455" s="96"/>
      <c r="G1455" s="96"/>
      <c r="H1455" s="96"/>
      <c r="I1455" s="96"/>
    </row>
    <row r="1456" spans="1:9" x14ac:dyDescent="0.25">
      <c r="A1456" s="131"/>
      <c r="B1456" s="96"/>
      <c r="C1456" s="96"/>
      <c r="D1456" s="96"/>
      <c r="E1456" s="96"/>
      <c r="F1456" s="96"/>
      <c r="G1456" s="96"/>
      <c r="H1456" s="96"/>
      <c r="I1456" s="96"/>
    </row>
    <row r="1457" spans="1:9" x14ac:dyDescent="0.25">
      <c r="A1457" s="131"/>
      <c r="B1457" s="96"/>
      <c r="C1457" s="96"/>
      <c r="D1457" s="96"/>
      <c r="E1457" s="96"/>
      <c r="F1457" s="96"/>
      <c r="G1457" s="96"/>
      <c r="H1457" s="96"/>
      <c r="I1457" s="96"/>
    </row>
    <row r="1458" spans="1:9" x14ac:dyDescent="0.25">
      <c r="A1458" s="131"/>
      <c r="B1458" s="96"/>
      <c r="C1458" s="96"/>
      <c r="D1458" s="96"/>
      <c r="E1458" s="96"/>
      <c r="F1458" s="96"/>
      <c r="G1458" s="96"/>
      <c r="H1458" s="96"/>
      <c r="I1458" s="96"/>
    </row>
    <row r="1459" spans="1:9" x14ac:dyDescent="0.25">
      <c r="A1459" s="131"/>
      <c r="B1459" s="96"/>
      <c r="C1459" s="96"/>
      <c r="D1459" s="96"/>
      <c r="E1459" s="96"/>
      <c r="F1459" s="96"/>
      <c r="G1459" s="96"/>
      <c r="H1459" s="96"/>
      <c r="I1459" s="96"/>
    </row>
    <row r="1460" spans="1:9" x14ac:dyDescent="0.25">
      <c r="A1460" s="131"/>
      <c r="B1460" s="96"/>
      <c r="C1460" s="96"/>
      <c r="D1460" s="96"/>
      <c r="E1460" s="96"/>
      <c r="F1460" s="96"/>
      <c r="G1460" s="96"/>
      <c r="H1460" s="96"/>
      <c r="I1460" s="96"/>
    </row>
    <row r="1461" spans="1:9" x14ac:dyDescent="0.25">
      <c r="A1461" s="131"/>
      <c r="B1461" s="96"/>
      <c r="C1461" s="96"/>
      <c r="D1461" s="96"/>
      <c r="E1461" s="96"/>
      <c r="F1461" s="96"/>
      <c r="G1461" s="96"/>
      <c r="H1461" s="96"/>
      <c r="I1461" s="96"/>
    </row>
    <row r="1462" spans="1:9" x14ac:dyDescent="0.25">
      <c r="A1462" s="131"/>
      <c r="B1462" s="96"/>
      <c r="C1462" s="96"/>
      <c r="D1462" s="96"/>
      <c r="E1462" s="96"/>
      <c r="F1462" s="96"/>
      <c r="G1462" s="96"/>
      <c r="H1462" s="96"/>
      <c r="I1462" s="96"/>
    </row>
    <row r="1463" spans="1:9" x14ac:dyDescent="0.25">
      <c r="A1463" s="131"/>
      <c r="B1463" s="96"/>
      <c r="C1463" s="96"/>
      <c r="D1463" s="96"/>
      <c r="E1463" s="96"/>
      <c r="F1463" s="96"/>
      <c r="G1463" s="96"/>
      <c r="H1463" s="96"/>
      <c r="I1463" s="96"/>
    </row>
    <row r="1464" spans="1:9" x14ac:dyDescent="0.25">
      <c r="A1464" s="131"/>
      <c r="B1464" s="96"/>
      <c r="C1464" s="96"/>
      <c r="D1464" s="96"/>
      <c r="E1464" s="96"/>
      <c r="F1464" s="96"/>
      <c r="G1464" s="96"/>
      <c r="H1464" s="96"/>
      <c r="I1464" s="96"/>
    </row>
    <row r="1465" spans="1:9" x14ac:dyDescent="0.25">
      <c r="A1465" s="131"/>
      <c r="B1465" s="96"/>
      <c r="C1465" s="96"/>
      <c r="D1465" s="96"/>
      <c r="E1465" s="96"/>
      <c r="F1465" s="96"/>
      <c r="G1465" s="96"/>
      <c r="H1465" s="96"/>
      <c r="I1465" s="96"/>
    </row>
    <row r="1466" spans="1:9" x14ac:dyDescent="0.25">
      <c r="A1466" s="131"/>
      <c r="B1466" s="96"/>
      <c r="C1466" s="96"/>
      <c r="D1466" s="96"/>
      <c r="E1466" s="96"/>
      <c r="F1466" s="96"/>
      <c r="G1466" s="96"/>
      <c r="H1466" s="96"/>
      <c r="I1466" s="96"/>
    </row>
    <row r="1467" spans="1:9" x14ac:dyDescent="0.25">
      <c r="A1467" s="131"/>
      <c r="B1467" s="96"/>
      <c r="C1467" s="96"/>
      <c r="D1467" s="96"/>
      <c r="E1467" s="96"/>
      <c r="F1467" s="96"/>
      <c r="G1467" s="96"/>
      <c r="H1467" s="96"/>
      <c r="I1467" s="96"/>
    </row>
    <row r="1468" spans="1:9" x14ac:dyDescent="0.25">
      <c r="A1468" s="131"/>
      <c r="B1468" s="96"/>
      <c r="C1468" s="96"/>
      <c r="D1468" s="96"/>
      <c r="E1468" s="96"/>
      <c r="F1468" s="96"/>
      <c r="G1468" s="96"/>
      <c r="H1468" s="96"/>
      <c r="I1468" s="96"/>
    </row>
    <row r="1469" spans="1:9" x14ac:dyDescent="0.25">
      <c r="A1469" s="131"/>
      <c r="B1469" s="96"/>
      <c r="C1469" s="96"/>
      <c r="D1469" s="96"/>
      <c r="E1469" s="96"/>
      <c r="F1469" s="96"/>
      <c r="G1469" s="96"/>
      <c r="H1469" s="96"/>
      <c r="I1469" s="96"/>
    </row>
    <row r="1470" spans="1:9" x14ac:dyDescent="0.25">
      <c r="A1470" s="131"/>
      <c r="B1470" s="96"/>
      <c r="C1470" s="96"/>
      <c r="D1470" s="96"/>
      <c r="E1470" s="96"/>
      <c r="F1470" s="96"/>
      <c r="G1470" s="96"/>
      <c r="H1470" s="96"/>
      <c r="I1470" s="96"/>
    </row>
    <row r="1471" spans="1:9" x14ac:dyDescent="0.25">
      <c r="A1471" s="131"/>
      <c r="B1471" s="96"/>
      <c r="C1471" s="96"/>
      <c r="D1471" s="96"/>
      <c r="E1471" s="96"/>
      <c r="F1471" s="96"/>
      <c r="G1471" s="96"/>
      <c r="H1471" s="96"/>
      <c r="I1471" s="96"/>
    </row>
    <row r="1472" spans="1:9" x14ac:dyDescent="0.25">
      <c r="A1472" s="131"/>
      <c r="B1472" s="96"/>
      <c r="C1472" s="96"/>
      <c r="D1472" s="96"/>
      <c r="E1472" s="96"/>
      <c r="F1472" s="96"/>
      <c r="G1472" s="96"/>
      <c r="H1472" s="96"/>
      <c r="I1472" s="96"/>
    </row>
    <row r="1473" spans="1:9" x14ac:dyDescent="0.25">
      <c r="A1473" s="131"/>
      <c r="B1473" s="96"/>
      <c r="C1473" s="96"/>
      <c r="D1473" s="96"/>
      <c r="E1473" s="96"/>
      <c r="F1473" s="96"/>
      <c r="G1473" s="96"/>
      <c r="H1473" s="96"/>
      <c r="I1473" s="96"/>
    </row>
    <row r="1474" spans="1:9" x14ac:dyDescent="0.25">
      <c r="A1474" s="131"/>
      <c r="B1474" s="96"/>
      <c r="C1474" s="96"/>
      <c r="D1474" s="96"/>
      <c r="E1474" s="96"/>
      <c r="F1474" s="96"/>
      <c r="G1474" s="96"/>
      <c r="H1474" s="96"/>
      <c r="I1474" s="96"/>
    </row>
    <row r="1475" spans="1:9" x14ac:dyDescent="0.25">
      <c r="A1475" s="131"/>
      <c r="B1475" s="96"/>
      <c r="C1475" s="96"/>
      <c r="D1475" s="96"/>
      <c r="E1475" s="96"/>
      <c r="F1475" s="96"/>
      <c r="G1475" s="96"/>
      <c r="H1475" s="96"/>
      <c r="I1475" s="96"/>
    </row>
    <row r="1476" spans="1:9" x14ac:dyDescent="0.25">
      <c r="A1476" s="131"/>
      <c r="B1476" s="96"/>
      <c r="C1476" s="96"/>
      <c r="D1476" s="96"/>
      <c r="E1476" s="96"/>
      <c r="F1476" s="96"/>
      <c r="G1476" s="96"/>
      <c r="H1476" s="96"/>
      <c r="I1476" s="96"/>
    </row>
    <row r="1477" spans="1:9" x14ac:dyDescent="0.25">
      <c r="A1477" s="131"/>
      <c r="B1477" s="96"/>
      <c r="C1477" s="96"/>
      <c r="D1477" s="96"/>
      <c r="E1477" s="96"/>
      <c r="F1477" s="96"/>
      <c r="G1477" s="96"/>
      <c r="H1477" s="96"/>
      <c r="I1477" s="96"/>
    </row>
    <row r="1478" spans="1:9" x14ac:dyDescent="0.25">
      <c r="A1478" s="131"/>
      <c r="B1478" s="96"/>
      <c r="C1478" s="96"/>
      <c r="D1478" s="96"/>
      <c r="E1478" s="96"/>
      <c r="F1478" s="96"/>
      <c r="G1478" s="96"/>
      <c r="H1478" s="96"/>
      <c r="I1478" s="96"/>
    </row>
    <row r="1479" spans="1:9" x14ac:dyDescent="0.25">
      <c r="A1479" s="131"/>
      <c r="B1479" s="96"/>
      <c r="C1479" s="96"/>
      <c r="D1479" s="96"/>
      <c r="E1479" s="96"/>
      <c r="F1479" s="96"/>
      <c r="G1479" s="96"/>
      <c r="H1479" s="96"/>
      <c r="I1479" s="96"/>
    </row>
    <row r="1480" spans="1:9" x14ac:dyDescent="0.25">
      <c r="A1480" s="131"/>
      <c r="B1480" s="96"/>
      <c r="C1480" s="96"/>
      <c r="D1480" s="96"/>
      <c r="E1480" s="96"/>
      <c r="F1480" s="96"/>
      <c r="G1480" s="96"/>
      <c r="H1480" s="96"/>
      <c r="I1480" s="96"/>
    </row>
    <row r="1481" spans="1:9" x14ac:dyDescent="0.25">
      <c r="A1481" s="131"/>
      <c r="B1481" s="96"/>
      <c r="C1481" s="96"/>
      <c r="D1481" s="96"/>
      <c r="E1481" s="96"/>
      <c r="F1481" s="96"/>
      <c r="G1481" s="96"/>
      <c r="H1481" s="96"/>
      <c r="I1481" s="96"/>
    </row>
    <row r="1482" spans="1:9" x14ac:dyDescent="0.25">
      <c r="A1482" s="131"/>
      <c r="B1482" s="96"/>
      <c r="C1482" s="96"/>
      <c r="D1482" s="96"/>
      <c r="E1482" s="96"/>
      <c r="F1482" s="96"/>
      <c r="G1482" s="96"/>
      <c r="H1482" s="96"/>
      <c r="I1482" s="96"/>
    </row>
    <row r="1483" spans="1:9" x14ac:dyDescent="0.25">
      <c r="A1483" s="131"/>
      <c r="B1483" s="96"/>
      <c r="C1483" s="96"/>
      <c r="D1483" s="96"/>
      <c r="E1483" s="96"/>
      <c r="F1483" s="96"/>
      <c r="G1483" s="96"/>
      <c r="H1483" s="96"/>
      <c r="I1483" s="96"/>
    </row>
    <row r="1484" spans="1:9" x14ac:dyDescent="0.25">
      <c r="A1484" s="131"/>
      <c r="B1484" s="96"/>
      <c r="C1484" s="96"/>
      <c r="D1484" s="96"/>
      <c r="E1484" s="96"/>
      <c r="F1484" s="96"/>
      <c r="G1484" s="96"/>
      <c r="H1484" s="96"/>
      <c r="I1484" s="96"/>
    </row>
    <row r="1485" spans="1:9" x14ac:dyDescent="0.25">
      <c r="A1485" s="131"/>
      <c r="B1485" s="96"/>
      <c r="C1485" s="96"/>
      <c r="D1485" s="96"/>
      <c r="E1485" s="96"/>
      <c r="F1485" s="96"/>
      <c r="G1485" s="96"/>
      <c r="H1485" s="96"/>
      <c r="I1485" s="96"/>
    </row>
    <row r="1486" spans="1:9" x14ac:dyDescent="0.25">
      <c r="A1486" s="131"/>
      <c r="B1486" s="96"/>
      <c r="C1486" s="96"/>
      <c r="D1486" s="96"/>
      <c r="E1486" s="96"/>
      <c r="F1486" s="96"/>
      <c r="G1486" s="96"/>
      <c r="H1486" s="96"/>
      <c r="I1486" s="96"/>
    </row>
    <row r="1487" spans="1:9" x14ac:dyDescent="0.25">
      <c r="A1487" s="131"/>
      <c r="B1487" s="96"/>
      <c r="C1487" s="96"/>
      <c r="D1487" s="96"/>
      <c r="E1487" s="96"/>
      <c r="F1487" s="96"/>
      <c r="G1487" s="96"/>
      <c r="H1487" s="96"/>
      <c r="I1487" s="96"/>
    </row>
    <row r="1488" spans="1:9" x14ac:dyDescent="0.25">
      <c r="A1488" s="131"/>
      <c r="B1488" s="96"/>
      <c r="C1488" s="96"/>
      <c r="D1488" s="96"/>
      <c r="E1488" s="96"/>
      <c r="F1488" s="96"/>
      <c r="G1488" s="96"/>
      <c r="H1488" s="96"/>
      <c r="I1488" s="96"/>
    </row>
    <row r="1489" spans="1:9" x14ac:dyDescent="0.25">
      <c r="A1489" s="131"/>
      <c r="B1489" s="96"/>
      <c r="C1489" s="96"/>
      <c r="D1489" s="96"/>
      <c r="E1489" s="96"/>
      <c r="F1489" s="96"/>
      <c r="G1489" s="96"/>
      <c r="H1489" s="96"/>
      <c r="I1489" s="96"/>
    </row>
    <row r="1490" spans="1:9" x14ac:dyDescent="0.25">
      <c r="A1490" s="131"/>
      <c r="B1490" s="96"/>
      <c r="C1490" s="96"/>
      <c r="D1490" s="96"/>
      <c r="E1490" s="96"/>
      <c r="F1490" s="96"/>
      <c r="G1490" s="96"/>
      <c r="H1490" s="96"/>
      <c r="I1490" s="96"/>
    </row>
    <row r="1491" spans="1:9" x14ac:dyDescent="0.25">
      <c r="A1491" s="131"/>
      <c r="B1491" s="96"/>
      <c r="C1491" s="96"/>
      <c r="D1491" s="96"/>
      <c r="E1491" s="96"/>
      <c r="F1491" s="96"/>
      <c r="G1491" s="96"/>
      <c r="H1491" s="96"/>
      <c r="I1491" s="96"/>
    </row>
    <row r="1492" spans="1:9" x14ac:dyDescent="0.25">
      <c r="A1492" s="131"/>
      <c r="B1492" s="96"/>
      <c r="C1492" s="96"/>
      <c r="D1492" s="96"/>
      <c r="E1492" s="96"/>
      <c r="F1492" s="96"/>
      <c r="G1492" s="96"/>
      <c r="H1492" s="96"/>
      <c r="I1492" s="96"/>
    </row>
    <row r="1493" spans="1:9" x14ac:dyDescent="0.25">
      <c r="A1493" s="131"/>
      <c r="B1493" s="96"/>
      <c r="C1493" s="96"/>
      <c r="D1493" s="96"/>
      <c r="E1493" s="96"/>
      <c r="F1493" s="96"/>
      <c r="G1493" s="96"/>
      <c r="H1493" s="96"/>
      <c r="I1493" s="96"/>
    </row>
    <row r="1494" spans="1:9" x14ac:dyDescent="0.25">
      <c r="A1494" s="131"/>
      <c r="B1494" s="96"/>
      <c r="C1494" s="96"/>
      <c r="D1494" s="96"/>
      <c r="E1494" s="96"/>
      <c r="F1494" s="96"/>
      <c r="G1494" s="96"/>
      <c r="H1494" s="96"/>
      <c r="I1494" s="96"/>
    </row>
    <row r="1495" spans="1:9" x14ac:dyDescent="0.25">
      <c r="A1495" s="131"/>
      <c r="B1495" s="96"/>
      <c r="C1495" s="96"/>
      <c r="D1495" s="96"/>
      <c r="E1495" s="96"/>
      <c r="F1495" s="96"/>
      <c r="G1495" s="96"/>
      <c r="H1495" s="96"/>
      <c r="I1495" s="96"/>
    </row>
    <row r="1496" spans="1:9" x14ac:dyDescent="0.25">
      <c r="A1496" s="131"/>
      <c r="B1496" s="96"/>
      <c r="C1496" s="96"/>
      <c r="D1496" s="96"/>
      <c r="E1496" s="96"/>
      <c r="F1496" s="96"/>
      <c r="G1496" s="96"/>
      <c r="H1496" s="96"/>
      <c r="I1496" s="96"/>
    </row>
    <row r="1497" spans="1:9" x14ac:dyDescent="0.25">
      <c r="A1497" s="131"/>
      <c r="B1497" s="96"/>
      <c r="C1497" s="96"/>
      <c r="D1497" s="96"/>
      <c r="E1497" s="96"/>
      <c r="F1497" s="96"/>
      <c r="G1497" s="96"/>
      <c r="H1497" s="96"/>
      <c r="I1497" s="96"/>
    </row>
    <row r="1498" spans="1:9" x14ac:dyDescent="0.25">
      <c r="A1498" s="131"/>
      <c r="B1498" s="96"/>
      <c r="C1498" s="96"/>
      <c r="D1498" s="96"/>
      <c r="E1498" s="96"/>
      <c r="F1498" s="96"/>
      <c r="G1498" s="96"/>
      <c r="H1498" s="96"/>
      <c r="I1498" s="96"/>
    </row>
    <row r="1499" spans="1:9" x14ac:dyDescent="0.25">
      <c r="A1499" s="131"/>
      <c r="B1499" s="96"/>
      <c r="C1499" s="96"/>
      <c r="D1499" s="96"/>
      <c r="E1499" s="96"/>
      <c r="F1499" s="96"/>
      <c r="G1499" s="96"/>
      <c r="H1499" s="96"/>
      <c r="I1499" s="96"/>
    </row>
    <row r="1500" spans="1:9" x14ac:dyDescent="0.25">
      <c r="A1500" s="131"/>
      <c r="B1500" s="96"/>
      <c r="C1500" s="96"/>
      <c r="D1500" s="96"/>
      <c r="E1500" s="96"/>
      <c r="F1500" s="96"/>
      <c r="G1500" s="96"/>
      <c r="H1500" s="96"/>
      <c r="I1500" s="96"/>
    </row>
    <row r="1501" spans="1:9" x14ac:dyDescent="0.25">
      <c r="A1501" s="131"/>
      <c r="B1501" s="96"/>
      <c r="C1501" s="96"/>
      <c r="D1501" s="96"/>
      <c r="E1501" s="96"/>
      <c r="F1501" s="96"/>
      <c r="G1501" s="96"/>
      <c r="H1501" s="96"/>
      <c r="I1501" s="96"/>
    </row>
    <row r="1502" spans="1:9" x14ac:dyDescent="0.25">
      <c r="A1502" s="131"/>
      <c r="B1502" s="96"/>
      <c r="C1502" s="96"/>
      <c r="D1502" s="96"/>
      <c r="E1502" s="96"/>
      <c r="F1502" s="96"/>
      <c r="G1502" s="96"/>
      <c r="H1502" s="96"/>
      <c r="I1502" s="96"/>
    </row>
    <row r="1503" spans="1:9" x14ac:dyDescent="0.25">
      <c r="A1503" s="131"/>
      <c r="B1503" s="96"/>
      <c r="C1503" s="96"/>
      <c r="D1503" s="96"/>
      <c r="E1503" s="96"/>
      <c r="F1503" s="96"/>
      <c r="G1503" s="96"/>
      <c r="H1503" s="96"/>
      <c r="I1503" s="96"/>
    </row>
    <row r="1504" spans="1:9" x14ac:dyDescent="0.25">
      <c r="A1504" s="131"/>
      <c r="B1504" s="96"/>
      <c r="C1504" s="96"/>
      <c r="D1504" s="96"/>
      <c r="E1504" s="96"/>
      <c r="F1504" s="96"/>
      <c r="G1504" s="96"/>
      <c r="H1504" s="96"/>
      <c r="I1504" s="96"/>
    </row>
    <row r="1505" spans="1:9" x14ac:dyDescent="0.25">
      <c r="A1505" s="131"/>
      <c r="B1505" s="96"/>
      <c r="C1505" s="96"/>
      <c r="D1505" s="96"/>
      <c r="E1505" s="96"/>
      <c r="F1505" s="96"/>
      <c r="G1505" s="96"/>
      <c r="H1505" s="96"/>
      <c r="I1505" s="96"/>
    </row>
    <row r="1506" spans="1:9" x14ac:dyDescent="0.25">
      <c r="A1506" s="131"/>
      <c r="B1506" s="96"/>
      <c r="C1506" s="96"/>
      <c r="D1506" s="96"/>
      <c r="E1506" s="96"/>
      <c r="F1506" s="96"/>
      <c r="G1506" s="96"/>
      <c r="H1506" s="96"/>
      <c r="I1506" s="96"/>
    </row>
    <row r="1507" spans="1:9" x14ac:dyDescent="0.25">
      <c r="A1507" s="131"/>
      <c r="B1507" s="96"/>
      <c r="C1507" s="96"/>
      <c r="D1507" s="96"/>
      <c r="E1507" s="96"/>
      <c r="F1507" s="96"/>
      <c r="G1507" s="96"/>
      <c r="H1507" s="96"/>
      <c r="I1507" s="96"/>
    </row>
    <row r="1508" spans="1:9" x14ac:dyDescent="0.25">
      <c r="A1508" s="131"/>
      <c r="B1508" s="96"/>
      <c r="C1508" s="96"/>
      <c r="D1508" s="96"/>
      <c r="E1508" s="96"/>
      <c r="F1508" s="96"/>
      <c r="G1508" s="96"/>
      <c r="H1508" s="96"/>
      <c r="I1508" s="96"/>
    </row>
    <row r="1509" spans="1:9" x14ac:dyDescent="0.25">
      <c r="A1509" s="131"/>
      <c r="B1509" s="96"/>
      <c r="C1509" s="96"/>
      <c r="D1509" s="96"/>
      <c r="E1509" s="96"/>
      <c r="F1509" s="96"/>
      <c r="G1509" s="96"/>
      <c r="H1509" s="96"/>
      <c r="I1509" s="96"/>
    </row>
    <row r="1510" spans="1:9" x14ac:dyDescent="0.25">
      <c r="A1510" s="131"/>
      <c r="B1510" s="96"/>
      <c r="C1510" s="96"/>
      <c r="D1510" s="96"/>
      <c r="E1510" s="96"/>
      <c r="F1510" s="96"/>
      <c r="G1510" s="96"/>
      <c r="H1510" s="96"/>
      <c r="I1510" s="96"/>
    </row>
    <row r="1511" spans="1:9" x14ac:dyDescent="0.25">
      <c r="A1511" s="131"/>
      <c r="B1511" s="96"/>
      <c r="C1511" s="96"/>
      <c r="D1511" s="96"/>
      <c r="E1511" s="96"/>
      <c r="F1511" s="96"/>
      <c r="G1511" s="96"/>
      <c r="H1511" s="96"/>
      <c r="I1511" s="96"/>
    </row>
    <row r="1512" spans="1:9" x14ac:dyDescent="0.25">
      <c r="A1512" s="131"/>
      <c r="B1512" s="96"/>
      <c r="C1512" s="96"/>
      <c r="D1512" s="96"/>
      <c r="E1512" s="96"/>
      <c r="F1512" s="96"/>
      <c r="G1512" s="96"/>
      <c r="H1512" s="96"/>
      <c r="I1512" s="96"/>
    </row>
    <row r="1513" spans="1:9" x14ac:dyDescent="0.25">
      <c r="A1513" s="131"/>
      <c r="B1513" s="96"/>
      <c r="C1513" s="96"/>
      <c r="D1513" s="96"/>
      <c r="E1513" s="96"/>
      <c r="F1513" s="96"/>
      <c r="G1513" s="96"/>
      <c r="H1513" s="96"/>
      <c r="I1513" s="96"/>
    </row>
    <row r="1514" spans="1:9" x14ac:dyDescent="0.25">
      <c r="A1514" s="131"/>
      <c r="B1514" s="96"/>
      <c r="C1514" s="96"/>
      <c r="D1514" s="96"/>
      <c r="E1514" s="96"/>
      <c r="F1514" s="96"/>
      <c r="G1514" s="96"/>
      <c r="H1514" s="96"/>
      <c r="I1514" s="96"/>
    </row>
    <row r="1515" spans="1:9" x14ac:dyDescent="0.25">
      <c r="A1515" s="131"/>
      <c r="B1515" s="96"/>
      <c r="C1515" s="96"/>
      <c r="D1515" s="96"/>
      <c r="E1515" s="96"/>
      <c r="F1515" s="96"/>
      <c r="G1515" s="96"/>
      <c r="H1515" s="96"/>
      <c r="I1515" s="96"/>
    </row>
    <row r="1516" spans="1:9" x14ac:dyDescent="0.25">
      <c r="A1516" s="131"/>
      <c r="B1516" s="96"/>
      <c r="C1516" s="96"/>
      <c r="D1516" s="96"/>
      <c r="E1516" s="96"/>
      <c r="F1516" s="96"/>
      <c r="G1516" s="96"/>
      <c r="H1516" s="96"/>
      <c r="I1516" s="96"/>
    </row>
    <row r="1517" spans="1:9" x14ac:dyDescent="0.25">
      <c r="A1517" s="131"/>
      <c r="B1517" s="96"/>
      <c r="C1517" s="96"/>
      <c r="D1517" s="96"/>
      <c r="E1517" s="96"/>
      <c r="F1517" s="96"/>
      <c r="G1517" s="96"/>
      <c r="H1517" s="96"/>
      <c r="I1517" s="96"/>
    </row>
    <row r="1518" spans="1:9" x14ac:dyDescent="0.25">
      <c r="A1518" s="131"/>
      <c r="B1518" s="96"/>
      <c r="C1518" s="96"/>
      <c r="D1518" s="96"/>
      <c r="E1518" s="96"/>
      <c r="F1518" s="96"/>
      <c r="G1518" s="96"/>
      <c r="H1518" s="96"/>
      <c r="I1518" s="96"/>
    </row>
    <row r="1519" spans="1:9" x14ac:dyDescent="0.25">
      <c r="A1519" s="131"/>
      <c r="B1519" s="96"/>
      <c r="C1519" s="96"/>
      <c r="D1519" s="96"/>
      <c r="E1519" s="96"/>
      <c r="F1519" s="96"/>
      <c r="G1519" s="96"/>
      <c r="H1519" s="96"/>
      <c r="I1519" s="96"/>
    </row>
    <row r="1520" spans="1:9" x14ac:dyDescent="0.25">
      <c r="A1520" s="131"/>
      <c r="B1520" s="96"/>
      <c r="C1520" s="96"/>
      <c r="D1520" s="96"/>
      <c r="E1520" s="96"/>
      <c r="F1520" s="96"/>
      <c r="G1520" s="96"/>
      <c r="H1520" s="96"/>
      <c r="I1520" s="96"/>
    </row>
    <row r="1521" spans="1:9" x14ac:dyDescent="0.25">
      <c r="A1521" s="131"/>
      <c r="B1521" s="96"/>
      <c r="C1521" s="96"/>
      <c r="D1521" s="96"/>
      <c r="E1521" s="96"/>
      <c r="F1521" s="96"/>
      <c r="G1521" s="96"/>
      <c r="H1521" s="96"/>
      <c r="I1521" s="96"/>
    </row>
    <row r="1522" spans="1:9" x14ac:dyDescent="0.25">
      <c r="A1522" s="131"/>
      <c r="B1522" s="96"/>
      <c r="C1522" s="96"/>
      <c r="D1522" s="96"/>
      <c r="E1522" s="96"/>
      <c r="F1522" s="96"/>
      <c r="G1522" s="96"/>
      <c r="H1522" s="96"/>
      <c r="I1522" s="96"/>
    </row>
    <row r="1523" spans="1:9" x14ac:dyDescent="0.25">
      <c r="A1523" s="131"/>
      <c r="B1523" s="96"/>
      <c r="C1523" s="96"/>
      <c r="D1523" s="96"/>
      <c r="E1523" s="96"/>
      <c r="F1523" s="96"/>
      <c r="G1523" s="96"/>
      <c r="H1523" s="96"/>
      <c r="I1523" s="96"/>
    </row>
    <row r="1524" spans="1:9" x14ac:dyDescent="0.25">
      <c r="A1524" s="131"/>
      <c r="B1524" s="96"/>
      <c r="C1524" s="96"/>
      <c r="D1524" s="96"/>
      <c r="E1524" s="96"/>
      <c r="F1524" s="96"/>
      <c r="G1524" s="96"/>
      <c r="H1524" s="96"/>
      <c r="I1524" s="96"/>
    </row>
    <row r="1525" spans="1:9" x14ac:dyDescent="0.25">
      <c r="A1525" s="131"/>
      <c r="B1525" s="96"/>
      <c r="C1525" s="96"/>
      <c r="D1525" s="96"/>
      <c r="E1525" s="96"/>
      <c r="F1525" s="96"/>
      <c r="G1525" s="96"/>
      <c r="H1525" s="96"/>
      <c r="I1525" s="96"/>
    </row>
    <row r="1526" spans="1:9" x14ac:dyDescent="0.25">
      <c r="A1526" s="131"/>
      <c r="B1526" s="96"/>
      <c r="C1526" s="96"/>
      <c r="D1526" s="96"/>
      <c r="E1526" s="96"/>
      <c r="F1526" s="96"/>
      <c r="G1526" s="96"/>
      <c r="H1526" s="96"/>
      <c r="I1526" s="96"/>
    </row>
    <row r="1527" spans="1:9" x14ac:dyDescent="0.25">
      <c r="A1527" s="131"/>
      <c r="B1527" s="96"/>
      <c r="C1527" s="96"/>
      <c r="D1527" s="96"/>
      <c r="E1527" s="96"/>
      <c r="F1527" s="96"/>
      <c r="G1527" s="96"/>
      <c r="H1527" s="96"/>
      <c r="I1527" s="96"/>
    </row>
    <row r="1528" spans="1:9" x14ac:dyDescent="0.25">
      <c r="A1528" s="131"/>
      <c r="B1528" s="96"/>
      <c r="C1528" s="96"/>
      <c r="D1528" s="96"/>
      <c r="E1528" s="96"/>
      <c r="F1528" s="96"/>
      <c r="G1528" s="96"/>
      <c r="H1528" s="96"/>
      <c r="I1528" s="96"/>
    </row>
    <row r="1529" spans="1:9" x14ac:dyDescent="0.25">
      <c r="A1529" s="131"/>
      <c r="B1529" s="96"/>
      <c r="C1529" s="96"/>
      <c r="D1529" s="96"/>
      <c r="E1529" s="96"/>
      <c r="F1529" s="96"/>
      <c r="G1529" s="96"/>
      <c r="H1529" s="96"/>
      <c r="I1529" s="96"/>
    </row>
    <row r="1530" spans="1:9" x14ac:dyDescent="0.25">
      <c r="A1530" s="131"/>
      <c r="B1530" s="96"/>
      <c r="C1530" s="96"/>
      <c r="D1530" s="96"/>
      <c r="E1530" s="96"/>
      <c r="F1530" s="96"/>
      <c r="G1530" s="96"/>
      <c r="H1530" s="96"/>
      <c r="I1530" s="96"/>
    </row>
    <row r="1531" spans="1:9" x14ac:dyDescent="0.25">
      <c r="A1531" s="131"/>
      <c r="B1531" s="96"/>
      <c r="C1531" s="96"/>
      <c r="D1531" s="96"/>
      <c r="E1531" s="96"/>
      <c r="F1531" s="96"/>
      <c r="G1531" s="96"/>
      <c r="H1531" s="96"/>
      <c r="I1531" s="96"/>
    </row>
    <row r="1532" spans="1:9" x14ac:dyDescent="0.25">
      <c r="A1532" s="131"/>
      <c r="B1532" s="96"/>
      <c r="C1532" s="96"/>
      <c r="D1532" s="96"/>
      <c r="E1532" s="96"/>
      <c r="F1532" s="96"/>
      <c r="G1532" s="96"/>
      <c r="H1532" s="96"/>
      <c r="I1532" s="96"/>
    </row>
    <row r="1533" spans="1:9" x14ac:dyDescent="0.25">
      <c r="A1533" s="131"/>
      <c r="B1533" s="96"/>
      <c r="C1533" s="96"/>
      <c r="D1533" s="96"/>
      <c r="E1533" s="96"/>
      <c r="F1533" s="96"/>
      <c r="G1533" s="96"/>
      <c r="H1533" s="96"/>
      <c r="I1533" s="96"/>
    </row>
    <row r="1534" spans="1:9" x14ac:dyDescent="0.25">
      <c r="A1534" s="131"/>
      <c r="B1534" s="96"/>
      <c r="C1534" s="96"/>
      <c r="D1534" s="96"/>
      <c r="E1534" s="96"/>
      <c r="F1534" s="96"/>
      <c r="G1534" s="96"/>
      <c r="H1534" s="96"/>
      <c r="I1534" s="96"/>
    </row>
    <row r="1535" spans="1:9" x14ac:dyDescent="0.25">
      <c r="A1535" s="131"/>
      <c r="B1535" s="96"/>
      <c r="C1535" s="96"/>
      <c r="D1535" s="96"/>
      <c r="E1535" s="96"/>
      <c r="F1535" s="96"/>
      <c r="G1535" s="96"/>
      <c r="H1535" s="96"/>
      <c r="I1535" s="96"/>
    </row>
    <row r="1536" spans="1:9" x14ac:dyDescent="0.25">
      <c r="A1536" s="131"/>
      <c r="B1536" s="96"/>
      <c r="C1536" s="96"/>
      <c r="D1536" s="96"/>
      <c r="E1536" s="96"/>
      <c r="F1536" s="96"/>
      <c r="G1536" s="96"/>
      <c r="H1536" s="96"/>
      <c r="I1536" s="96"/>
    </row>
    <row r="1537" spans="1:9" x14ac:dyDescent="0.25">
      <c r="A1537" s="131"/>
      <c r="B1537" s="96"/>
      <c r="C1537" s="96"/>
      <c r="D1537" s="96"/>
      <c r="E1537" s="96"/>
      <c r="F1537" s="96"/>
      <c r="G1537" s="96"/>
      <c r="H1537" s="96"/>
      <c r="I1537" s="96"/>
    </row>
    <row r="1538" spans="1:9" x14ac:dyDescent="0.25">
      <c r="A1538" s="131"/>
      <c r="B1538" s="96"/>
      <c r="C1538" s="96"/>
      <c r="D1538" s="96"/>
      <c r="E1538" s="96"/>
      <c r="F1538" s="96"/>
      <c r="G1538" s="96"/>
      <c r="H1538" s="96"/>
      <c r="I1538" s="96"/>
    </row>
    <row r="1539" spans="1:9" x14ac:dyDescent="0.25">
      <c r="A1539" s="131"/>
      <c r="B1539" s="96"/>
      <c r="C1539" s="96"/>
      <c r="D1539" s="96"/>
      <c r="E1539" s="96"/>
      <c r="F1539" s="96"/>
      <c r="G1539" s="96"/>
      <c r="H1539" s="96"/>
      <c r="I1539" s="96"/>
    </row>
    <row r="1540" spans="1:9" x14ac:dyDescent="0.25">
      <c r="A1540" s="131"/>
      <c r="B1540" s="96"/>
      <c r="C1540" s="96"/>
      <c r="D1540" s="96"/>
      <c r="E1540" s="96"/>
      <c r="F1540" s="96"/>
      <c r="G1540" s="96"/>
      <c r="H1540" s="96"/>
      <c r="I1540" s="96"/>
    </row>
    <row r="1541" spans="1:9" x14ac:dyDescent="0.25">
      <c r="A1541" s="131"/>
      <c r="B1541" s="96"/>
      <c r="C1541" s="96"/>
      <c r="D1541" s="96"/>
      <c r="E1541" s="96"/>
      <c r="F1541" s="96"/>
      <c r="G1541" s="96"/>
      <c r="H1541" s="96"/>
      <c r="I1541" s="96"/>
    </row>
    <row r="1542" spans="1:9" x14ac:dyDescent="0.25">
      <c r="A1542" s="131"/>
      <c r="B1542" s="96"/>
      <c r="C1542" s="96"/>
      <c r="D1542" s="96"/>
      <c r="E1542" s="96"/>
      <c r="F1542" s="96"/>
      <c r="G1542" s="96"/>
      <c r="H1542" s="96"/>
      <c r="I1542" s="96"/>
    </row>
    <row r="1543" spans="1:9" x14ac:dyDescent="0.25">
      <c r="A1543" s="131"/>
      <c r="B1543" s="96"/>
      <c r="C1543" s="96"/>
      <c r="D1543" s="96"/>
      <c r="E1543" s="96"/>
      <c r="F1543" s="96"/>
      <c r="G1543" s="96"/>
      <c r="H1543" s="96"/>
      <c r="I1543" s="96"/>
    </row>
    <row r="1544" spans="1:9" x14ac:dyDescent="0.25">
      <c r="A1544" s="131"/>
      <c r="B1544" s="96"/>
      <c r="C1544" s="96"/>
      <c r="D1544" s="96"/>
      <c r="E1544" s="96"/>
      <c r="F1544" s="96"/>
      <c r="G1544" s="96"/>
      <c r="H1544" s="96"/>
      <c r="I1544" s="96"/>
    </row>
    <row r="1545" spans="1:9" x14ac:dyDescent="0.25">
      <c r="A1545" s="131"/>
      <c r="B1545" s="96"/>
      <c r="C1545" s="96"/>
      <c r="D1545" s="96"/>
      <c r="E1545" s="96"/>
      <c r="F1545" s="96"/>
      <c r="G1545" s="96"/>
      <c r="H1545" s="96"/>
      <c r="I1545" s="96"/>
    </row>
    <row r="1546" spans="1:9" x14ac:dyDescent="0.25">
      <c r="A1546" s="131"/>
      <c r="B1546" s="96"/>
      <c r="C1546" s="96"/>
      <c r="D1546" s="96"/>
      <c r="E1546" s="96"/>
      <c r="F1546" s="96"/>
      <c r="G1546" s="96"/>
      <c r="H1546" s="96"/>
      <c r="I1546" s="96"/>
    </row>
    <row r="1547" spans="1:9" x14ac:dyDescent="0.25">
      <c r="A1547" s="131"/>
      <c r="B1547" s="96"/>
      <c r="C1547" s="96"/>
      <c r="D1547" s="96"/>
      <c r="E1547" s="96"/>
      <c r="F1547" s="96"/>
      <c r="G1547" s="96"/>
      <c r="H1547" s="96"/>
      <c r="I1547" s="96"/>
    </row>
    <row r="1548" spans="1:9" x14ac:dyDescent="0.25">
      <c r="A1548" s="131"/>
      <c r="B1548" s="96"/>
      <c r="C1548" s="96"/>
      <c r="D1548" s="96"/>
      <c r="E1548" s="96"/>
      <c r="F1548" s="96"/>
      <c r="G1548" s="96"/>
      <c r="H1548" s="96"/>
      <c r="I1548" s="96"/>
    </row>
    <row r="1549" spans="1:9" x14ac:dyDescent="0.25">
      <c r="A1549" s="131"/>
      <c r="B1549" s="96"/>
      <c r="C1549" s="96"/>
      <c r="D1549" s="96"/>
      <c r="E1549" s="96"/>
      <c r="F1549" s="96"/>
      <c r="G1549" s="96"/>
      <c r="H1549" s="96"/>
      <c r="I1549" s="96"/>
    </row>
    <row r="1550" spans="1:9" x14ac:dyDescent="0.25">
      <c r="A1550" s="131"/>
      <c r="B1550" s="96"/>
      <c r="C1550" s="96"/>
      <c r="D1550" s="96"/>
      <c r="E1550" s="96"/>
      <c r="F1550" s="96"/>
      <c r="G1550" s="96"/>
      <c r="H1550" s="96"/>
      <c r="I1550" s="96"/>
    </row>
    <row r="1551" spans="1:9" x14ac:dyDescent="0.25">
      <c r="A1551" s="131"/>
      <c r="B1551" s="96"/>
      <c r="C1551" s="96"/>
      <c r="D1551" s="96"/>
      <c r="E1551" s="96"/>
      <c r="F1551" s="96"/>
      <c r="G1551" s="96"/>
      <c r="H1551" s="96"/>
      <c r="I1551" s="96"/>
    </row>
    <row r="1552" spans="1:9" x14ac:dyDescent="0.25">
      <c r="A1552" s="131"/>
      <c r="B1552" s="96"/>
      <c r="C1552" s="96"/>
      <c r="D1552" s="96"/>
      <c r="E1552" s="96"/>
      <c r="F1552" s="96"/>
      <c r="G1552" s="96"/>
      <c r="H1552" s="96"/>
      <c r="I1552" s="96"/>
    </row>
    <row r="1553" spans="1:9" x14ac:dyDescent="0.25">
      <c r="A1553" s="131"/>
      <c r="B1553" s="96"/>
      <c r="C1553" s="96"/>
      <c r="D1553" s="96"/>
      <c r="E1553" s="96"/>
      <c r="F1553" s="96"/>
      <c r="G1553" s="96"/>
      <c r="H1553" s="96"/>
      <c r="I1553" s="96"/>
    </row>
    <row r="1554" spans="1:9" x14ac:dyDescent="0.25">
      <c r="A1554" s="131"/>
      <c r="B1554" s="96"/>
      <c r="C1554" s="96"/>
      <c r="D1554" s="96"/>
      <c r="E1554" s="96"/>
      <c r="F1554" s="96"/>
      <c r="G1554" s="96"/>
      <c r="H1554" s="96"/>
      <c r="I1554" s="96"/>
    </row>
    <row r="1555" spans="1:9" x14ac:dyDescent="0.25">
      <c r="A1555" s="131"/>
      <c r="B1555" s="96"/>
      <c r="C1555" s="96"/>
      <c r="D1555" s="96"/>
      <c r="E1555" s="96"/>
      <c r="F1555" s="96"/>
      <c r="G1555" s="96"/>
      <c r="H1555" s="96"/>
      <c r="I1555" s="96"/>
    </row>
    <row r="1556" spans="1:9" x14ac:dyDescent="0.25">
      <c r="A1556" s="131"/>
      <c r="B1556" s="96"/>
      <c r="C1556" s="96"/>
      <c r="D1556" s="96"/>
      <c r="E1556" s="96"/>
      <c r="F1556" s="96"/>
      <c r="G1556" s="96"/>
      <c r="H1556" s="96"/>
      <c r="I1556" s="96"/>
    </row>
    <row r="1557" spans="1:9" x14ac:dyDescent="0.25">
      <c r="A1557" s="131"/>
      <c r="B1557" s="96"/>
      <c r="C1557" s="96"/>
      <c r="D1557" s="96"/>
      <c r="E1557" s="96"/>
      <c r="F1557" s="96"/>
      <c r="G1557" s="96"/>
      <c r="H1557" s="96"/>
      <c r="I1557" s="96"/>
    </row>
    <row r="1558" spans="1:9" x14ac:dyDescent="0.25">
      <c r="A1558" s="131"/>
      <c r="B1558" s="96"/>
      <c r="C1558" s="96"/>
      <c r="D1558" s="96"/>
      <c r="E1558" s="96"/>
      <c r="F1558" s="96"/>
      <c r="G1558" s="96"/>
      <c r="H1558" s="96"/>
      <c r="I1558" s="96"/>
    </row>
    <row r="1559" spans="1:9" x14ac:dyDescent="0.25">
      <c r="A1559" s="131"/>
      <c r="B1559" s="96"/>
      <c r="C1559" s="96"/>
      <c r="D1559" s="96"/>
      <c r="E1559" s="96"/>
      <c r="F1559" s="96"/>
      <c r="G1559" s="96"/>
      <c r="H1559" s="96"/>
      <c r="I1559" s="96"/>
    </row>
    <row r="1560" spans="1:9" x14ac:dyDescent="0.25">
      <c r="A1560" s="131"/>
      <c r="B1560" s="96"/>
      <c r="C1560" s="96"/>
      <c r="D1560" s="96"/>
      <c r="E1560" s="96"/>
      <c r="F1560" s="96"/>
      <c r="G1560" s="96"/>
      <c r="H1560" s="96"/>
      <c r="I1560" s="96"/>
    </row>
    <row r="1561" spans="1:9" x14ac:dyDescent="0.25">
      <c r="A1561" s="131"/>
      <c r="B1561" s="96"/>
      <c r="C1561" s="96"/>
      <c r="D1561" s="96"/>
      <c r="E1561" s="96"/>
      <c r="F1561" s="96"/>
      <c r="G1561" s="96"/>
      <c r="H1561" s="96"/>
      <c r="I1561" s="96"/>
    </row>
    <row r="1562" spans="1:9" x14ac:dyDescent="0.25">
      <c r="A1562" s="131"/>
      <c r="B1562" s="96"/>
      <c r="C1562" s="96"/>
      <c r="D1562" s="96"/>
      <c r="E1562" s="96"/>
      <c r="F1562" s="96"/>
      <c r="G1562" s="96"/>
      <c r="H1562" s="96"/>
      <c r="I1562" s="96"/>
    </row>
    <row r="1563" spans="1:9" x14ac:dyDescent="0.25">
      <c r="A1563" s="131"/>
      <c r="B1563" s="96"/>
      <c r="C1563" s="96"/>
      <c r="D1563" s="96"/>
      <c r="E1563" s="96"/>
      <c r="F1563" s="96"/>
      <c r="G1563" s="96"/>
      <c r="H1563" s="96"/>
      <c r="I1563" s="96"/>
    </row>
    <row r="1564" spans="1:9" x14ac:dyDescent="0.25">
      <c r="A1564" s="131"/>
      <c r="B1564" s="96"/>
      <c r="C1564" s="96"/>
      <c r="D1564" s="96"/>
      <c r="E1564" s="96"/>
      <c r="F1564" s="96"/>
      <c r="G1564" s="96"/>
      <c r="H1564" s="96"/>
      <c r="I1564" s="96"/>
    </row>
    <row r="1565" spans="1:9" x14ac:dyDescent="0.25">
      <c r="A1565" s="131"/>
      <c r="B1565" s="96"/>
      <c r="C1565" s="96"/>
      <c r="D1565" s="96"/>
      <c r="E1565" s="96"/>
      <c r="F1565" s="96"/>
      <c r="G1565" s="96"/>
      <c r="H1565" s="96"/>
      <c r="I1565" s="96"/>
    </row>
    <row r="1566" spans="1:9" x14ac:dyDescent="0.25">
      <c r="A1566" s="131"/>
      <c r="B1566" s="96"/>
      <c r="C1566" s="96"/>
      <c r="D1566" s="96"/>
      <c r="E1566" s="96"/>
      <c r="F1566" s="96"/>
      <c r="G1566" s="96"/>
      <c r="H1566" s="96"/>
      <c r="I1566" s="96"/>
    </row>
    <row r="1567" spans="1:9" x14ac:dyDescent="0.25">
      <c r="A1567" s="131"/>
      <c r="B1567" s="96"/>
      <c r="C1567" s="96"/>
      <c r="D1567" s="96"/>
      <c r="E1567" s="96"/>
      <c r="F1567" s="96"/>
      <c r="G1567" s="96"/>
      <c r="H1567" s="96"/>
      <c r="I1567" s="96"/>
    </row>
    <row r="1568" spans="1:9" x14ac:dyDescent="0.25">
      <c r="A1568" s="131"/>
      <c r="B1568" s="96"/>
      <c r="C1568" s="96"/>
      <c r="D1568" s="96"/>
      <c r="E1568" s="96"/>
      <c r="F1568" s="96"/>
      <c r="G1568" s="96"/>
      <c r="H1568" s="96"/>
      <c r="I1568" s="96"/>
    </row>
    <row r="1569" spans="1:9" x14ac:dyDescent="0.25">
      <c r="A1569" s="131"/>
      <c r="B1569" s="96"/>
      <c r="C1569" s="96"/>
      <c r="D1569" s="96"/>
      <c r="E1569" s="96"/>
      <c r="F1569" s="96"/>
      <c r="G1569" s="96"/>
      <c r="H1569" s="96"/>
      <c r="I1569" s="96"/>
    </row>
    <row r="1570" spans="1:9" x14ac:dyDescent="0.25">
      <c r="A1570" s="131"/>
      <c r="B1570" s="96"/>
      <c r="C1570" s="96"/>
      <c r="D1570" s="96"/>
      <c r="E1570" s="96"/>
      <c r="F1570" s="96"/>
      <c r="G1570" s="96"/>
      <c r="H1570" s="96"/>
      <c r="I1570" s="96"/>
    </row>
    <row r="1571" spans="1:9" x14ac:dyDescent="0.25">
      <c r="A1571" s="131"/>
      <c r="B1571" s="96"/>
      <c r="C1571" s="96"/>
      <c r="D1571" s="96"/>
      <c r="E1571" s="96"/>
      <c r="F1571" s="96"/>
      <c r="G1571" s="96"/>
      <c r="H1571" s="96"/>
      <c r="I1571" s="96"/>
    </row>
    <row r="1572" spans="1:9" x14ac:dyDescent="0.25">
      <c r="A1572" s="131"/>
      <c r="B1572" s="96"/>
      <c r="C1572" s="96"/>
      <c r="D1572" s="96"/>
      <c r="E1572" s="96"/>
      <c r="F1572" s="96"/>
      <c r="G1572" s="96"/>
      <c r="H1572" s="96"/>
      <c r="I1572" s="96"/>
    </row>
    <row r="1573" spans="1:9" x14ac:dyDescent="0.25">
      <c r="A1573" s="131"/>
      <c r="B1573" s="96"/>
      <c r="C1573" s="96"/>
      <c r="D1573" s="96"/>
      <c r="E1573" s="96"/>
      <c r="F1573" s="96"/>
      <c r="G1573" s="96"/>
      <c r="H1573" s="96"/>
      <c r="I1573" s="96"/>
    </row>
    <row r="1574" spans="1:9" x14ac:dyDescent="0.25">
      <c r="A1574" s="131"/>
      <c r="B1574" s="96"/>
      <c r="C1574" s="96"/>
      <c r="D1574" s="96"/>
      <c r="E1574" s="96"/>
      <c r="F1574" s="96"/>
      <c r="G1574" s="96"/>
      <c r="H1574" s="96"/>
      <c r="I1574" s="96"/>
    </row>
    <row r="1575" spans="1:9" x14ac:dyDescent="0.25">
      <c r="A1575" s="131"/>
      <c r="B1575" s="96"/>
      <c r="C1575" s="96"/>
      <c r="D1575" s="96"/>
      <c r="E1575" s="96"/>
      <c r="F1575" s="96"/>
      <c r="G1575" s="96"/>
      <c r="H1575" s="96"/>
      <c r="I1575" s="96"/>
    </row>
    <row r="1576" spans="1:9" x14ac:dyDescent="0.25">
      <c r="A1576" s="131"/>
      <c r="B1576" s="96"/>
      <c r="C1576" s="96"/>
      <c r="D1576" s="96"/>
      <c r="E1576" s="96"/>
      <c r="F1576" s="96"/>
      <c r="G1576" s="96"/>
      <c r="H1576" s="96"/>
      <c r="I1576" s="96"/>
    </row>
    <row r="1577" spans="1:9" x14ac:dyDescent="0.25">
      <c r="A1577" s="131"/>
      <c r="B1577" s="96"/>
      <c r="C1577" s="96"/>
      <c r="D1577" s="96"/>
      <c r="E1577" s="96"/>
      <c r="F1577" s="96"/>
      <c r="G1577" s="96"/>
      <c r="H1577" s="96"/>
      <c r="I1577" s="96"/>
    </row>
    <row r="1578" spans="1:9" x14ac:dyDescent="0.25">
      <c r="A1578" s="131"/>
      <c r="B1578" s="96"/>
      <c r="C1578" s="96"/>
      <c r="D1578" s="96"/>
      <c r="E1578" s="96"/>
      <c r="F1578" s="96"/>
      <c r="G1578" s="96"/>
      <c r="H1578" s="96"/>
      <c r="I1578" s="96"/>
    </row>
    <row r="1579" spans="1:9" x14ac:dyDescent="0.25">
      <c r="A1579" s="131"/>
      <c r="B1579" s="96"/>
      <c r="C1579" s="96"/>
      <c r="D1579" s="96"/>
      <c r="E1579" s="96"/>
      <c r="F1579" s="96"/>
      <c r="G1579" s="96"/>
      <c r="H1579" s="96"/>
      <c r="I1579" s="96"/>
    </row>
    <row r="1580" spans="1:9" x14ac:dyDescent="0.25">
      <c r="A1580" s="131"/>
      <c r="B1580" s="96"/>
      <c r="C1580" s="96"/>
      <c r="D1580" s="96"/>
      <c r="E1580" s="96"/>
      <c r="F1580" s="96"/>
      <c r="G1580" s="96"/>
      <c r="H1580" s="96"/>
      <c r="I1580" s="96"/>
    </row>
    <row r="1581" spans="1:9" x14ac:dyDescent="0.25">
      <c r="A1581" s="131"/>
      <c r="B1581" s="96"/>
      <c r="C1581" s="96"/>
      <c r="D1581" s="96"/>
      <c r="E1581" s="96"/>
      <c r="F1581" s="96"/>
      <c r="G1581" s="96"/>
      <c r="H1581" s="96"/>
      <c r="I1581" s="96"/>
    </row>
    <row r="1582" spans="1:9" x14ac:dyDescent="0.25">
      <c r="A1582" s="131"/>
      <c r="B1582" s="96"/>
      <c r="C1582" s="96"/>
      <c r="D1582" s="96"/>
      <c r="E1582" s="96"/>
      <c r="F1582" s="96"/>
      <c r="G1582" s="96"/>
      <c r="H1582" s="96"/>
      <c r="I1582" s="96"/>
    </row>
    <row r="1583" spans="1:9" x14ac:dyDescent="0.25">
      <c r="A1583" s="131"/>
      <c r="B1583" s="96"/>
      <c r="C1583" s="96"/>
      <c r="D1583" s="96"/>
      <c r="E1583" s="96"/>
      <c r="F1583" s="96"/>
      <c r="G1583" s="96"/>
      <c r="H1583" s="96"/>
      <c r="I1583" s="96"/>
    </row>
    <row r="1584" spans="1:9" x14ac:dyDescent="0.25">
      <c r="A1584" s="131"/>
      <c r="B1584" s="96"/>
      <c r="C1584" s="96"/>
      <c r="D1584" s="96"/>
      <c r="E1584" s="96"/>
      <c r="F1584" s="96"/>
      <c r="G1584" s="96"/>
      <c r="H1584" s="96"/>
      <c r="I1584" s="96"/>
    </row>
    <row r="1585" spans="1:9" x14ac:dyDescent="0.25">
      <c r="A1585" s="131"/>
      <c r="B1585" s="96"/>
      <c r="C1585" s="96"/>
      <c r="D1585" s="96"/>
      <c r="E1585" s="96"/>
      <c r="F1585" s="96"/>
      <c r="G1585" s="96"/>
      <c r="H1585" s="96"/>
      <c r="I1585" s="96"/>
    </row>
    <row r="1586" spans="1:9" x14ac:dyDescent="0.25">
      <c r="A1586" s="131"/>
      <c r="B1586" s="96"/>
      <c r="C1586" s="96"/>
      <c r="D1586" s="96"/>
      <c r="E1586" s="96"/>
      <c r="F1586" s="96"/>
      <c r="G1586" s="96"/>
      <c r="H1586" s="96"/>
      <c r="I1586" s="96"/>
    </row>
    <row r="1587" spans="1:9" x14ac:dyDescent="0.25">
      <c r="A1587" s="131"/>
      <c r="B1587" s="96"/>
      <c r="C1587" s="96"/>
      <c r="D1587" s="96"/>
      <c r="E1587" s="96"/>
      <c r="F1587" s="96"/>
      <c r="G1587" s="96"/>
      <c r="H1587" s="96"/>
      <c r="I1587" s="96"/>
    </row>
    <row r="1588" spans="1:9" x14ac:dyDescent="0.25">
      <c r="A1588" s="131"/>
      <c r="B1588" s="96"/>
      <c r="C1588" s="96"/>
      <c r="D1588" s="96"/>
      <c r="E1588" s="96"/>
      <c r="F1588" s="96"/>
      <c r="G1588" s="96"/>
      <c r="H1588" s="96"/>
      <c r="I1588" s="96"/>
    </row>
    <row r="1589" spans="1:9" x14ac:dyDescent="0.25">
      <c r="A1589" s="131"/>
      <c r="B1589" s="96"/>
      <c r="C1589" s="96"/>
      <c r="D1589" s="96"/>
      <c r="E1589" s="96"/>
      <c r="F1589" s="96"/>
      <c r="G1589" s="96"/>
      <c r="H1589" s="96"/>
      <c r="I1589" s="96"/>
    </row>
    <row r="1590" spans="1:9" x14ac:dyDescent="0.25">
      <c r="A1590" s="131"/>
      <c r="B1590" s="96"/>
      <c r="C1590" s="96"/>
      <c r="D1590" s="96"/>
      <c r="E1590" s="96"/>
      <c r="F1590" s="96"/>
      <c r="G1590" s="96"/>
      <c r="H1590" s="96"/>
      <c r="I1590" s="96"/>
    </row>
    <row r="1591" spans="1:9" x14ac:dyDescent="0.25">
      <c r="A1591" s="131"/>
      <c r="B1591" s="96"/>
      <c r="C1591" s="96"/>
      <c r="D1591" s="96"/>
      <c r="E1591" s="96"/>
      <c r="F1591" s="96"/>
      <c r="G1591" s="96"/>
      <c r="H1591" s="96"/>
      <c r="I1591" s="96"/>
    </row>
    <row r="1592" spans="1:9" x14ac:dyDescent="0.25">
      <c r="A1592" s="131"/>
      <c r="B1592" s="96"/>
      <c r="C1592" s="96"/>
      <c r="D1592" s="96"/>
      <c r="E1592" s="96"/>
      <c r="F1592" s="96"/>
      <c r="G1592" s="96"/>
      <c r="H1592" s="96"/>
      <c r="I1592" s="96"/>
    </row>
    <row r="1593" spans="1:9" x14ac:dyDescent="0.25">
      <c r="A1593" s="131"/>
      <c r="B1593" s="96"/>
      <c r="C1593" s="96"/>
      <c r="D1593" s="96"/>
      <c r="E1593" s="96"/>
      <c r="F1593" s="96"/>
      <c r="G1593" s="96"/>
      <c r="H1593" s="96"/>
      <c r="I1593" s="96"/>
    </row>
    <row r="1594" spans="1:9" x14ac:dyDescent="0.25">
      <c r="A1594" s="131"/>
      <c r="B1594" s="96"/>
      <c r="C1594" s="96"/>
      <c r="D1594" s="96"/>
      <c r="E1594" s="96"/>
      <c r="F1594" s="96"/>
      <c r="G1594" s="96"/>
      <c r="H1594" s="96"/>
      <c r="I1594" s="96"/>
    </row>
    <row r="1595" spans="1:9" x14ac:dyDescent="0.25">
      <c r="A1595" s="131"/>
      <c r="B1595" s="96"/>
      <c r="C1595" s="96"/>
      <c r="D1595" s="96"/>
      <c r="E1595" s="96"/>
      <c r="F1595" s="96"/>
      <c r="G1595" s="96"/>
      <c r="H1595" s="96"/>
      <c r="I1595" s="96"/>
    </row>
    <row r="1596" spans="1:9" x14ac:dyDescent="0.25">
      <c r="A1596" s="131"/>
      <c r="B1596" s="96"/>
      <c r="C1596" s="96"/>
      <c r="D1596" s="96"/>
      <c r="E1596" s="96"/>
      <c r="F1596" s="96"/>
      <c r="G1596" s="96"/>
      <c r="H1596" s="96"/>
      <c r="I1596" s="96"/>
    </row>
    <row r="1597" spans="1:9" x14ac:dyDescent="0.25">
      <c r="A1597" s="131"/>
      <c r="B1597" s="96"/>
      <c r="C1597" s="96"/>
      <c r="D1597" s="96"/>
      <c r="E1597" s="96"/>
      <c r="F1597" s="96"/>
      <c r="G1597" s="96"/>
      <c r="H1597" s="96"/>
      <c r="I1597" s="96"/>
    </row>
    <row r="1598" spans="1:9" x14ac:dyDescent="0.25">
      <c r="A1598" s="131"/>
      <c r="B1598" s="96"/>
      <c r="C1598" s="96"/>
      <c r="D1598" s="96"/>
      <c r="E1598" s="96"/>
      <c r="F1598" s="96"/>
      <c r="G1598" s="96"/>
      <c r="H1598" s="96"/>
      <c r="I1598" s="96"/>
    </row>
    <row r="1599" spans="1:9" x14ac:dyDescent="0.25">
      <c r="A1599" s="131"/>
      <c r="B1599" s="96"/>
      <c r="C1599" s="96"/>
      <c r="D1599" s="96"/>
      <c r="E1599" s="96"/>
      <c r="F1599" s="96"/>
      <c r="G1599" s="96"/>
      <c r="H1599" s="96"/>
      <c r="I1599" s="96"/>
    </row>
    <row r="1600" spans="1:9" x14ac:dyDescent="0.25">
      <c r="A1600" s="131"/>
      <c r="B1600" s="96"/>
      <c r="C1600" s="96"/>
      <c r="D1600" s="96"/>
      <c r="E1600" s="96"/>
      <c r="F1600" s="96"/>
      <c r="G1600" s="96"/>
      <c r="H1600" s="96"/>
      <c r="I1600" s="96"/>
    </row>
    <row r="1601" spans="1:9" x14ac:dyDescent="0.25">
      <c r="A1601" s="131"/>
      <c r="B1601" s="96"/>
      <c r="C1601" s="96"/>
      <c r="D1601" s="96"/>
      <c r="E1601" s="96"/>
      <c r="F1601" s="96"/>
      <c r="G1601" s="96"/>
      <c r="H1601" s="96"/>
      <c r="I1601" s="96"/>
    </row>
    <row r="1602" spans="1:9" x14ac:dyDescent="0.25">
      <c r="A1602" s="131"/>
      <c r="B1602" s="96"/>
      <c r="C1602" s="96"/>
      <c r="D1602" s="96"/>
      <c r="E1602" s="96"/>
      <c r="F1602" s="96"/>
      <c r="G1602" s="96"/>
      <c r="H1602" s="96"/>
      <c r="I1602" s="96"/>
    </row>
    <row r="1603" spans="1:9" x14ac:dyDescent="0.25">
      <c r="A1603" s="131"/>
      <c r="B1603" s="96"/>
      <c r="C1603" s="96"/>
      <c r="D1603" s="96"/>
      <c r="E1603" s="96"/>
      <c r="F1603" s="96"/>
      <c r="G1603" s="96"/>
      <c r="H1603" s="96"/>
      <c r="I1603" s="96"/>
    </row>
    <row r="1604" spans="1:9" x14ac:dyDescent="0.25">
      <c r="A1604" s="131"/>
      <c r="B1604" s="96"/>
      <c r="C1604" s="96"/>
      <c r="D1604" s="96"/>
      <c r="E1604" s="96"/>
      <c r="F1604" s="96"/>
      <c r="G1604" s="96"/>
      <c r="H1604" s="96"/>
      <c r="I1604" s="96"/>
    </row>
    <row r="1605" spans="1:9" x14ac:dyDescent="0.25">
      <c r="A1605" s="131"/>
      <c r="B1605" s="96"/>
      <c r="C1605" s="96"/>
      <c r="D1605" s="96"/>
      <c r="E1605" s="96"/>
      <c r="F1605" s="96"/>
      <c r="G1605" s="96"/>
      <c r="H1605" s="96"/>
      <c r="I1605" s="96"/>
    </row>
    <row r="1606" spans="1:9" x14ac:dyDescent="0.25">
      <c r="A1606" s="131"/>
      <c r="B1606" s="96"/>
      <c r="C1606" s="96"/>
      <c r="D1606" s="96"/>
      <c r="E1606" s="96"/>
      <c r="F1606" s="96"/>
      <c r="G1606" s="96"/>
      <c r="H1606" s="96"/>
      <c r="I1606" s="96"/>
    </row>
    <row r="1607" spans="1:9" x14ac:dyDescent="0.25">
      <c r="A1607" s="131"/>
      <c r="B1607" s="96"/>
      <c r="C1607" s="96"/>
      <c r="D1607" s="96"/>
      <c r="E1607" s="96"/>
      <c r="F1607" s="96"/>
      <c r="G1607" s="96"/>
      <c r="H1607" s="96"/>
      <c r="I1607" s="96"/>
    </row>
    <row r="1608" spans="1:9" x14ac:dyDescent="0.25">
      <c r="A1608" s="131"/>
      <c r="B1608" s="96"/>
      <c r="C1608" s="96"/>
      <c r="D1608" s="96"/>
      <c r="E1608" s="96"/>
      <c r="F1608" s="96"/>
      <c r="G1608" s="96"/>
      <c r="H1608" s="96"/>
      <c r="I1608" s="96"/>
    </row>
    <row r="1609" spans="1:9" x14ac:dyDescent="0.25">
      <c r="A1609" s="131"/>
      <c r="B1609" s="96"/>
      <c r="C1609" s="96"/>
      <c r="D1609" s="96"/>
      <c r="E1609" s="96"/>
      <c r="F1609" s="96"/>
      <c r="G1609" s="96"/>
      <c r="H1609" s="96"/>
      <c r="I1609" s="96"/>
    </row>
    <row r="1610" spans="1:9" x14ac:dyDescent="0.25">
      <c r="A1610" s="131"/>
      <c r="B1610" s="96"/>
      <c r="C1610" s="96"/>
      <c r="D1610" s="96"/>
      <c r="E1610" s="96"/>
      <c r="F1610" s="96"/>
      <c r="G1610" s="96"/>
      <c r="H1610" s="96"/>
      <c r="I1610" s="96"/>
    </row>
    <row r="1611" spans="1:9" x14ac:dyDescent="0.25">
      <c r="A1611" s="131"/>
      <c r="B1611" s="96"/>
      <c r="C1611" s="96"/>
      <c r="D1611" s="96"/>
      <c r="E1611" s="96"/>
      <c r="F1611" s="96"/>
      <c r="G1611" s="96"/>
      <c r="H1611" s="96"/>
      <c r="I1611" s="96"/>
    </row>
    <row r="1612" spans="1:9" x14ac:dyDescent="0.25">
      <c r="A1612" s="131"/>
      <c r="B1612" s="96"/>
      <c r="C1612" s="96"/>
      <c r="D1612" s="96"/>
      <c r="E1612" s="96"/>
      <c r="F1612" s="96"/>
      <c r="G1612" s="96"/>
      <c r="H1612" s="96"/>
      <c r="I1612" s="96"/>
    </row>
    <row r="1613" spans="1:9" x14ac:dyDescent="0.25">
      <c r="A1613" s="131"/>
      <c r="B1613" s="96"/>
      <c r="C1613" s="96"/>
      <c r="D1613" s="96"/>
      <c r="E1613" s="96"/>
      <c r="F1613" s="96"/>
      <c r="G1613" s="96"/>
      <c r="H1613" s="96"/>
      <c r="I1613" s="96"/>
    </row>
    <row r="1614" spans="1:9" x14ac:dyDescent="0.25">
      <c r="A1614" s="131"/>
      <c r="B1614" s="96"/>
      <c r="C1614" s="96"/>
      <c r="D1614" s="96"/>
      <c r="E1614" s="96"/>
      <c r="F1614" s="96"/>
      <c r="G1614" s="96"/>
      <c r="H1614" s="96"/>
      <c r="I1614" s="96"/>
    </row>
    <row r="1615" spans="1:9" x14ac:dyDescent="0.25">
      <c r="A1615" s="131"/>
      <c r="B1615" s="96"/>
      <c r="C1615" s="96"/>
      <c r="D1615" s="96"/>
      <c r="E1615" s="96"/>
      <c r="F1615" s="96"/>
      <c r="G1615" s="96"/>
      <c r="H1615" s="96"/>
      <c r="I1615" s="96"/>
    </row>
    <row r="1616" spans="1:9" x14ac:dyDescent="0.25">
      <c r="A1616" s="131"/>
      <c r="B1616" s="96"/>
      <c r="C1616" s="96"/>
      <c r="D1616" s="96"/>
      <c r="E1616" s="96"/>
      <c r="F1616" s="96"/>
      <c r="G1616" s="96"/>
      <c r="H1616" s="96"/>
      <c r="I1616" s="96"/>
    </row>
    <row r="1617" spans="1:9" x14ac:dyDescent="0.25">
      <c r="A1617" s="131"/>
      <c r="B1617" s="96"/>
      <c r="C1617" s="96"/>
      <c r="D1617" s="96"/>
      <c r="E1617" s="96"/>
      <c r="F1617" s="96"/>
      <c r="G1617" s="96"/>
      <c r="H1617" s="96"/>
      <c r="I1617" s="96"/>
    </row>
    <row r="1618" spans="1:9" x14ac:dyDescent="0.25">
      <c r="A1618" s="131"/>
      <c r="B1618" s="96"/>
      <c r="C1618" s="96"/>
      <c r="D1618" s="96"/>
      <c r="E1618" s="96"/>
      <c r="F1618" s="96"/>
      <c r="G1618" s="96"/>
      <c r="H1618" s="96"/>
      <c r="I1618" s="96"/>
    </row>
    <row r="1619" spans="1:9" x14ac:dyDescent="0.25">
      <c r="A1619" s="131"/>
      <c r="B1619" s="96"/>
      <c r="C1619" s="96"/>
      <c r="D1619" s="96"/>
      <c r="E1619" s="96"/>
      <c r="F1619" s="96"/>
      <c r="G1619" s="96"/>
      <c r="H1619" s="96"/>
      <c r="I1619" s="96"/>
    </row>
    <row r="1620" spans="1:9" x14ac:dyDescent="0.25">
      <c r="A1620" s="131"/>
      <c r="B1620" s="96"/>
      <c r="C1620" s="96"/>
      <c r="D1620" s="96"/>
      <c r="E1620" s="96"/>
      <c r="F1620" s="96"/>
      <c r="G1620" s="96"/>
      <c r="H1620" s="96"/>
      <c r="I1620" s="96"/>
    </row>
    <row r="1621" spans="1:9" x14ac:dyDescent="0.25">
      <c r="A1621" s="131"/>
      <c r="B1621" s="96"/>
      <c r="C1621" s="96"/>
      <c r="D1621" s="96"/>
      <c r="E1621" s="96"/>
      <c r="F1621" s="96"/>
      <c r="G1621" s="96"/>
      <c r="H1621" s="96"/>
      <c r="I1621" s="96"/>
    </row>
    <row r="1622" spans="1:9" x14ac:dyDescent="0.25">
      <c r="A1622" s="131"/>
      <c r="B1622" s="96"/>
      <c r="C1622" s="96"/>
      <c r="D1622" s="96"/>
      <c r="E1622" s="96"/>
      <c r="F1622" s="96"/>
      <c r="G1622" s="96"/>
      <c r="H1622" s="96"/>
      <c r="I1622" s="96"/>
    </row>
    <row r="1623" spans="1:9" x14ac:dyDescent="0.25">
      <c r="A1623" s="131"/>
      <c r="B1623" s="96"/>
      <c r="C1623" s="96"/>
      <c r="D1623" s="96"/>
      <c r="E1623" s="96"/>
      <c r="F1623" s="96"/>
      <c r="G1623" s="96"/>
      <c r="H1623" s="96"/>
      <c r="I1623" s="96"/>
    </row>
    <row r="1624" spans="1:9" x14ac:dyDescent="0.25">
      <c r="A1624" s="131"/>
      <c r="B1624" s="96"/>
      <c r="C1624" s="96"/>
      <c r="D1624" s="96"/>
      <c r="E1624" s="96"/>
      <c r="F1624" s="96"/>
      <c r="G1624" s="96"/>
      <c r="H1624" s="96"/>
      <c r="I1624" s="96"/>
    </row>
    <row r="1625" spans="1:9" x14ac:dyDescent="0.25">
      <c r="A1625" s="131"/>
      <c r="B1625" s="96"/>
      <c r="C1625" s="96"/>
      <c r="D1625" s="96"/>
      <c r="E1625" s="96"/>
      <c r="F1625" s="96"/>
      <c r="G1625" s="96"/>
      <c r="H1625" s="96"/>
      <c r="I1625" s="96"/>
    </row>
    <row r="1626" spans="1:9" x14ac:dyDescent="0.25">
      <c r="A1626" s="131"/>
      <c r="B1626" s="96"/>
      <c r="C1626" s="96"/>
      <c r="D1626" s="96"/>
      <c r="E1626" s="96"/>
      <c r="F1626" s="96"/>
      <c r="G1626" s="96"/>
      <c r="H1626" s="96"/>
      <c r="I1626" s="96"/>
    </row>
    <row r="1627" spans="1:9" x14ac:dyDescent="0.25">
      <c r="A1627" s="131"/>
      <c r="B1627" s="96"/>
      <c r="C1627" s="96"/>
      <c r="D1627" s="96"/>
      <c r="E1627" s="96"/>
      <c r="F1627" s="96"/>
      <c r="G1627" s="96"/>
      <c r="H1627" s="96"/>
      <c r="I1627" s="96"/>
    </row>
    <row r="1628" spans="1:9" x14ac:dyDescent="0.25">
      <c r="A1628" s="131"/>
      <c r="B1628" s="96"/>
      <c r="C1628" s="96"/>
      <c r="D1628" s="96"/>
      <c r="E1628" s="96"/>
      <c r="F1628" s="96"/>
      <c r="G1628" s="96"/>
      <c r="H1628" s="96"/>
      <c r="I1628" s="96"/>
    </row>
    <row r="1629" spans="1:9" x14ac:dyDescent="0.25">
      <c r="A1629" s="131"/>
      <c r="B1629" s="96"/>
      <c r="C1629" s="96"/>
      <c r="D1629" s="96"/>
      <c r="E1629" s="96"/>
      <c r="F1629" s="96"/>
      <c r="G1629" s="96"/>
      <c r="H1629" s="96"/>
      <c r="I1629" s="96"/>
    </row>
    <row r="1630" spans="1:9" x14ac:dyDescent="0.25">
      <c r="A1630" s="131"/>
      <c r="B1630" s="96"/>
      <c r="C1630" s="96"/>
      <c r="D1630" s="96"/>
      <c r="E1630" s="96"/>
      <c r="F1630" s="96"/>
      <c r="G1630" s="96"/>
      <c r="H1630" s="96"/>
      <c r="I1630" s="96"/>
    </row>
    <row r="1631" spans="1:9" x14ac:dyDescent="0.25">
      <c r="A1631" s="131"/>
      <c r="B1631" s="96"/>
      <c r="C1631" s="96"/>
      <c r="D1631" s="96"/>
      <c r="E1631" s="96"/>
      <c r="F1631" s="96"/>
      <c r="G1631" s="96"/>
      <c r="H1631" s="96"/>
      <c r="I1631" s="96"/>
    </row>
    <row r="1632" spans="1:9" x14ac:dyDescent="0.25">
      <c r="A1632" s="131"/>
      <c r="B1632" s="96"/>
      <c r="C1632" s="96"/>
      <c r="D1632" s="96"/>
      <c r="E1632" s="96"/>
      <c r="F1632" s="96"/>
      <c r="G1632" s="96"/>
      <c r="H1632" s="96"/>
      <c r="I1632" s="96"/>
    </row>
    <row r="1633" spans="1:9" x14ac:dyDescent="0.25">
      <c r="A1633" s="131"/>
      <c r="B1633" s="96"/>
      <c r="C1633" s="96"/>
      <c r="D1633" s="96"/>
      <c r="E1633" s="96"/>
      <c r="F1633" s="96"/>
      <c r="G1633" s="96"/>
      <c r="H1633" s="96"/>
      <c r="I1633" s="96"/>
    </row>
    <row r="1634" spans="1:9" x14ac:dyDescent="0.25">
      <c r="A1634" s="131"/>
      <c r="B1634" s="96"/>
      <c r="C1634" s="96"/>
      <c r="D1634" s="96"/>
      <c r="E1634" s="96"/>
      <c r="F1634" s="96"/>
      <c r="G1634" s="96"/>
      <c r="H1634" s="96"/>
      <c r="I1634" s="96"/>
    </row>
    <row r="1635" spans="1:9" x14ac:dyDescent="0.25">
      <c r="A1635" s="131"/>
      <c r="B1635" s="96"/>
      <c r="C1635" s="96"/>
      <c r="D1635" s="96"/>
      <c r="E1635" s="96"/>
      <c r="F1635" s="96"/>
      <c r="G1635" s="96"/>
      <c r="H1635" s="96"/>
      <c r="I1635" s="96"/>
    </row>
    <row r="1636" spans="1:9" x14ac:dyDescent="0.25">
      <c r="A1636" s="131"/>
      <c r="B1636" s="96"/>
      <c r="C1636" s="96"/>
      <c r="D1636" s="96"/>
      <c r="E1636" s="96"/>
      <c r="F1636" s="96"/>
      <c r="G1636" s="96"/>
      <c r="H1636" s="96"/>
      <c r="I1636" s="96"/>
    </row>
    <row r="1637" spans="1:9" x14ac:dyDescent="0.25">
      <c r="A1637" s="131"/>
      <c r="B1637" s="96"/>
      <c r="C1637" s="96"/>
      <c r="D1637" s="96"/>
      <c r="E1637" s="96"/>
      <c r="F1637" s="96"/>
      <c r="G1637" s="96"/>
      <c r="H1637" s="96"/>
      <c r="I1637" s="96"/>
    </row>
    <row r="1638" spans="1:9" x14ac:dyDescent="0.25">
      <c r="A1638" s="131"/>
      <c r="B1638" s="96"/>
      <c r="C1638" s="96"/>
      <c r="D1638" s="96"/>
      <c r="E1638" s="96"/>
      <c r="F1638" s="96"/>
      <c r="G1638" s="96"/>
      <c r="H1638" s="96"/>
      <c r="I1638" s="96"/>
    </row>
    <row r="1639" spans="1:9" x14ac:dyDescent="0.25">
      <c r="A1639" s="131"/>
      <c r="B1639" s="96"/>
      <c r="C1639" s="96"/>
      <c r="D1639" s="96"/>
      <c r="E1639" s="96"/>
      <c r="F1639" s="96"/>
      <c r="G1639" s="96"/>
      <c r="H1639" s="96"/>
      <c r="I1639" s="96"/>
    </row>
    <row r="1640" spans="1:9" x14ac:dyDescent="0.25">
      <c r="A1640" s="131"/>
      <c r="B1640" s="96"/>
      <c r="C1640" s="96"/>
      <c r="D1640" s="96"/>
      <c r="E1640" s="96"/>
      <c r="F1640" s="96"/>
      <c r="G1640" s="96"/>
      <c r="H1640" s="96"/>
      <c r="I1640" s="96"/>
    </row>
    <row r="1641" spans="1:9" x14ac:dyDescent="0.25">
      <c r="A1641" s="131"/>
      <c r="B1641" s="96"/>
      <c r="C1641" s="96"/>
      <c r="D1641" s="96"/>
      <c r="E1641" s="96"/>
      <c r="F1641" s="96"/>
      <c r="G1641" s="96"/>
      <c r="H1641" s="96"/>
      <c r="I1641" s="96"/>
    </row>
    <row r="1642" spans="1:9" x14ac:dyDescent="0.25">
      <c r="A1642" s="131"/>
      <c r="B1642" s="96"/>
      <c r="C1642" s="96"/>
      <c r="D1642" s="96"/>
      <c r="E1642" s="96"/>
      <c r="F1642" s="96"/>
      <c r="G1642" s="96"/>
      <c r="H1642" s="96"/>
      <c r="I1642" s="96"/>
    </row>
    <row r="1643" spans="1:9" x14ac:dyDescent="0.25">
      <c r="A1643" s="131"/>
      <c r="B1643" s="96"/>
      <c r="C1643" s="96"/>
      <c r="D1643" s="96"/>
      <c r="E1643" s="96"/>
      <c r="F1643" s="96"/>
      <c r="G1643" s="96"/>
      <c r="H1643" s="96"/>
      <c r="I1643" s="96"/>
    </row>
    <row r="1644" spans="1:9" x14ac:dyDescent="0.25">
      <c r="A1644" s="131"/>
      <c r="B1644" s="96"/>
      <c r="C1644" s="96"/>
      <c r="D1644" s="96"/>
      <c r="E1644" s="96"/>
      <c r="F1644" s="96"/>
      <c r="G1644" s="96"/>
      <c r="H1644" s="96"/>
      <c r="I1644" s="96"/>
    </row>
    <row r="1645" spans="1:9" x14ac:dyDescent="0.25">
      <c r="A1645" s="131"/>
      <c r="B1645" s="96"/>
      <c r="C1645" s="96"/>
      <c r="D1645" s="96"/>
      <c r="E1645" s="96"/>
      <c r="F1645" s="96"/>
      <c r="G1645" s="96"/>
      <c r="H1645" s="96"/>
      <c r="I1645" s="96"/>
    </row>
    <row r="1646" spans="1:9" x14ac:dyDescent="0.25">
      <c r="A1646" s="131"/>
      <c r="B1646" s="96"/>
      <c r="C1646" s="96"/>
      <c r="D1646" s="96"/>
      <c r="E1646" s="96"/>
      <c r="F1646" s="96"/>
      <c r="G1646" s="96"/>
      <c r="H1646" s="96"/>
      <c r="I1646" s="96"/>
    </row>
    <row r="1647" spans="1:9" x14ac:dyDescent="0.25">
      <c r="A1647" s="131"/>
      <c r="B1647" s="96"/>
      <c r="C1647" s="96"/>
      <c r="D1647" s="96"/>
      <c r="E1647" s="96"/>
      <c r="F1647" s="96"/>
      <c r="G1647" s="96"/>
      <c r="H1647" s="96"/>
      <c r="I1647" s="96"/>
    </row>
    <row r="1648" spans="1:9" x14ac:dyDescent="0.25">
      <c r="A1648" s="131"/>
      <c r="B1648" s="96"/>
      <c r="C1648" s="96"/>
      <c r="D1648" s="96"/>
      <c r="E1648" s="96"/>
      <c r="F1648" s="96"/>
      <c r="G1648" s="96"/>
      <c r="H1648" s="96"/>
      <c r="I1648" s="96"/>
    </row>
    <row r="1649" spans="1:9" x14ac:dyDescent="0.25">
      <c r="A1649" s="131"/>
      <c r="B1649" s="96"/>
      <c r="C1649" s="96"/>
      <c r="D1649" s="96"/>
      <c r="E1649" s="96"/>
      <c r="F1649" s="96"/>
      <c r="G1649" s="96"/>
      <c r="H1649" s="96"/>
      <c r="I1649" s="96"/>
    </row>
    <row r="1650" spans="1:9" x14ac:dyDescent="0.25">
      <c r="A1650" s="131"/>
      <c r="B1650" s="96"/>
      <c r="C1650" s="96"/>
      <c r="D1650" s="96"/>
      <c r="E1650" s="96"/>
      <c r="F1650" s="96"/>
      <c r="G1650" s="96"/>
      <c r="H1650" s="96"/>
      <c r="I1650" s="96"/>
    </row>
    <row r="1651" spans="1:9" x14ac:dyDescent="0.25">
      <c r="A1651" s="131"/>
      <c r="B1651" s="96"/>
      <c r="C1651" s="96"/>
      <c r="D1651" s="96"/>
      <c r="E1651" s="96"/>
      <c r="F1651" s="96"/>
      <c r="G1651" s="96"/>
      <c r="H1651" s="96"/>
      <c r="I1651" s="96"/>
    </row>
    <row r="1652" spans="1:9" x14ac:dyDescent="0.25">
      <c r="A1652" s="131"/>
      <c r="B1652" s="96"/>
      <c r="C1652" s="96"/>
      <c r="D1652" s="96"/>
      <c r="E1652" s="96"/>
      <c r="F1652" s="96"/>
      <c r="G1652" s="96"/>
      <c r="H1652" s="96"/>
      <c r="I1652" s="96"/>
    </row>
    <row r="1653" spans="1:9" x14ac:dyDescent="0.25">
      <c r="A1653" s="131"/>
      <c r="B1653" s="96"/>
      <c r="C1653" s="96"/>
      <c r="D1653" s="96"/>
      <c r="E1653" s="96"/>
      <c r="F1653" s="96"/>
      <c r="G1653" s="96"/>
      <c r="H1653" s="96"/>
      <c r="I1653" s="96"/>
    </row>
    <row r="1654" spans="1:9" x14ac:dyDescent="0.25">
      <c r="A1654" s="131"/>
      <c r="B1654" s="96"/>
      <c r="C1654" s="96"/>
      <c r="D1654" s="96"/>
      <c r="E1654" s="96"/>
      <c r="F1654" s="96"/>
      <c r="G1654" s="96"/>
      <c r="H1654" s="96"/>
      <c r="I1654" s="96"/>
    </row>
    <row r="1655" spans="1:9" x14ac:dyDescent="0.25">
      <c r="A1655" s="131"/>
      <c r="B1655" s="96"/>
      <c r="C1655" s="96"/>
      <c r="D1655" s="96"/>
      <c r="E1655" s="96"/>
      <c r="F1655" s="96"/>
      <c r="G1655" s="96"/>
      <c r="H1655" s="96"/>
      <c r="I1655" s="96"/>
    </row>
    <row r="1656" spans="1:9" x14ac:dyDescent="0.25">
      <c r="A1656" s="131"/>
      <c r="B1656" s="96"/>
      <c r="C1656" s="96"/>
      <c r="D1656" s="96"/>
      <c r="E1656" s="96"/>
      <c r="F1656" s="96"/>
      <c r="G1656" s="96"/>
      <c r="H1656" s="96"/>
      <c r="I1656" s="96"/>
    </row>
    <row r="1657" spans="1:9" x14ac:dyDescent="0.25">
      <c r="A1657" s="131"/>
      <c r="B1657" s="96"/>
      <c r="C1657" s="96"/>
      <c r="D1657" s="96"/>
      <c r="E1657" s="96"/>
      <c r="F1657" s="96"/>
      <c r="G1657" s="96"/>
      <c r="H1657" s="96"/>
      <c r="I1657" s="96"/>
    </row>
    <row r="1658" spans="1:9" x14ac:dyDescent="0.25">
      <c r="A1658" s="131"/>
      <c r="B1658" s="96"/>
      <c r="C1658" s="96"/>
      <c r="D1658" s="96"/>
      <c r="E1658" s="96"/>
      <c r="F1658" s="96"/>
      <c r="G1658" s="96"/>
      <c r="H1658" s="96"/>
      <c r="I1658" s="96"/>
    </row>
    <row r="1659" spans="1:9" x14ac:dyDescent="0.25">
      <c r="A1659" s="131"/>
      <c r="B1659" s="96"/>
      <c r="C1659" s="96"/>
      <c r="D1659" s="96"/>
      <c r="E1659" s="96"/>
      <c r="F1659" s="96"/>
      <c r="G1659" s="96"/>
      <c r="H1659" s="96"/>
      <c r="I1659" s="96"/>
    </row>
    <row r="1660" spans="1:9" x14ac:dyDescent="0.25">
      <c r="A1660" s="131"/>
      <c r="B1660" s="96"/>
      <c r="C1660" s="96"/>
      <c r="D1660" s="96"/>
      <c r="E1660" s="96"/>
      <c r="F1660" s="96"/>
      <c r="G1660" s="96"/>
      <c r="H1660" s="96"/>
      <c r="I1660" s="96"/>
    </row>
    <row r="1661" spans="1:9" x14ac:dyDescent="0.25">
      <c r="A1661" s="131"/>
      <c r="B1661" s="96"/>
      <c r="C1661" s="96"/>
      <c r="D1661" s="96"/>
      <c r="E1661" s="96"/>
      <c r="F1661" s="96"/>
      <c r="G1661" s="96"/>
      <c r="H1661" s="96"/>
      <c r="I1661" s="96"/>
    </row>
    <row r="1662" spans="1:9" x14ac:dyDescent="0.25">
      <c r="A1662" s="131"/>
      <c r="B1662" s="96"/>
      <c r="C1662" s="96"/>
      <c r="D1662" s="96"/>
      <c r="E1662" s="96"/>
      <c r="F1662" s="96"/>
      <c r="G1662" s="96"/>
      <c r="H1662" s="96"/>
      <c r="I1662" s="96"/>
    </row>
    <row r="1663" spans="1:9" x14ac:dyDescent="0.25">
      <c r="A1663" s="131"/>
      <c r="B1663" s="96"/>
      <c r="C1663" s="96"/>
      <c r="D1663" s="96"/>
      <c r="E1663" s="96"/>
      <c r="F1663" s="96"/>
      <c r="G1663" s="96"/>
      <c r="H1663" s="96"/>
      <c r="I1663" s="96"/>
    </row>
    <row r="1664" spans="1:9" x14ac:dyDescent="0.25">
      <c r="A1664" s="131"/>
      <c r="B1664" s="96"/>
      <c r="C1664" s="96"/>
      <c r="D1664" s="96"/>
      <c r="E1664" s="96"/>
      <c r="F1664" s="96"/>
      <c r="G1664" s="96"/>
      <c r="H1664" s="96"/>
      <c r="I1664" s="96"/>
    </row>
    <row r="1665" spans="1:9" x14ac:dyDescent="0.25">
      <c r="A1665" s="131"/>
      <c r="B1665" s="96"/>
      <c r="C1665" s="96"/>
      <c r="D1665" s="96"/>
      <c r="E1665" s="96"/>
      <c r="F1665" s="96"/>
      <c r="G1665" s="96"/>
      <c r="H1665" s="96"/>
      <c r="I1665" s="96"/>
    </row>
    <row r="1666" spans="1:9" x14ac:dyDescent="0.25">
      <c r="A1666" s="131"/>
      <c r="B1666" s="96"/>
      <c r="C1666" s="96"/>
      <c r="D1666" s="96"/>
      <c r="E1666" s="96"/>
      <c r="F1666" s="96"/>
      <c r="G1666" s="96"/>
      <c r="H1666" s="96"/>
      <c r="I1666" s="96"/>
    </row>
    <row r="1667" spans="1:9" x14ac:dyDescent="0.25">
      <c r="A1667" s="131"/>
      <c r="B1667" s="96"/>
      <c r="C1667" s="96"/>
      <c r="D1667" s="96"/>
      <c r="E1667" s="96"/>
      <c r="F1667" s="96"/>
      <c r="G1667" s="96"/>
      <c r="H1667" s="96"/>
      <c r="I1667" s="96"/>
    </row>
    <row r="1668" spans="1:9" x14ac:dyDescent="0.25">
      <c r="A1668" s="131"/>
      <c r="B1668" s="96"/>
      <c r="C1668" s="96"/>
      <c r="D1668" s="96"/>
      <c r="E1668" s="96"/>
      <c r="F1668" s="96"/>
      <c r="G1668" s="96"/>
      <c r="H1668" s="96"/>
      <c r="I1668" s="96"/>
    </row>
    <row r="1669" spans="1:9" x14ac:dyDescent="0.25">
      <c r="A1669" s="131"/>
      <c r="B1669" s="96"/>
      <c r="C1669" s="96"/>
      <c r="D1669" s="96"/>
      <c r="E1669" s="96"/>
      <c r="F1669" s="96"/>
      <c r="G1669" s="96"/>
      <c r="H1669" s="96"/>
      <c r="I1669" s="96"/>
    </row>
    <row r="1670" spans="1:9" x14ac:dyDescent="0.25">
      <c r="A1670" s="131"/>
      <c r="B1670" s="96"/>
      <c r="C1670" s="96"/>
      <c r="D1670" s="96"/>
      <c r="E1670" s="96"/>
      <c r="F1670" s="96"/>
      <c r="G1670" s="96"/>
      <c r="H1670" s="96"/>
      <c r="I1670" s="96"/>
    </row>
    <row r="1671" spans="1:9" x14ac:dyDescent="0.25">
      <c r="A1671" s="131"/>
      <c r="B1671" s="96"/>
      <c r="C1671" s="96"/>
      <c r="D1671" s="96"/>
      <c r="E1671" s="96"/>
      <c r="F1671" s="96"/>
      <c r="G1671" s="96"/>
      <c r="H1671" s="96"/>
      <c r="I1671" s="96"/>
    </row>
    <row r="1672" spans="1:9" x14ac:dyDescent="0.25">
      <c r="A1672" s="131"/>
      <c r="B1672" s="96"/>
      <c r="C1672" s="96"/>
      <c r="D1672" s="96"/>
      <c r="E1672" s="96"/>
      <c r="F1672" s="96"/>
      <c r="G1672" s="96"/>
      <c r="H1672" s="96"/>
      <c r="I1672" s="96"/>
    </row>
    <row r="1673" spans="1:9" x14ac:dyDescent="0.25">
      <c r="A1673" s="131"/>
      <c r="B1673" s="96"/>
      <c r="C1673" s="96"/>
      <c r="D1673" s="96"/>
      <c r="E1673" s="96"/>
      <c r="F1673" s="96"/>
      <c r="G1673" s="96"/>
      <c r="H1673" s="96"/>
      <c r="I1673" s="96"/>
    </row>
    <row r="1674" spans="1:9" x14ac:dyDescent="0.25">
      <c r="A1674" s="131"/>
      <c r="B1674" s="96"/>
      <c r="C1674" s="96"/>
      <c r="D1674" s="96"/>
      <c r="E1674" s="96"/>
      <c r="F1674" s="96"/>
      <c r="G1674" s="96"/>
      <c r="H1674" s="96"/>
      <c r="I1674" s="96"/>
    </row>
    <row r="1675" spans="1:9" x14ac:dyDescent="0.25">
      <c r="A1675" s="131"/>
      <c r="B1675" s="96"/>
      <c r="C1675" s="96"/>
      <c r="D1675" s="96"/>
      <c r="E1675" s="96"/>
      <c r="F1675" s="96"/>
      <c r="G1675" s="96"/>
      <c r="H1675" s="96"/>
      <c r="I1675" s="96"/>
    </row>
    <row r="1676" spans="1:9" x14ac:dyDescent="0.25">
      <c r="A1676" s="131"/>
      <c r="B1676" s="96"/>
      <c r="C1676" s="96"/>
      <c r="D1676" s="96"/>
      <c r="E1676" s="96"/>
      <c r="F1676" s="96"/>
      <c r="G1676" s="96"/>
      <c r="H1676" s="96"/>
      <c r="I1676" s="96"/>
    </row>
    <row r="1677" spans="1:9" x14ac:dyDescent="0.25">
      <c r="A1677" s="131"/>
      <c r="B1677" s="96"/>
      <c r="C1677" s="96"/>
      <c r="D1677" s="96"/>
      <c r="E1677" s="96"/>
      <c r="F1677" s="96"/>
      <c r="G1677" s="96"/>
      <c r="H1677" s="96"/>
      <c r="I1677" s="96"/>
    </row>
    <row r="1678" spans="1:9" x14ac:dyDescent="0.25">
      <c r="A1678" s="131"/>
      <c r="B1678" s="96"/>
      <c r="C1678" s="96"/>
      <c r="D1678" s="96"/>
      <c r="E1678" s="96"/>
      <c r="F1678" s="96"/>
      <c r="G1678" s="96"/>
      <c r="H1678" s="96"/>
      <c r="I1678" s="96"/>
    </row>
    <row r="1679" spans="1:9" x14ac:dyDescent="0.25">
      <c r="A1679" s="131"/>
      <c r="B1679" s="96"/>
      <c r="C1679" s="96"/>
      <c r="D1679" s="96"/>
      <c r="E1679" s="96"/>
      <c r="F1679" s="96"/>
      <c r="G1679" s="96"/>
      <c r="H1679" s="96"/>
      <c r="I1679" s="96"/>
    </row>
    <row r="1680" spans="1:9" x14ac:dyDescent="0.25">
      <c r="A1680" s="131"/>
      <c r="B1680" s="96"/>
      <c r="C1680" s="96"/>
      <c r="D1680" s="96"/>
      <c r="E1680" s="96"/>
      <c r="F1680" s="96"/>
      <c r="G1680" s="96"/>
      <c r="H1680" s="96"/>
      <c r="I1680" s="96"/>
    </row>
    <row r="1681" spans="1:9" x14ac:dyDescent="0.25">
      <c r="A1681" s="131"/>
      <c r="B1681" s="96"/>
      <c r="C1681" s="96"/>
      <c r="D1681" s="96"/>
      <c r="E1681" s="96"/>
      <c r="F1681" s="96"/>
      <c r="G1681" s="96"/>
      <c r="H1681" s="96"/>
      <c r="I1681" s="96"/>
    </row>
    <row r="1682" spans="1:9" x14ac:dyDescent="0.25">
      <c r="A1682" s="131"/>
      <c r="B1682" s="96"/>
      <c r="C1682" s="96"/>
      <c r="D1682" s="96"/>
      <c r="E1682" s="96"/>
      <c r="F1682" s="96"/>
      <c r="G1682" s="96"/>
      <c r="H1682" s="96"/>
      <c r="I1682" s="96"/>
    </row>
    <row r="1683" spans="1:9" x14ac:dyDescent="0.25">
      <c r="A1683" s="131"/>
      <c r="B1683" s="96"/>
      <c r="C1683" s="96"/>
      <c r="D1683" s="96"/>
      <c r="E1683" s="96"/>
      <c r="F1683" s="96"/>
      <c r="G1683" s="96"/>
      <c r="H1683" s="96"/>
      <c r="I1683" s="96"/>
    </row>
    <row r="1684" spans="1:9" x14ac:dyDescent="0.25">
      <c r="A1684" s="131"/>
      <c r="B1684" s="96"/>
      <c r="C1684" s="96"/>
      <c r="D1684" s="96"/>
      <c r="E1684" s="96"/>
      <c r="F1684" s="96"/>
      <c r="G1684" s="96"/>
      <c r="H1684" s="96"/>
      <c r="I1684" s="96"/>
    </row>
    <row r="1685" spans="1:9" x14ac:dyDescent="0.25">
      <c r="A1685" s="131"/>
      <c r="B1685" s="96"/>
      <c r="C1685" s="96"/>
      <c r="D1685" s="96"/>
      <c r="E1685" s="96"/>
      <c r="F1685" s="96"/>
      <c r="G1685" s="96"/>
      <c r="H1685" s="96"/>
      <c r="I1685" s="96"/>
    </row>
    <row r="1686" spans="1:9" x14ac:dyDescent="0.25">
      <c r="A1686" s="131"/>
      <c r="B1686" s="96"/>
      <c r="C1686" s="96"/>
      <c r="D1686" s="96"/>
      <c r="E1686" s="96"/>
      <c r="F1686" s="96"/>
      <c r="G1686" s="96"/>
      <c r="H1686" s="96"/>
      <c r="I1686" s="96"/>
    </row>
    <row r="1687" spans="1:9" x14ac:dyDescent="0.25">
      <c r="A1687" s="131"/>
      <c r="B1687" s="96"/>
      <c r="C1687" s="96"/>
      <c r="D1687" s="96"/>
      <c r="E1687" s="96"/>
      <c r="F1687" s="96"/>
      <c r="G1687" s="96"/>
      <c r="H1687" s="96"/>
      <c r="I1687" s="96"/>
    </row>
    <row r="1688" spans="1:9" x14ac:dyDescent="0.25">
      <c r="A1688" s="131"/>
      <c r="B1688" s="96"/>
      <c r="C1688" s="96"/>
      <c r="D1688" s="96"/>
      <c r="E1688" s="96"/>
      <c r="F1688" s="96"/>
      <c r="G1688" s="96"/>
      <c r="H1688" s="96"/>
      <c r="I1688" s="96"/>
    </row>
    <row r="1689" spans="1:9" x14ac:dyDescent="0.25">
      <c r="A1689" s="131"/>
      <c r="B1689" s="96"/>
      <c r="C1689" s="96"/>
      <c r="D1689" s="96"/>
      <c r="E1689" s="96"/>
      <c r="F1689" s="96"/>
      <c r="G1689" s="96"/>
      <c r="H1689" s="96"/>
      <c r="I1689" s="96"/>
    </row>
    <row r="1690" spans="1:9" x14ac:dyDescent="0.25">
      <c r="A1690" s="131"/>
      <c r="B1690" s="96"/>
      <c r="C1690" s="96"/>
      <c r="D1690" s="96"/>
      <c r="E1690" s="96"/>
      <c r="F1690" s="96"/>
      <c r="G1690" s="96"/>
      <c r="H1690" s="96"/>
      <c r="I1690" s="96"/>
    </row>
    <row r="1691" spans="1:9" x14ac:dyDescent="0.25">
      <c r="A1691" s="131"/>
      <c r="B1691" s="96"/>
      <c r="C1691" s="96"/>
      <c r="D1691" s="96"/>
      <c r="E1691" s="96"/>
      <c r="F1691" s="96"/>
      <c r="G1691" s="96"/>
      <c r="H1691" s="96"/>
      <c r="I1691" s="96"/>
    </row>
    <row r="1692" spans="1:9" x14ac:dyDescent="0.25">
      <c r="A1692" s="131"/>
      <c r="B1692" s="96"/>
      <c r="C1692" s="96"/>
      <c r="D1692" s="96"/>
      <c r="E1692" s="96"/>
      <c r="F1692" s="96"/>
      <c r="G1692" s="96"/>
      <c r="H1692" s="96"/>
      <c r="I1692" s="96"/>
    </row>
    <row r="1693" spans="1:9" x14ac:dyDescent="0.25">
      <c r="A1693" s="131"/>
      <c r="B1693" s="96"/>
      <c r="C1693" s="96"/>
      <c r="D1693" s="96"/>
      <c r="E1693" s="96"/>
      <c r="F1693" s="96"/>
      <c r="G1693" s="96"/>
      <c r="H1693" s="96"/>
      <c r="I1693" s="96"/>
    </row>
    <row r="1694" spans="1:9" x14ac:dyDescent="0.25">
      <c r="A1694" s="131"/>
      <c r="B1694" s="96"/>
      <c r="C1694" s="96"/>
      <c r="D1694" s="96"/>
      <c r="E1694" s="96"/>
      <c r="F1694" s="96"/>
      <c r="G1694" s="96"/>
      <c r="H1694" s="96"/>
      <c r="I1694" s="96"/>
    </row>
    <row r="1695" spans="1:9" x14ac:dyDescent="0.25">
      <c r="A1695" s="131"/>
      <c r="B1695" s="96"/>
      <c r="C1695" s="96"/>
      <c r="D1695" s="96"/>
      <c r="E1695" s="96"/>
      <c r="F1695" s="96"/>
      <c r="G1695" s="96"/>
      <c r="H1695" s="96"/>
      <c r="I1695" s="96"/>
    </row>
    <row r="1696" spans="1:9" x14ac:dyDescent="0.25">
      <c r="A1696" s="131"/>
      <c r="B1696" s="96"/>
      <c r="C1696" s="96"/>
      <c r="D1696" s="96"/>
      <c r="E1696" s="96"/>
      <c r="F1696" s="96"/>
      <c r="G1696" s="96"/>
      <c r="H1696" s="96"/>
      <c r="I1696" s="96"/>
    </row>
    <row r="1697" spans="1:9" x14ac:dyDescent="0.25">
      <c r="A1697" s="131"/>
      <c r="B1697" s="96"/>
      <c r="C1697" s="96"/>
      <c r="D1697" s="96"/>
      <c r="E1697" s="96"/>
      <c r="F1697" s="96"/>
      <c r="G1697" s="96"/>
      <c r="H1697" s="96"/>
      <c r="I1697" s="96"/>
    </row>
    <row r="1698" spans="1:9" x14ac:dyDescent="0.25">
      <c r="A1698" s="131"/>
      <c r="B1698" s="96"/>
      <c r="C1698" s="96"/>
      <c r="D1698" s="96"/>
      <c r="E1698" s="96"/>
      <c r="F1698" s="96"/>
      <c r="G1698" s="96"/>
      <c r="H1698" s="96"/>
      <c r="I1698" s="96"/>
    </row>
    <row r="1699" spans="1:9" x14ac:dyDescent="0.25">
      <c r="A1699" s="131"/>
      <c r="B1699" s="96"/>
      <c r="C1699" s="96"/>
      <c r="D1699" s="96"/>
      <c r="E1699" s="96"/>
      <c r="F1699" s="96"/>
      <c r="G1699" s="96"/>
      <c r="H1699" s="96"/>
      <c r="I1699" s="96"/>
    </row>
    <row r="1700" spans="1:9" x14ac:dyDescent="0.25">
      <c r="A1700" s="131"/>
      <c r="B1700" s="96"/>
      <c r="C1700" s="96"/>
      <c r="D1700" s="96"/>
      <c r="E1700" s="96"/>
      <c r="F1700" s="96"/>
      <c r="G1700" s="96"/>
      <c r="H1700" s="96"/>
      <c r="I1700" s="96"/>
    </row>
    <row r="1701" spans="1:9" x14ac:dyDescent="0.25">
      <c r="A1701" s="131"/>
      <c r="B1701" s="96"/>
      <c r="C1701" s="96"/>
      <c r="D1701" s="96"/>
      <c r="E1701" s="96"/>
      <c r="F1701" s="96"/>
      <c r="G1701" s="96"/>
      <c r="H1701" s="96"/>
      <c r="I1701" s="96"/>
    </row>
    <row r="1702" spans="1:9" x14ac:dyDescent="0.25">
      <c r="A1702" s="131"/>
      <c r="B1702" s="96"/>
      <c r="C1702" s="96"/>
      <c r="D1702" s="96"/>
      <c r="E1702" s="96"/>
      <c r="F1702" s="96"/>
      <c r="G1702" s="96"/>
      <c r="H1702" s="96"/>
      <c r="I1702" s="96"/>
    </row>
    <row r="1703" spans="1:9" x14ac:dyDescent="0.25">
      <c r="A1703" s="131"/>
      <c r="B1703" s="96"/>
      <c r="C1703" s="96"/>
      <c r="D1703" s="96"/>
      <c r="E1703" s="96"/>
      <c r="F1703" s="96"/>
      <c r="G1703" s="96"/>
      <c r="H1703" s="96"/>
      <c r="I1703" s="96"/>
    </row>
    <row r="1704" spans="1:9" x14ac:dyDescent="0.25">
      <c r="A1704" s="131"/>
      <c r="B1704" s="96"/>
      <c r="C1704" s="96"/>
      <c r="D1704" s="96"/>
      <c r="E1704" s="96"/>
      <c r="F1704" s="96"/>
      <c r="G1704" s="96"/>
      <c r="H1704" s="96"/>
      <c r="I1704" s="96"/>
    </row>
    <row r="1705" spans="1:9" x14ac:dyDescent="0.25">
      <c r="A1705" s="131"/>
      <c r="B1705" s="96"/>
      <c r="C1705" s="96"/>
      <c r="D1705" s="96"/>
      <c r="E1705" s="96"/>
      <c r="F1705" s="96"/>
      <c r="G1705" s="96"/>
      <c r="H1705" s="96"/>
      <c r="I1705" s="96"/>
    </row>
    <row r="1706" spans="1:9" x14ac:dyDescent="0.25">
      <c r="A1706" s="131"/>
      <c r="B1706" s="96"/>
      <c r="C1706" s="96"/>
      <c r="D1706" s="96"/>
      <c r="E1706" s="96"/>
      <c r="F1706" s="96"/>
      <c r="G1706" s="96"/>
      <c r="H1706" s="96"/>
      <c r="I1706" s="96"/>
    </row>
    <row r="1707" spans="1:9" x14ac:dyDescent="0.25">
      <c r="A1707" s="131"/>
      <c r="B1707" s="96"/>
      <c r="C1707" s="96"/>
      <c r="D1707" s="96"/>
      <c r="E1707" s="96"/>
      <c r="F1707" s="96"/>
      <c r="G1707" s="96"/>
      <c r="H1707" s="96"/>
      <c r="I1707" s="96"/>
    </row>
    <row r="1708" spans="1:9" x14ac:dyDescent="0.25">
      <c r="A1708" s="131"/>
      <c r="B1708" s="96"/>
      <c r="C1708" s="96"/>
      <c r="D1708" s="96"/>
      <c r="E1708" s="96"/>
      <c r="F1708" s="96"/>
      <c r="G1708" s="96"/>
      <c r="H1708" s="96"/>
      <c r="I1708" s="96"/>
    </row>
    <row r="1709" spans="1:9" x14ac:dyDescent="0.25">
      <c r="A1709" s="131"/>
      <c r="B1709" s="96"/>
      <c r="C1709" s="96"/>
      <c r="D1709" s="96"/>
      <c r="E1709" s="96"/>
      <c r="F1709" s="96"/>
      <c r="G1709" s="96"/>
      <c r="H1709" s="96"/>
      <c r="I1709" s="96"/>
    </row>
    <row r="1710" spans="1:9" x14ac:dyDescent="0.25">
      <c r="A1710" s="131"/>
      <c r="B1710" s="96"/>
      <c r="C1710" s="96"/>
      <c r="D1710" s="96"/>
      <c r="E1710" s="96"/>
      <c r="F1710" s="96"/>
      <c r="G1710" s="96"/>
      <c r="H1710" s="96"/>
      <c r="I1710" s="96"/>
    </row>
    <row r="1711" spans="1:9" x14ac:dyDescent="0.25">
      <c r="A1711" s="131"/>
      <c r="B1711" s="96"/>
      <c r="C1711" s="96"/>
      <c r="D1711" s="96"/>
      <c r="E1711" s="96"/>
      <c r="F1711" s="96"/>
      <c r="G1711" s="96"/>
      <c r="H1711" s="96"/>
      <c r="I1711" s="96"/>
    </row>
    <row r="1712" spans="1:9" x14ac:dyDescent="0.25">
      <c r="A1712" s="131"/>
      <c r="B1712" s="96"/>
      <c r="C1712" s="96"/>
      <c r="D1712" s="96"/>
      <c r="E1712" s="96"/>
      <c r="F1712" s="96"/>
      <c r="G1712" s="96"/>
      <c r="H1712" s="96"/>
      <c r="I1712" s="96"/>
    </row>
    <row r="1713" spans="1:9" x14ac:dyDescent="0.25">
      <c r="A1713" s="131"/>
      <c r="B1713" s="96"/>
      <c r="C1713" s="96"/>
      <c r="D1713" s="96"/>
      <c r="E1713" s="96"/>
      <c r="F1713" s="96"/>
      <c r="G1713" s="96"/>
      <c r="H1713" s="96"/>
      <c r="I1713" s="96"/>
    </row>
    <row r="1714" spans="1:9" x14ac:dyDescent="0.25">
      <c r="A1714" s="131"/>
      <c r="B1714" s="96"/>
      <c r="C1714" s="96"/>
      <c r="D1714" s="96"/>
      <c r="E1714" s="96"/>
      <c r="F1714" s="96"/>
      <c r="G1714" s="96"/>
      <c r="H1714" s="96"/>
      <c r="I1714" s="96"/>
    </row>
    <row r="1715" spans="1:9" x14ac:dyDescent="0.25">
      <c r="A1715" s="131"/>
      <c r="B1715" s="96"/>
      <c r="C1715" s="96"/>
      <c r="D1715" s="96"/>
      <c r="E1715" s="96"/>
      <c r="F1715" s="96"/>
      <c r="G1715" s="96"/>
      <c r="H1715" s="96"/>
      <c r="I1715" s="96"/>
    </row>
    <row r="1716" spans="1:9" x14ac:dyDescent="0.25">
      <c r="A1716" s="131"/>
      <c r="B1716" s="96"/>
      <c r="C1716" s="96"/>
      <c r="D1716" s="96"/>
      <c r="E1716" s="96"/>
      <c r="F1716" s="96"/>
      <c r="G1716" s="96"/>
      <c r="H1716" s="96"/>
      <c r="I1716" s="96"/>
    </row>
    <row r="1717" spans="1:9" x14ac:dyDescent="0.25">
      <c r="A1717" s="131"/>
      <c r="B1717" s="96"/>
      <c r="C1717" s="96"/>
      <c r="D1717" s="96"/>
      <c r="E1717" s="96"/>
      <c r="F1717" s="96"/>
      <c r="G1717" s="96"/>
      <c r="H1717" s="96"/>
      <c r="I1717" s="96"/>
    </row>
    <row r="1718" spans="1:9" x14ac:dyDescent="0.25">
      <c r="A1718" s="131"/>
      <c r="B1718" s="96"/>
      <c r="C1718" s="96"/>
      <c r="D1718" s="96"/>
      <c r="E1718" s="96"/>
      <c r="F1718" s="96"/>
      <c r="G1718" s="96"/>
      <c r="H1718" s="96"/>
      <c r="I1718" s="96"/>
    </row>
    <row r="1719" spans="1:9" x14ac:dyDescent="0.25">
      <c r="A1719" s="131"/>
      <c r="B1719" s="96"/>
      <c r="C1719" s="96"/>
      <c r="D1719" s="96"/>
      <c r="E1719" s="96"/>
      <c r="F1719" s="96"/>
      <c r="G1719" s="96"/>
      <c r="H1719" s="96"/>
      <c r="I1719" s="96"/>
    </row>
    <row r="1720" spans="1:9" x14ac:dyDescent="0.25">
      <c r="A1720" s="131"/>
      <c r="B1720" s="96"/>
      <c r="C1720" s="96"/>
      <c r="D1720" s="96"/>
      <c r="E1720" s="96"/>
      <c r="F1720" s="96"/>
      <c r="G1720" s="96"/>
      <c r="H1720" s="96"/>
      <c r="I1720" s="96"/>
    </row>
    <row r="1721" spans="1:9" x14ac:dyDescent="0.25">
      <c r="A1721" s="131"/>
      <c r="B1721" s="96"/>
      <c r="C1721" s="96"/>
      <c r="D1721" s="96"/>
      <c r="E1721" s="96"/>
      <c r="F1721" s="96"/>
      <c r="G1721" s="96"/>
      <c r="H1721" s="96"/>
      <c r="I1721" s="96"/>
    </row>
    <row r="1722" spans="1:9" x14ac:dyDescent="0.25">
      <c r="A1722" s="131"/>
      <c r="B1722" s="96"/>
      <c r="C1722" s="96"/>
      <c r="D1722" s="96"/>
      <c r="E1722" s="96"/>
      <c r="F1722" s="96"/>
      <c r="G1722" s="96"/>
      <c r="H1722" s="96"/>
      <c r="I1722" s="96"/>
    </row>
    <row r="1723" spans="1:9" x14ac:dyDescent="0.25">
      <c r="A1723" s="131"/>
      <c r="B1723" s="96"/>
      <c r="C1723" s="96"/>
      <c r="D1723" s="96"/>
      <c r="E1723" s="96"/>
      <c r="F1723" s="96"/>
      <c r="G1723" s="96"/>
      <c r="H1723" s="96"/>
      <c r="I1723" s="96"/>
    </row>
    <row r="1724" spans="1:9" x14ac:dyDescent="0.25">
      <c r="A1724" s="131"/>
      <c r="B1724" s="96"/>
      <c r="C1724" s="96"/>
      <c r="D1724" s="96"/>
      <c r="E1724" s="96"/>
      <c r="F1724" s="96"/>
      <c r="G1724" s="96"/>
      <c r="H1724" s="96"/>
      <c r="I1724" s="96"/>
    </row>
    <row r="1725" spans="1:9" x14ac:dyDescent="0.25">
      <c r="A1725" s="131"/>
      <c r="B1725" s="96"/>
      <c r="C1725" s="96"/>
      <c r="D1725" s="96"/>
      <c r="E1725" s="96"/>
      <c r="F1725" s="96"/>
      <c r="G1725" s="96"/>
      <c r="H1725" s="96"/>
      <c r="I1725" s="96"/>
    </row>
    <row r="1726" spans="1:9" x14ac:dyDescent="0.25">
      <c r="A1726" s="131"/>
      <c r="B1726" s="96"/>
      <c r="C1726" s="96"/>
      <c r="D1726" s="96"/>
      <c r="E1726" s="96"/>
      <c r="F1726" s="96"/>
      <c r="G1726" s="96"/>
      <c r="H1726" s="96"/>
      <c r="I1726" s="96"/>
    </row>
    <row r="1727" spans="1:9" x14ac:dyDescent="0.25">
      <c r="A1727" s="131"/>
      <c r="B1727" s="96"/>
      <c r="C1727" s="96"/>
      <c r="D1727" s="96"/>
      <c r="E1727" s="96"/>
      <c r="F1727" s="96"/>
      <c r="G1727" s="96"/>
      <c r="H1727" s="96"/>
      <c r="I1727" s="96"/>
    </row>
    <row r="1728" spans="1:9" x14ac:dyDescent="0.25">
      <c r="A1728" s="131"/>
      <c r="B1728" s="96"/>
      <c r="C1728" s="96"/>
      <c r="D1728" s="96"/>
      <c r="E1728" s="96"/>
      <c r="F1728" s="96"/>
      <c r="G1728" s="96"/>
      <c r="H1728" s="96"/>
      <c r="I1728" s="96"/>
    </row>
    <row r="1729" spans="1:9" x14ac:dyDescent="0.25">
      <c r="A1729" s="131"/>
      <c r="B1729" s="96"/>
      <c r="C1729" s="96"/>
      <c r="D1729" s="96"/>
      <c r="E1729" s="96"/>
      <c r="F1729" s="96"/>
      <c r="G1729" s="96"/>
      <c r="H1729" s="96"/>
      <c r="I1729" s="96"/>
    </row>
    <row r="1730" spans="1:9" x14ac:dyDescent="0.25">
      <c r="A1730" s="131"/>
      <c r="B1730" s="96"/>
      <c r="C1730" s="96"/>
      <c r="D1730" s="96"/>
      <c r="E1730" s="96"/>
      <c r="F1730" s="96"/>
      <c r="G1730" s="96"/>
      <c r="H1730" s="96"/>
      <c r="I1730" s="96"/>
    </row>
    <row r="1731" spans="1:9" x14ac:dyDescent="0.25">
      <c r="A1731" s="131"/>
      <c r="B1731" s="96"/>
      <c r="C1731" s="96"/>
      <c r="D1731" s="96"/>
      <c r="E1731" s="96"/>
      <c r="F1731" s="96"/>
      <c r="G1731" s="96"/>
      <c r="H1731" s="96"/>
      <c r="I1731" s="96"/>
    </row>
    <row r="1732" spans="1:9" x14ac:dyDescent="0.25">
      <c r="A1732" s="131"/>
      <c r="B1732" s="96"/>
      <c r="C1732" s="96"/>
      <c r="D1732" s="96"/>
      <c r="E1732" s="96"/>
      <c r="F1732" s="96"/>
      <c r="G1732" s="96"/>
      <c r="H1732" s="96"/>
      <c r="I1732" s="96"/>
    </row>
    <row r="1733" spans="1:9" x14ac:dyDescent="0.25">
      <c r="A1733" s="131"/>
      <c r="B1733" s="96"/>
      <c r="C1733" s="96"/>
      <c r="D1733" s="96"/>
      <c r="E1733" s="96"/>
      <c r="F1733" s="96"/>
      <c r="G1733" s="96"/>
      <c r="H1733" s="96"/>
      <c r="I1733" s="96"/>
    </row>
    <row r="1734" spans="1:9" x14ac:dyDescent="0.25">
      <c r="A1734" s="131"/>
      <c r="B1734" s="96"/>
      <c r="C1734" s="96"/>
      <c r="D1734" s="96"/>
      <c r="E1734" s="96"/>
      <c r="F1734" s="96"/>
      <c r="G1734" s="96"/>
      <c r="H1734" s="96"/>
      <c r="I1734" s="96"/>
    </row>
    <row r="1735" spans="1:9" x14ac:dyDescent="0.25">
      <c r="A1735" s="131"/>
      <c r="B1735" s="96"/>
      <c r="C1735" s="96"/>
      <c r="D1735" s="96"/>
      <c r="E1735" s="96"/>
      <c r="F1735" s="96"/>
      <c r="G1735" s="96"/>
      <c r="H1735" s="96"/>
      <c r="I1735" s="96"/>
    </row>
    <row r="1736" spans="1:9" x14ac:dyDescent="0.25">
      <c r="A1736" s="131"/>
      <c r="B1736" s="96"/>
      <c r="C1736" s="96"/>
      <c r="D1736" s="96"/>
      <c r="E1736" s="96"/>
      <c r="F1736" s="96"/>
      <c r="G1736" s="96"/>
      <c r="H1736" s="96"/>
      <c r="I1736" s="96"/>
    </row>
    <row r="1737" spans="1:9" x14ac:dyDescent="0.25">
      <c r="A1737" s="131"/>
      <c r="B1737" s="96"/>
      <c r="C1737" s="96"/>
      <c r="D1737" s="96"/>
      <c r="E1737" s="96"/>
      <c r="F1737" s="96"/>
      <c r="G1737" s="96"/>
      <c r="H1737" s="96"/>
      <c r="I1737" s="96"/>
    </row>
    <row r="1738" spans="1:9" x14ac:dyDescent="0.25">
      <c r="A1738" s="131"/>
      <c r="B1738" s="96"/>
      <c r="C1738" s="96"/>
      <c r="D1738" s="96"/>
      <c r="E1738" s="96"/>
      <c r="F1738" s="96"/>
      <c r="G1738" s="96"/>
      <c r="H1738" s="96"/>
      <c r="I1738" s="96"/>
    </row>
    <row r="1739" spans="1:9" x14ac:dyDescent="0.25">
      <c r="A1739" s="131"/>
      <c r="B1739" s="96"/>
      <c r="C1739" s="96"/>
      <c r="D1739" s="96"/>
      <c r="E1739" s="96"/>
      <c r="F1739" s="96"/>
      <c r="G1739" s="96"/>
      <c r="H1739" s="96"/>
      <c r="I1739" s="96"/>
    </row>
    <row r="1740" spans="1:9" x14ac:dyDescent="0.25">
      <c r="A1740" s="131"/>
      <c r="B1740" s="96"/>
      <c r="C1740" s="96"/>
      <c r="D1740" s="96"/>
      <c r="E1740" s="96"/>
      <c r="F1740" s="96"/>
      <c r="G1740" s="96"/>
      <c r="H1740" s="96"/>
      <c r="I1740" s="96"/>
    </row>
    <row r="1741" spans="1:9" x14ac:dyDescent="0.25">
      <c r="A1741" s="131"/>
      <c r="B1741" s="96"/>
      <c r="C1741" s="96"/>
      <c r="D1741" s="96"/>
      <c r="E1741" s="96"/>
      <c r="F1741" s="96"/>
      <c r="G1741" s="96"/>
      <c r="H1741" s="96"/>
      <c r="I1741" s="96"/>
    </row>
    <row r="1742" spans="1:9" x14ac:dyDescent="0.25">
      <c r="A1742" s="131"/>
      <c r="B1742" s="96"/>
      <c r="C1742" s="96"/>
      <c r="D1742" s="96"/>
      <c r="E1742" s="96"/>
      <c r="F1742" s="96"/>
      <c r="G1742" s="96"/>
      <c r="H1742" s="96"/>
      <c r="I1742" s="96"/>
    </row>
    <row r="1743" spans="1:9" x14ac:dyDescent="0.25">
      <c r="A1743" s="131"/>
      <c r="B1743" s="96"/>
      <c r="C1743" s="96"/>
      <c r="D1743" s="96"/>
      <c r="E1743" s="96"/>
      <c r="F1743" s="96"/>
      <c r="G1743" s="96"/>
      <c r="H1743" s="96"/>
      <c r="I1743" s="96"/>
    </row>
    <row r="1744" spans="1:9" x14ac:dyDescent="0.25">
      <c r="A1744" s="131"/>
      <c r="B1744" s="96"/>
      <c r="C1744" s="96"/>
      <c r="D1744" s="96"/>
      <c r="E1744" s="96"/>
      <c r="F1744" s="96"/>
      <c r="G1744" s="96"/>
      <c r="H1744" s="96"/>
      <c r="I1744" s="96"/>
    </row>
    <row r="1745" spans="1:9" x14ac:dyDescent="0.25">
      <c r="A1745" s="131"/>
      <c r="B1745" s="96"/>
      <c r="C1745" s="96"/>
      <c r="D1745" s="96"/>
      <c r="E1745" s="96"/>
      <c r="F1745" s="96"/>
      <c r="G1745" s="96"/>
      <c r="H1745" s="96"/>
      <c r="I1745" s="96"/>
    </row>
    <row r="1746" spans="1:9" x14ac:dyDescent="0.25">
      <c r="A1746" s="131"/>
      <c r="B1746" s="96"/>
      <c r="C1746" s="96"/>
      <c r="D1746" s="96"/>
      <c r="E1746" s="96"/>
      <c r="F1746" s="96"/>
      <c r="G1746" s="96"/>
      <c r="H1746" s="96"/>
      <c r="I1746" s="96"/>
    </row>
    <row r="1747" spans="1:9" x14ac:dyDescent="0.25">
      <c r="A1747" s="131"/>
      <c r="B1747" s="96"/>
      <c r="C1747" s="96"/>
      <c r="D1747" s="96"/>
      <c r="E1747" s="96"/>
      <c r="F1747" s="96"/>
      <c r="G1747" s="96"/>
      <c r="H1747" s="96"/>
      <c r="I1747" s="96"/>
    </row>
    <row r="1748" spans="1:9" x14ac:dyDescent="0.25">
      <c r="A1748" s="131"/>
      <c r="B1748" s="96"/>
      <c r="C1748" s="96"/>
      <c r="D1748" s="96"/>
      <c r="E1748" s="96"/>
      <c r="F1748" s="96"/>
      <c r="G1748" s="96"/>
      <c r="H1748" s="96"/>
      <c r="I1748" s="96"/>
    </row>
    <row r="1749" spans="1:9" x14ac:dyDescent="0.25">
      <c r="A1749" s="131"/>
      <c r="B1749" s="96"/>
      <c r="C1749" s="96"/>
      <c r="D1749" s="96"/>
      <c r="E1749" s="96"/>
      <c r="F1749" s="96"/>
      <c r="G1749" s="96"/>
      <c r="H1749" s="96"/>
      <c r="I1749" s="96"/>
    </row>
    <row r="1750" spans="1:9" x14ac:dyDescent="0.25">
      <c r="A1750" s="131"/>
      <c r="B1750" s="96"/>
      <c r="C1750" s="96"/>
      <c r="D1750" s="96"/>
      <c r="E1750" s="96"/>
      <c r="F1750" s="96"/>
      <c r="G1750" s="96"/>
      <c r="H1750" s="96"/>
      <c r="I1750" s="96"/>
    </row>
    <row r="1751" spans="1:9" x14ac:dyDescent="0.25">
      <c r="A1751" s="131"/>
      <c r="B1751" s="96"/>
      <c r="C1751" s="96"/>
      <c r="D1751" s="96"/>
      <c r="E1751" s="96"/>
      <c r="F1751" s="96"/>
      <c r="G1751" s="96"/>
      <c r="H1751" s="96"/>
      <c r="I1751" s="96"/>
    </row>
    <row r="1752" spans="1:9" x14ac:dyDescent="0.25">
      <c r="A1752" s="131"/>
      <c r="B1752" s="96"/>
      <c r="C1752" s="96"/>
      <c r="D1752" s="96"/>
      <c r="E1752" s="96"/>
      <c r="F1752" s="96"/>
      <c r="G1752" s="96"/>
      <c r="H1752" s="96"/>
      <c r="I1752" s="96"/>
    </row>
    <row r="1753" spans="1:9" x14ac:dyDescent="0.25">
      <c r="A1753" s="131"/>
      <c r="B1753" s="96"/>
      <c r="C1753" s="96"/>
      <c r="D1753" s="96"/>
      <c r="E1753" s="96"/>
      <c r="F1753" s="96"/>
      <c r="G1753" s="96"/>
      <c r="H1753" s="96"/>
      <c r="I1753" s="96"/>
    </row>
    <row r="1754" spans="1:9" x14ac:dyDescent="0.25">
      <c r="A1754" s="131"/>
      <c r="B1754" s="96"/>
      <c r="C1754" s="96"/>
      <c r="D1754" s="96"/>
      <c r="E1754" s="96"/>
      <c r="F1754" s="96"/>
      <c r="G1754" s="96"/>
      <c r="H1754" s="96"/>
      <c r="I1754" s="96"/>
    </row>
    <row r="1755" spans="1:9" x14ac:dyDescent="0.25">
      <c r="A1755" s="131"/>
      <c r="B1755" s="96"/>
      <c r="C1755" s="96"/>
      <c r="D1755" s="96"/>
      <c r="E1755" s="96"/>
      <c r="F1755" s="96"/>
      <c r="G1755" s="96"/>
      <c r="H1755" s="96"/>
      <c r="I1755" s="96"/>
    </row>
    <row r="1756" spans="1:9" x14ac:dyDescent="0.25">
      <c r="A1756" s="131"/>
      <c r="B1756" s="96"/>
      <c r="C1756" s="96"/>
      <c r="D1756" s="96"/>
      <c r="E1756" s="96"/>
      <c r="F1756" s="96"/>
      <c r="G1756" s="96"/>
      <c r="H1756" s="96"/>
      <c r="I1756" s="96"/>
    </row>
    <row r="1757" spans="1:9" x14ac:dyDescent="0.25">
      <c r="A1757" s="131"/>
      <c r="B1757" s="96"/>
      <c r="C1757" s="96"/>
      <c r="D1757" s="96"/>
      <c r="E1757" s="96"/>
      <c r="F1757" s="96"/>
      <c r="G1757" s="96"/>
      <c r="H1757" s="96"/>
      <c r="I1757" s="96"/>
    </row>
    <row r="1758" spans="1:9" x14ac:dyDescent="0.25">
      <c r="A1758" s="131"/>
      <c r="B1758" s="96"/>
      <c r="C1758" s="96"/>
      <c r="D1758" s="96"/>
      <c r="E1758" s="96"/>
      <c r="F1758" s="96"/>
      <c r="G1758" s="96"/>
      <c r="H1758" s="96"/>
      <c r="I1758" s="96"/>
    </row>
    <row r="1759" spans="1:9" x14ac:dyDescent="0.25">
      <c r="A1759" s="131"/>
      <c r="B1759" s="96"/>
      <c r="C1759" s="96"/>
      <c r="D1759" s="96"/>
      <c r="E1759" s="96"/>
      <c r="F1759" s="96"/>
      <c r="G1759" s="96"/>
      <c r="H1759" s="96"/>
      <c r="I1759" s="96"/>
    </row>
    <row r="1760" spans="1:9" x14ac:dyDescent="0.25">
      <c r="A1760" s="131"/>
      <c r="B1760" s="96"/>
      <c r="C1760" s="96"/>
      <c r="D1760" s="96"/>
      <c r="E1760" s="96"/>
      <c r="F1760" s="96"/>
      <c r="G1760" s="96"/>
      <c r="H1760" s="96"/>
      <c r="I1760" s="96"/>
    </row>
    <row r="1761" spans="1:9" x14ac:dyDescent="0.25">
      <c r="A1761" s="131"/>
      <c r="B1761" s="96"/>
      <c r="C1761" s="96"/>
      <c r="D1761" s="96"/>
      <c r="E1761" s="96"/>
      <c r="F1761" s="96"/>
      <c r="G1761" s="96"/>
      <c r="H1761" s="96"/>
      <c r="I1761" s="96"/>
    </row>
    <row r="1762" spans="1:9" x14ac:dyDescent="0.25">
      <c r="A1762" s="131"/>
      <c r="B1762" s="96"/>
      <c r="C1762" s="96"/>
      <c r="D1762" s="96"/>
      <c r="E1762" s="96"/>
      <c r="F1762" s="96"/>
      <c r="G1762" s="96"/>
      <c r="H1762" s="96"/>
      <c r="I1762" s="96"/>
    </row>
    <row r="1763" spans="1:9" x14ac:dyDescent="0.25">
      <c r="A1763" s="131"/>
      <c r="B1763" s="96"/>
      <c r="C1763" s="96"/>
      <c r="D1763" s="96"/>
      <c r="E1763" s="96"/>
      <c r="F1763" s="96"/>
      <c r="G1763" s="96"/>
      <c r="H1763" s="96"/>
      <c r="I1763" s="96"/>
    </row>
    <row r="1764" spans="1:9" x14ac:dyDescent="0.25">
      <c r="A1764" s="131"/>
      <c r="B1764" s="96"/>
      <c r="C1764" s="96"/>
      <c r="D1764" s="96"/>
      <c r="E1764" s="96"/>
      <c r="F1764" s="96"/>
      <c r="G1764" s="96"/>
      <c r="H1764" s="96"/>
      <c r="I1764" s="96"/>
    </row>
    <row r="1765" spans="1:9" x14ac:dyDescent="0.25">
      <c r="A1765" s="131"/>
      <c r="B1765" s="96"/>
      <c r="C1765" s="96"/>
      <c r="D1765" s="96"/>
      <c r="E1765" s="96"/>
      <c r="F1765" s="96"/>
      <c r="G1765" s="96"/>
      <c r="H1765" s="96"/>
      <c r="I1765" s="96"/>
    </row>
    <row r="1766" spans="1:9" x14ac:dyDescent="0.25">
      <c r="A1766" s="131"/>
      <c r="B1766" s="96"/>
      <c r="C1766" s="96"/>
      <c r="D1766" s="96"/>
      <c r="E1766" s="96"/>
      <c r="F1766" s="96"/>
      <c r="G1766" s="96"/>
      <c r="H1766" s="96"/>
      <c r="I1766" s="96"/>
    </row>
    <row r="1767" spans="1:9" x14ac:dyDescent="0.25">
      <c r="A1767" s="131"/>
      <c r="B1767" s="96"/>
      <c r="C1767" s="96"/>
      <c r="D1767" s="96"/>
      <c r="E1767" s="96"/>
      <c r="F1767" s="96"/>
      <c r="G1767" s="96"/>
      <c r="H1767" s="96"/>
      <c r="I1767" s="96"/>
    </row>
    <row r="1768" spans="1:9" x14ac:dyDescent="0.25">
      <c r="A1768" s="131"/>
      <c r="B1768" s="96"/>
      <c r="C1768" s="96"/>
      <c r="D1768" s="96"/>
      <c r="E1768" s="96"/>
      <c r="F1768" s="96"/>
      <c r="G1768" s="96"/>
      <c r="H1768" s="96"/>
      <c r="I1768" s="96"/>
    </row>
    <row r="1769" spans="1:9" x14ac:dyDescent="0.25">
      <c r="A1769" s="131"/>
      <c r="B1769" s="96"/>
      <c r="C1769" s="96"/>
      <c r="D1769" s="96"/>
      <c r="E1769" s="96"/>
      <c r="F1769" s="96"/>
      <c r="G1769" s="96"/>
      <c r="H1769" s="96"/>
      <c r="I1769" s="96"/>
    </row>
    <row r="1770" spans="1:9" x14ac:dyDescent="0.25">
      <c r="A1770" s="131"/>
      <c r="B1770" s="96"/>
      <c r="C1770" s="96"/>
      <c r="D1770" s="96"/>
      <c r="E1770" s="96"/>
      <c r="F1770" s="96"/>
      <c r="G1770" s="96"/>
      <c r="H1770" s="96"/>
      <c r="I1770" s="96"/>
    </row>
    <row r="1771" spans="1:9" x14ac:dyDescent="0.25">
      <c r="A1771" s="131"/>
      <c r="B1771" s="96"/>
      <c r="C1771" s="96"/>
      <c r="D1771" s="96"/>
      <c r="E1771" s="96"/>
      <c r="F1771" s="96"/>
      <c r="G1771" s="96"/>
      <c r="H1771" s="96"/>
      <c r="I1771" s="96"/>
    </row>
    <row r="1772" spans="1:9" x14ac:dyDescent="0.25">
      <c r="A1772" s="131"/>
      <c r="B1772" s="96"/>
      <c r="C1772" s="96"/>
      <c r="D1772" s="96"/>
      <c r="E1772" s="96"/>
      <c r="F1772" s="96"/>
      <c r="G1772" s="96"/>
      <c r="H1772" s="96"/>
      <c r="I1772" s="96"/>
    </row>
    <row r="1773" spans="1:9" x14ac:dyDescent="0.25">
      <c r="A1773" s="131"/>
      <c r="B1773" s="96"/>
      <c r="C1773" s="96"/>
      <c r="D1773" s="96"/>
      <c r="E1773" s="96"/>
      <c r="F1773" s="96"/>
      <c r="G1773" s="96"/>
      <c r="H1773" s="96"/>
      <c r="I1773" s="96"/>
    </row>
    <row r="1774" spans="1:9" x14ac:dyDescent="0.25">
      <c r="A1774" s="131"/>
      <c r="B1774" s="96"/>
      <c r="C1774" s="96"/>
      <c r="D1774" s="96"/>
      <c r="E1774" s="96"/>
      <c r="F1774" s="96"/>
      <c r="G1774" s="96"/>
      <c r="H1774" s="96"/>
      <c r="I1774" s="96"/>
    </row>
    <row r="1775" spans="1:9" x14ac:dyDescent="0.25">
      <c r="A1775" s="131"/>
      <c r="B1775" s="96"/>
      <c r="C1775" s="96"/>
      <c r="D1775" s="96"/>
      <c r="E1775" s="96"/>
      <c r="F1775" s="96"/>
      <c r="G1775" s="96"/>
      <c r="H1775" s="96"/>
      <c r="I1775" s="96"/>
    </row>
    <row r="1776" spans="1:9" x14ac:dyDescent="0.25">
      <c r="A1776" s="131"/>
      <c r="B1776" s="96"/>
      <c r="C1776" s="96"/>
      <c r="D1776" s="96"/>
      <c r="E1776" s="96"/>
      <c r="F1776" s="96"/>
      <c r="G1776" s="96"/>
      <c r="H1776" s="96"/>
      <c r="I1776" s="96"/>
    </row>
    <row r="1777" spans="1:9" x14ac:dyDescent="0.25">
      <c r="A1777" s="131"/>
      <c r="B1777" s="96"/>
      <c r="C1777" s="96"/>
      <c r="D1777" s="96"/>
      <c r="E1777" s="96"/>
      <c r="F1777" s="96"/>
      <c r="G1777" s="96"/>
      <c r="H1777" s="96"/>
      <c r="I1777" s="96"/>
    </row>
    <row r="1778" spans="1:9" x14ac:dyDescent="0.25">
      <c r="A1778" s="131"/>
      <c r="B1778" s="96"/>
      <c r="C1778" s="96"/>
      <c r="D1778" s="96"/>
      <c r="E1778" s="96"/>
      <c r="F1778" s="96"/>
      <c r="G1778" s="96"/>
      <c r="H1778" s="96"/>
      <c r="I1778" s="96"/>
    </row>
    <row r="1779" spans="1:9" x14ac:dyDescent="0.25">
      <c r="A1779" s="131"/>
      <c r="B1779" s="96"/>
      <c r="C1779" s="96"/>
      <c r="D1779" s="96"/>
      <c r="E1779" s="96"/>
      <c r="F1779" s="96"/>
      <c r="G1779" s="96"/>
      <c r="H1779" s="96"/>
      <c r="I1779" s="96"/>
    </row>
    <row r="1780" spans="1:9" x14ac:dyDescent="0.25">
      <c r="A1780" s="131"/>
      <c r="B1780" s="96"/>
      <c r="C1780" s="96"/>
      <c r="D1780" s="96"/>
      <c r="E1780" s="96"/>
      <c r="F1780" s="96"/>
      <c r="G1780" s="96"/>
      <c r="H1780" s="96"/>
      <c r="I1780" s="96"/>
    </row>
    <row r="1781" spans="1:9" x14ac:dyDescent="0.25">
      <c r="A1781" s="131"/>
      <c r="B1781" s="96"/>
      <c r="C1781" s="96"/>
      <c r="D1781" s="96"/>
      <c r="E1781" s="96"/>
      <c r="F1781" s="96"/>
      <c r="G1781" s="96"/>
      <c r="H1781" s="96"/>
      <c r="I1781" s="96"/>
    </row>
    <row r="1782" spans="1:9" x14ac:dyDescent="0.25">
      <c r="A1782" s="131"/>
      <c r="B1782" s="96"/>
      <c r="C1782" s="96"/>
      <c r="D1782" s="96"/>
      <c r="E1782" s="96"/>
      <c r="F1782" s="96"/>
      <c r="G1782" s="96"/>
      <c r="H1782" s="96"/>
      <c r="I1782" s="96"/>
    </row>
    <row r="1783" spans="1:9" x14ac:dyDescent="0.25">
      <c r="A1783" s="131"/>
      <c r="B1783" s="96"/>
      <c r="C1783" s="96"/>
      <c r="D1783" s="96"/>
      <c r="E1783" s="96"/>
      <c r="F1783" s="96"/>
      <c r="G1783" s="96"/>
      <c r="H1783" s="96"/>
      <c r="I1783" s="96"/>
    </row>
    <row r="1784" spans="1:9" x14ac:dyDescent="0.25">
      <c r="A1784" s="131"/>
      <c r="B1784" s="96"/>
      <c r="C1784" s="96"/>
      <c r="D1784" s="96"/>
      <c r="E1784" s="96"/>
      <c r="F1784" s="96"/>
      <c r="G1784" s="96"/>
      <c r="H1784" s="96"/>
      <c r="I1784" s="96"/>
    </row>
    <row r="1785" spans="1:9" x14ac:dyDescent="0.25">
      <c r="A1785" s="131"/>
      <c r="B1785" s="96"/>
      <c r="C1785" s="96"/>
      <c r="D1785" s="96"/>
      <c r="E1785" s="96"/>
      <c r="F1785" s="96"/>
      <c r="G1785" s="96"/>
      <c r="H1785" s="96"/>
      <c r="I1785" s="96"/>
    </row>
    <row r="1786" spans="1:9" x14ac:dyDescent="0.25">
      <c r="A1786" s="131"/>
      <c r="B1786" s="96"/>
      <c r="C1786" s="96"/>
      <c r="D1786" s="96"/>
      <c r="E1786" s="96"/>
      <c r="F1786" s="96"/>
      <c r="G1786" s="96"/>
      <c r="H1786" s="96"/>
      <c r="I1786" s="96"/>
    </row>
    <row r="1787" spans="1:9" x14ac:dyDescent="0.25">
      <c r="A1787" s="131"/>
      <c r="B1787" s="96"/>
      <c r="C1787" s="96"/>
      <c r="D1787" s="96"/>
      <c r="E1787" s="96"/>
      <c r="F1787" s="96"/>
      <c r="G1787" s="96"/>
      <c r="H1787" s="96"/>
      <c r="I1787" s="96"/>
    </row>
    <row r="1788" spans="1:9" x14ac:dyDescent="0.25">
      <c r="A1788" s="131"/>
      <c r="B1788" s="96"/>
      <c r="C1788" s="96"/>
      <c r="D1788" s="96"/>
      <c r="E1788" s="96"/>
      <c r="F1788" s="96"/>
      <c r="G1788" s="96"/>
      <c r="H1788" s="96"/>
      <c r="I1788" s="96"/>
    </row>
    <row r="1789" spans="1:9" x14ac:dyDescent="0.25">
      <c r="A1789" s="131"/>
      <c r="B1789" s="96"/>
      <c r="C1789" s="96"/>
      <c r="D1789" s="96"/>
      <c r="E1789" s="96"/>
      <c r="F1789" s="96"/>
      <c r="G1789" s="96"/>
      <c r="H1789" s="96"/>
      <c r="I1789" s="96"/>
    </row>
    <row r="1790" spans="1:9" x14ac:dyDescent="0.25">
      <c r="A1790" s="131"/>
      <c r="B1790" s="96"/>
      <c r="C1790" s="96"/>
      <c r="D1790" s="96"/>
      <c r="E1790" s="96"/>
      <c r="F1790" s="96"/>
      <c r="G1790" s="96"/>
      <c r="H1790" s="96"/>
      <c r="I1790" s="96"/>
    </row>
    <row r="1791" spans="1:9" x14ac:dyDescent="0.25">
      <c r="A1791" s="131"/>
      <c r="B1791" s="96"/>
      <c r="C1791" s="96"/>
      <c r="D1791" s="96"/>
      <c r="E1791" s="96"/>
      <c r="F1791" s="96"/>
      <c r="G1791" s="96"/>
      <c r="H1791" s="96"/>
      <c r="I1791" s="96"/>
    </row>
    <row r="1792" spans="1:9" x14ac:dyDescent="0.25">
      <c r="A1792" s="131"/>
      <c r="B1792" s="96"/>
      <c r="C1792" s="96"/>
      <c r="D1792" s="96"/>
      <c r="E1792" s="96"/>
      <c r="F1792" s="96"/>
      <c r="G1792" s="96"/>
      <c r="H1792" s="96"/>
      <c r="I1792" s="96"/>
    </row>
    <row r="1793" spans="1:9" x14ac:dyDescent="0.25">
      <c r="A1793" s="131"/>
      <c r="B1793" s="96"/>
      <c r="C1793" s="96"/>
      <c r="D1793" s="96"/>
      <c r="E1793" s="96"/>
      <c r="F1793" s="96"/>
      <c r="G1793" s="96"/>
      <c r="H1793" s="96"/>
      <c r="I1793" s="96"/>
    </row>
    <row r="1794" spans="1:9" x14ac:dyDescent="0.25">
      <c r="A1794" s="131"/>
      <c r="B1794" s="96"/>
      <c r="C1794" s="96"/>
      <c r="D1794" s="96"/>
      <c r="E1794" s="96"/>
      <c r="F1794" s="96"/>
      <c r="G1794" s="96"/>
      <c r="H1794" s="96"/>
      <c r="I1794" s="96"/>
    </row>
    <row r="1795" spans="1:9" x14ac:dyDescent="0.25">
      <c r="A1795" s="131"/>
      <c r="B1795" s="96"/>
      <c r="C1795" s="96"/>
      <c r="D1795" s="96"/>
      <c r="E1795" s="96"/>
      <c r="F1795" s="96"/>
      <c r="G1795" s="96"/>
      <c r="H1795" s="96"/>
      <c r="I1795" s="96"/>
    </row>
    <row r="1796" spans="1:9" x14ac:dyDescent="0.25">
      <c r="A1796" s="131"/>
      <c r="B1796" s="96"/>
      <c r="C1796" s="96"/>
      <c r="D1796" s="96"/>
      <c r="E1796" s="96"/>
      <c r="F1796" s="96"/>
      <c r="G1796" s="96"/>
      <c r="H1796" s="96"/>
      <c r="I1796" s="96"/>
    </row>
    <row r="1797" spans="1:9" x14ac:dyDescent="0.25">
      <c r="A1797" s="131"/>
      <c r="B1797" s="96"/>
      <c r="C1797" s="96"/>
      <c r="D1797" s="96"/>
      <c r="E1797" s="96"/>
      <c r="F1797" s="96"/>
      <c r="G1797" s="96"/>
      <c r="H1797" s="96"/>
      <c r="I1797" s="96"/>
    </row>
    <row r="1798" spans="1:9" x14ac:dyDescent="0.25">
      <c r="A1798" s="131"/>
      <c r="B1798" s="96"/>
      <c r="C1798" s="96"/>
      <c r="D1798" s="96"/>
      <c r="E1798" s="96"/>
      <c r="F1798" s="96"/>
      <c r="G1798" s="96"/>
      <c r="H1798" s="96"/>
      <c r="I1798" s="96"/>
    </row>
    <row r="1799" spans="1:9" x14ac:dyDescent="0.25">
      <c r="A1799" s="131"/>
      <c r="B1799" s="96"/>
      <c r="C1799" s="96"/>
      <c r="D1799" s="96"/>
      <c r="E1799" s="96"/>
      <c r="F1799" s="96"/>
      <c r="G1799" s="96"/>
      <c r="H1799" s="96"/>
      <c r="I1799" s="96"/>
    </row>
    <row r="1800" spans="1:9" x14ac:dyDescent="0.25">
      <c r="A1800" s="131"/>
      <c r="B1800" s="96"/>
      <c r="C1800" s="96"/>
      <c r="D1800" s="96"/>
      <c r="E1800" s="96"/>
      <c r="F1800" s="96"/>
      <c r="G1800" s="96"/>
      <c r="H1800" s="96"/>
      <c r="I1800" s="96"/>
    </row>
    <row r="1801" spans="1:9" x14ac:dyDescent="0.25">
      <c r="A1801" s="131"/>
      <c r="B1801" s="96"/>
      <c r="C1801" s="96"/>
      <c r="D1801" s="96"/>
      <c r="E1801" s="96"/>
      <c r="F1801" s="96"/>
      <c r="G1801" s="96"/>
      <c r="H1801" s="96"/>
      <c r="I1801" s="96"/>
    </row>
    <row r="1802" spans="1:9" x14ac:dyDescent="0.25">
      <c r="A1802" s="131"/>
      <c r="B1802" s="96"/>
      <c r="C1802" s="96"/>
      <c r="D1802" s="96"/>
      <c r="E1802" s="96"/>
      <c r="F1802" s="96"/>
      <c r="G1802" s="96"/>
      <c r="H1802" s="96"/>
      <c r="I1802" s="96"/>
    </row>
    <row r="1803" spans="1:9" x14ac:dyDescent="0.25">
      <c r="A1803" s="131"/>
      <c r="B1803" s="96"/>
      <c r="C1803" s="96"/>
      <c r="D1803" s="96"/>
      <c r="E1803" s="96"/>
      <c r="F1803" s="96"/>
      <c r="G1803" s="96"/>
      <c r="H1803" s="96"/>
      <c r="I1803" s="96"/>
    </row>
    <row r="1804" spans="1:9" x14ac:dyDescent="0.25">
      <c r="A1804" s="131"/>
      <c r="B1804" s="96"/>
      <c r="C1804" s="96"/>
      <c r="D1804" s="96"/>
      <c r="E1804" s="96"/>
      <c r="F1804" s="96"/>
      <c r="G1804" s="96"/>
      <c r="H1804" s="96"/>
      <c r="I1804" s="96"/>
    </row>
    <row r="1805" spans="1:9" x14ac:dyDescent="0.25">
      <c r="A1805" s="131"/>
      <c r="B1805" s="96"/>
      <c r="C1805" s="96"/>
      <c r="D1805" s="96"/>
      <c r="E1805" s="96"/>
      <c r="F1805" s="96"/>
      <c r="G1805" s="96"/>
      <c r="H1805" s="96"/>
      <c r="I1805" s="96"/>
    </row>
    <row r="1806" spans="1:9" x14ac:dyDescent="0.25">
      <c r="A1806" s="131"/>
      <c r="B1806" s="96"/>
      <c r="C1806" s="96"/>
      <c r="D1806" s="96"/>
      <c r="E1806" s="96"/>
      <c r="F1806" s="96"/>
      <c r="G1806" s="96"/>
      <c r="H1806" s="96"/>
      <c r="I1806" s="96"/>
    </row>
    <row r="1807" spans="1:9" x14ac:dyDescent="0.25">
      <c r="A1807" s="131"/>
      <c r="B1807" s="96"/>
      <c r="C1807" s="96"/>
      <c r="D1807" s="96"/>
      <c r="E1807" s="96"/>
      <c r="F1807" s="96"/>
      <c r="G1807" s="96"/>
      <c r="H1807" s="96"/>
      <c r="I1807" s="96"/>
    </row>
    <row r="1808" spans="1:9" x14ac:dyDescent="0.25">
      <c r="A1808" s="131"/>
      <c r="B1808" s="96"/>
      <c r="C1808" s="96"/>
      <c r="D1808" s="96"/>
      <c r="E1808" s="96"/>
      <c r="F1808" s="96"/>
      <c r="G1808" s="96"/>
      <c r="H1808" s="96"/>
      <c r="I1808" s="96"/>
    </row>
    <row r="1809" spans="1:9" x14ac:dyDescent="0.25">
      <c r="A1809" s="131"/>
      <c r="B1809" s="96"/>
      <c r="C1809" s="96"/>
      <c r="D1809" s="96"/>
      <c r="E1809" s="96"/>
      <c r="F1809" s="96"/>
      <c r="G1809" s="96"/>
      <c r="H1809" s="96"/>
      <c r="I1809" s="96"/>
    </row>
    <row r="1810" spans="1:9" x14ac:dyDescent="0.25">
      <c r="A1810" s="131"/>
      <c r="B1810" s="96"/>
      <c r="C1810" s="96"/>
      <c r="D1810" s="96"/>
      <c r="E1810" s="96"/>
      <c r="F1810" s="96"/>
      <c r="G1810" s="96"/>
      <c r="H1810" s="96"/>
      <c r="I1810" s="96"/>
    </row>
    <row r="1811" spans="1:9" x14ac:dyDescent="0.25">
      <c r="A1811" s="131"/>
      <c r="B1811" s="96"/>
      <c r="C1811" s="96"/>
      <c r="D1811" s="96"/>
      <c r="E1811" s="96"/>
      <c r="F1811" s="96"/>
      <c r="G1811" s="96"/>
      <c r="H1811" s="96"/>
      <c r="I1811" s="96"/>
    </row>
    <row r="1812" spans="1:9" x14ac:dyDescent="0.25">
      <c r="A1812" s="131"/>
      <c r="B1812" s="96"/>
      <c r="C1812" s="96"/>
      <c r="D1812" s="96"/>
      <c r="E1812" s="96"/>
      <c r="F1812" s="96"/>
      <c r="G1812" s="96"/>
      <c r="H1812" s="96"/>
      <c r="I1812" s="96"/>
    </row>
    <row r="1813" spans="1:9" x14ac:dyDescent="0.25">
      <c r="A1813" s="131"/>
      <c r="B1813" s="96"/>
      <c r="C1813" s="96"/>
      <c r="D1813" s="96"/>
      <c r="E1813" s="96"/>
      <c r="F1813" s="96"/>
      <c r="G1813" s="96"/>
      <c r="H1813" s="96"/>
      <c r="I1813" s="96"/>
    </row>
    <row r="1814" spans="1:9" x14ac:dyDescent="0.25">
      <c r="A1814" s="131"/>
      <c r="B1814" s="96"/>
      <c r="C1814" s="96"/>
      <c r="D1814" s="96"/>
      <c r="E1814" s="96"/>
      <c r="F1814" s="96"/>
      <c r="G1814" s="96"/>
      <c r="H1814" s="96"/>
      <c r="I1814" s="96"/>
    </row>
    <row r="1815" spans="1:9" x14ac:dyDescent="0.25">
      <c r="A1815" s="131"/>
      <c r="B1815" s="96"/>
      <c r="C1815" s="96"/>
      <c r="D1815" s="96"/>
      <c r="E1815" s="96"/>
      <c r="F1815" s="96"/>
      <c r="G1815" s="96"/>
      <c r="H1815" s="96"/>
      <c r="I1815" s="96"/>
    </row>
    <row r="1816" spans="1:9" x14ac:dyDescent="0.25">
      <c r="A1816" s="131"/>
      <c r="B1816" s="96"/>
      <c r="C1816" s="96"/>
      <c r="D1816" s="96"/>
      <c r="E1816" s="96"/>
      <c r="F1816" s="96"/>
      <c r="G1816" s="96"/>
      <c r="H1816" s="96"/>
      <c r="I1816" s="96"/>
    </row>
    <row r="1817" spans="1:9" x14ac:dyDescent="0.25">
      <c r="A1817" s="131"/>
      <c r="B1817" s="96"/>
      <c r="C1817" s="96"/>
      <c r="D1817" s="96"/>
      <c r="E1817" s="96"/>
      <c r="F1817" s="96"/>
      <c r="G1817" s="96"/>
      <c r="H1817" s="96"/>
      <c r="I1817" s="96"/>
    </row>
    <row r="1818" spans="1:9" x14ac:dyDescent="0.25">
      <c r="A1818" s="131"/>
      <c r="B1818" s="96"/>
      <c r="C1818" s="96"/>
      <c r="D1818" s="96"/>
      <c r="E1818" s="96"/>
      <c r="F1818" s="96"/>
      <c r="G1818" s="96"/>
      <c r="H1818" s="96"/>
      <c r="I1818" s="96"/>
    </row>
    <row r="1819" spans="1:9" x14ac:dyDescent="0.25">
      <c r="A1819" s="131"/>
      <c r="B1819" s="96"/>
      <c r="C1819" s="96"/>
      <c r="D1819" s="96"/>
      <c r="E1819" s="96"/>
      <c r="F1819" s="96"/>
      <c r="G1819" s="96"/>
      <c r="H1819" s="96"/>
      <c r="I1819" s="96"/>
    </row>
    <row r="1820" spans="1:9" x14ac:dyDescent="0.25">
      <c r="A1820" s="131"/>
      <c r="B1820" s="96"/>
      <c r="C1820" s="96"/>
      <c r="D1820" s="96"/>
      <c r="E1820" s="96"/>
      <c r="F1820" s="96"/>
      <c r="G1820" s="96"/>
      <c r="H1820" s="96"/>
      <c r="I1820" s="96"/>
    </row>
    <row r="1821" spans="1:9" x14ac:dyDescent="0.25">
      <c r="A1821" s="131"/>
      <c r="B1821" s="96"/>
      <c r="C1821" s="96"/>
      <c r="D1821" s="96"/>
      <c r="E1821" s="96"/>
      <c r="F1821" s="96"/>
      <c r="G1821" s="96"/>
      <c r="H1821" s="96"/>
      <c r="I1821" s="96"/>
    </row>
    <row r="1822" spans="1:9" x14ac:dyDescent="0.25">
      <c r="A1822" s="131"/>
      <c r="B1822" s="96"/>
      <c r="C1822" s="96"/>
      <c r="D1822" s="96"/>
      <c r="E1822" s="96"/>
      <c r="F1822" s="96"/>
      <c r="G1822" s="96"/>
      <c r="H1822" s="96"/>
      <c r="I1822" s="96"/>
    </row>
    <row r="1823" spans="1:9" x14ac:dyDescent="0.25">
      <c r="A1823" s="131"/>
      <c r="B1823" s="96"/>
      <c r="C1823" s="96"/>
      <c r="D1823" s="96"/>
      <c r="E1823" s="96"/>
      <c r="F1823" s="96"/>
      <c r="G1823" s="96"/>
      <c r="H1823" s="96"/>
      <c r="I1823" s="96"/>
    </row>
    <row r="1824" spans="1:9" x14ac:dyDescent="0.25">
      <c r="A1824" s="131"/>
      <c r="B1824" s="96"/>
      <c r="C1824" s="96"/>
      <c r="D1824" s="96"/>
      <c r="E1824" s="96"/>
      <c r="F1824" s="96"/>
      <c r="G1824" s="96"/>
      <c r="H1824" s="96"/>
      <c r="I1824" s="96"/>
    </row>
    <row r="1825" spans="1:9" x14ac:dyDescent="0.25">
      <c r="A1825" s="131"/>
      <c r="B1825" s="96"/>
      <c r="C1825" s="96"/>
      <c r="D1825" s="96"/>
      <c r="E1825" s="96"/>
      <c r="F1825" s="96"/>
      <c r="G1825" s="96"/>
      <c r="H1825" s="96"/>
      <c r="I1825" s="96"/>
    </row>
    <row r="1826" spans="1:9" x14ac:dyDescent="0.25">
      <c r="A1826" s="131"/>
      <c r="B1826" s="96"/>
      <c r="C1826" s="96"/>
      <c r="D1826" s="96"/>
      <c r="E1826" s="96"/>
      <c r="F1826" s="96"/>
      <c r="G1826" s="96"/>
      <c r="H1826" s="96"/>
      <c r="I1826" s="96"/>
    </row>
    <row r="1827" spans="1:9" x14ac:dyDescent="0.25">
      <c r="A1827" s="131"/>
      <c r="B1827" s="96"/>
      <c r="C1827" s="96"/>
      <c r="D1827" s="96"/>
      <c r="E1827" s="96"/>
      <c r="F1827" s="96"/>
      <c r="G1827" s="96"/>
      <c r="H1827" s="96"/>
      <c r="I1827" s="96"/>
    </row>
    <row r="1828" spans="1:9" x14ac:dyDescent="0.25">
      <c r="A1828" s="131"/>
      <c r="B1828" s="96"/>
      <c r="C1828" s="96"/>
      <c r="D1828" s="96"/>
      <c r="E1828" s="96"/>
      <c r="F1828" s="96"/>
      <c r="G1828" s="96"/>
      <c r="H1828" s="96"/>
      <c r="I1828" s="96"/>
    </row>
    <row r="1829" spans="1:9" x14ac:dyDescent="0.25">
      <c r="A1829" s="131"/>
      <c r="B1829" s="96"/>
      <c r="C1829" s="96"/>
      <c r="D1829" s="96"/>
      <c r="E1829" s="96"/>
      <c r="F1829" s="96"/>
      <c r="G1829" s="96"/>
      <c r="H1829" s="96"/>
      <c r="I1829" s="96"/>
    </row>
    <row r="1830" spans="1:9" x14ac:dyDescent="0.25">
      <c r="A1830" s="131"/>
      <c r="B1830" s="96"/>
      <c r="C1830" s="96"/>
      <c r="D1830" s="96"/>
      <c r="E1830" s="96"/>
      <c r="F1830" s="96"/>
      <c r="G1830" s="96"/>
      <c r="H1830" s="96"/>
      <c r="I1830" s="96"/>
    </row>
    <row r="1831" spans="1:9" x14ac:dyDescent="0.25">
      <c r="A1831" s="131"/>
      <c r="B1831" s="96"/>
      <c r="C1831" s="96"/>
      <c r="D1831" s="96"/>
      <c r="E1831" s="96"/>
      <c r="F1831" s="96"/>
      <c r="G1831" s="96"/>
      <c r="H1831" s="96"/>
      <c r="I1831" s="96"/>
    </row>
    <row r="1832" spans="1:9" x14ac:dyDescent="0.25">
      <c r="A1832" s="131"/>
      <c r="B1832" s="96"/>
      <c r="C1832" s="96"/>
      <c r="D1832" s="96"/>
      <c r="E1832" s="96"/>
      <c r="F1832" s="96"/>
      <c r="G1832" s="96"/>
      <c r="H1832" s="96"/>
      <c r="I1832" s="96"/>
    </row>
    <row r="1833" spans="1:9" x14ac:dyDescent="0.25">
      <c r="A1833" s="131"/>
      <c r="B1833" s="96"/>
      <c r="C1833" s="96"/>
      <c r="D1833" s="96"/>
      <c r="E1833" s="96"/>
      <c r="F1833" s="96"/>
      <c r="G1833" s="96"/>
      <c r="H1833" s="96"/>
      <c r="I1833" s="96"/>
    </row>
    <row r="1834" spans="1:9" x14ac:dyDescent="0.25">
      <c r="A1834" s="131"/>
      <c r="B1834" s="96"/>
      <c r="C1834" s="96"/>
      <c r="D1834" s="96"/>
      <c r="E1834" s="96"/>
      <c r="F1834" s="96"/>
      <c r="G1834" s="96"/>
      <c r="H1834" s="96"/>
      <c r="I1834" s="96"/>
    </row>
    <row r="1835" spans="1:9" x14ac:dyDescent="0.25">
      <c r="A1835" s="131"/>
      <c r="B1835" s="96"/>
      <c r="C1835" s="96"/>
      <c r="D1835" s="96"/>
      <c r="E1835" s="96"/>
      <c r="F1835" s="96"/>
      <c r="G1835" s="96"/>
      <c r="H1835" s="96"/>
      <c r="I1835" s="96"/>
    </row>
    <row r="1836" spans="1:9" x14ac:dyDescent="0.25">
      <c r="A1836" s="131"/>
      <c r="B1836" s="96"/>
      <c r="C1836" s="96"/>
      <c r="D1836" s="96"/>
      <c r="E1836" s="96"/>
      <c r="F1836" s="96"/>
      <c r="G1836" s="96"/>
      <c r="H1836" s="96"/>
      <c r="I1836" s="96"/>
    </row>
    <row r="1837" spans="1:9" x14ac:dyDescent="0.25">
      <c r="A1837" s="131"/>
      <c r="B1837" s="96"/>
      <c r="C1837" s="96"/>
      <c r="D1837" s="96"/>
      <c r="E1837" s="96"/>
      <c r="F1837" s="96"/>
      <c r="G1837" s="96"/>
      <c r="H1837" s="96"/>
      <c r="I1837" s="96"/>
    </row>
    <row r="1838" spans="1:9" x14ac:dyDescent="0.25">
      <c r="A1838" s="131"/>
      <c r="B1838" s="96"/>
      <c r="C1838" s="96"/>
      <c r="D1838" s="96"/>
      <c r="E1838" s="96"/>
      <c r="F1838" s="96"/>
      <c r="G1838" s="96"/>
      <c r="H1838" s="96"/>
      <c r="I1838" s="96"/>
    </row>
    <row r="1839" spans="1:9" x14ac:dyDescent="0.25">
      <c r="A1839" s="131"/>
      <c r="B1839" s="96"/>
      <c r="C1839" s="96"/>
      <c r="D1839" s="96"/>
      <c r="E1839" s="96"/>
      <c r="F1839" s="96"/>
      <c r="G1839" s="96"/>
      <c r="H1839" s="96"/>
      <c r="I1839" s="96"/>
    </row>
    <row r="1840" spans="1:9" x14ac:dyDescent="0.25">
      <c r="A1840" s="131"/>
      <c r="B1840" s="96"/>
      <c r="C1840" s="96"/>
      <c r="D1840" s="96"/>
      <c r="E1840" s="96"/>
      <c r="F1840" s="96"/>
      <c r="G1840" s="96"/>
      <c r="H1840" s="96"/>
      <c r="I1840" s="96"/>
    </row>
    <row r="1841" spans="1:9" x14ac:dyDescent="0.25">
      <c r="A1841" s="131"/>
      <c r="B1841" s="96"/>
      <c r="C1841" s="96"/>
      <c r="D1841" s="96"/>
      <c r="E1841" s="96"/>
      <c r="F1841" s="96"/>
      <c r="G1841" s="96"/>
      <c r="H1841" s="96"/>
      <c r="I1841" s="96"/>
    </row>
    <row r="1842" spans="1:9" x14ac:dyDescent="0.25">
      <c r="A1842" s="131"/>
      <c r="B1842" s="96"/>
      <c r="C1842" s="96"/>
      <c r="D1842" s="96"/>
      <c r="E1842" s="96"/>
      <c r="F1842" s="96"/>
      <c r="G1842" s="96"/>
      <c r="H1842" s="96"/>
      <c r="I1842" s="96"/>
    </row>
    <row r="1843" spans="1:9" x14ac:dyDescent="0.25">
      <c r="A1843" s="131"/>
      <c r="B1843" s="96"/>
      <c r="C1843" s="96"/>
      <c r="D1843" s="96"/>
      <c r="E1843" s="96"/>
      <c r="F1843" s="96"/>
      <c r="G1843" s="96"/>
      <c r="H1843" s="96"/>
      <c r="I1843" s="96"/>
    </row>
    <row r="1844" spans="1:9" x14ac:dyDescent="0.25">
      <c r="A1844" s="131"/>
      <c r="B1844" s="96"/>
      <c r="C1844" s="96"/>
      <c r="D1844" s="96"/>
      <c r="E1844" s="96"/>
      <c r="F1844" s="96"/>
      <c r="G1844" s="96"/>
      <c r="H1844" s="96"/>
      <c r="I1844" s="96"/>
    </row>
    <row r="1845" spans="1:9" x14ac:dyDescent="0.25">
      <c r="A1845" s="131"/>
      <c r="B1845" s="96"/>
      <c r="C1845" s="96"/>
      <c r="D1845" s="96"/>
      <c r="E1845" s="96"/>
      <c r="F1845" s="96"/>
      <c r="G1845" s="96"/>
      <c r="H1845" s="96"/>
      <c r="I1845" s="96"/>
    </row>
    <row r="1846" spans="1:9" x14ac:dyDescent="0.25">
      <c r="A1846" s="131"/>
      <c r="B1846" s="96"/>
      <c r="C1846" s="96"/>
      <c r="D1846" s="96"/>
      <c r="E1846" s="96"/>
      <c r="F1846" s="96"/>
      <c r="G1846" s="96"/>
      <c r="H1846" s="96"/>
      <c r="I1846" s="96"/>
    </row>
    <row r="1847" spans="1:9" x14ac:dyDescent="0.25">
      <c r="A1847" s="131"/>
      <c r="B1847" s="96"/>
      <c r="C1847" s="96"/>
      <c r="D1847" s="96"/>
      <c r="E1847" s="96"/>
      <c r="F1847" s="96"/>
      <c r="G1847" s="96"/>
      <c r="H1847" s="96"/>
      <c r="I1847" s="96"/>
    </row>
    <row r="1848" spans="1:9" x14ac:dyDescent="0.25">
      <c r="A1848" s="131"/>
      <c r="B1848" s="96"/>
      <c r="C1848" s="96"/>
      <c r="D1848" s="96"/>
      <c r="E1848" s="96"/>
      <c r="F1848" s="96"/>
      <c r="G1848" s="96"/>
      <c r="H1848" s="96"/>
      <c r="I1848" s="96"/>
    </row>
    <row r="1849" spans="1:9" x14ac:dyDescent="0.25">
      <c r="A1849" s="131"/>
      <c r="B1849" s="96"/>
      <c r="C1849" s="96"/>
      <c r="D1849" s="96"/>
      <c r="E1849" s="96"/>
      <c r="F1849" s="96"/>
      <c r="G1849" s="96"/>
      <c r="H1849" s="96"/>
      <c r="I1849" s="96"/>
    </row>
    <row r="1850" spans="1:9" x14ac:dyDescent="0.25">
      <c r="A1850" s="131"/>
      <c r="B1850" s="96"/>
      <c r="C1850" s="96"/>
      <c r="D1850" s="96"/>
      <c r="E1850" s="96"/>
      <c r="F1850" s="96"/>
      <c r="G1850" s="96"/>
      <c r="H1850" s="96"/>
      <c r="I1850" s="96"/>
    </row>
    <row r="1851" spans="1:9" x14ac:dyDescent="0.25">
      <c r="A1851" s="131"/>
      <c r="B1851" s="96"/>
      <c r="C1851" s="96"/>
      <c r="D1851" s="96"/>
      <c r="E1851" s="96"/>
      <c r="F1851" s="96"/>
      <c r="G1851" s="96"/>
      <c r="H1851" s="96"/>
      <c r="I1851" s="96"/>
    </row>
    <row r="1852" spans="1:9" x14ac:dyDescent="0.25">
      <c r="A1852" s="131"/>
      <c r="B1852" s="96"/>
      <c r="C1852" s="96"/>
      <c r="D1852" s="96"/>
      <c r="E1852" s="96"/>
      <c r="F1852" s="96"/>
      <c r="G1852" s="96"/>
      <c r="H1852" s="96"/>
      <c r="I1852" s="96"/>
    </row>
    <row r="1853" spans="1:9" x14ac:dyDescent="0.25">
      <c r="A1853" s="131"/>
      <c r="B1853" s="96"/>
      <c r="C1853" s="96"/>
      <c r="D1853" s="96"/>
      <c r="E1853" s="96"/>
      <c r="F1853" s="96"/>
      <c r="G1853" s="96"/>
      <c r="H1853" s="96"/>
      <c r="I1853" s="96"/>
    </row>
    <row r="1854" spans="1:9" x14ac:dyDescent="0.25">
      <c r="A1854" s="131"/>
      <c r="B1854" s="96"/>
      <c r="C1854" s="96"/>
      <c r="D1854" s="96"/>
      <c r="E1854" s="96"/>
      <c r="F1854" s="96"/>
      <c r="G1854" s="96"/>
      <c r="H1854" s="96"/>
      <c r="I1854" s="96"/>
    </row>
    <row r="1855" spans="1:9" x14ac:dyDescent="0.25">
      <c r="A1855" s="131"/>
      <c r="B1855" s="96"/>
      <c r="C1855" s="96"/>
      <c r="D1855" s="96"/>
      <c r="E1855" s="96"/>
      <c r="F1855" s="96"/>
      <c r="G1855" s="96"/>
      <c r="H1855" s="96"/>
      <c r="I1855" s="96"/>
    </row>
    <row r="1856" spans="1:9" x14ac:dyDescent="0.25">
      <c r="A1856" s="131"/>
      <c r="B1856" s="96"/>
      <c r="C1856" s="96"/>
      <c r="D1856" s="96"/>
      <c r="E1856" s="96"/>
      <c r="F1856" s="96"/>
      <c r="G1856" s="96"/>
      <c r="H1856" s="96"/>
      <c r="I1856" s="96"/>
    </row>
    <row r="1857" spans="1:9" x14ac:dyDescent="0.25">
      <c r="A1857" s="131"/>
      <c r="B1857" s="96"/>
      <c r="C1857" s="96"/>
      <c r="D1857" s="96"/>
      <c r="E1857" s="96"/>
      <c r="F1857" s="96"/>
      <c r="G1857" s="96"/>
      <c r="H1857" s="96"/>
      <c r="I1857" s="96"/>
    </row>
    <row r="1858" spans="1:9" x14ac:dyDescent="0.25">
      <c r="A1858" s="131"/>
      <c r="B1858" s="96"/>
      <c r="C1858" s="96"/>
      <c r="D1858" s="96"/>
      <c r="E1858" s="96"/>
      <c r="F1858" s="96"/>
      <c r="G1858" s="96"/>
      <c r="H1858" s="96"/>
      <c r="I1858" s="96"/>
    </row>
    <row r="1859" spans="1:9" x14ac:dyDescent="0.25">
      <c r="A1859" s="131"/>
      <c r="B1859" s="96"/>
      <c r="C1859" s="96"/>
      <c r="D1859" s="96"/>
      <c r="E1859" s="96"/>
      <c r="F1859" s="96"/>
      <c r="G1859" s="96"/>
      <c r="H1859" s="96"/>
      <c r="I1859" s="96"/>
    </row>
    <row r="1860" spans="1:9" x14ac:dyDescent="0.25">
      <c r="A1860" s="131"/>
      <c r="B1860" s="96"/>
      <c r="C1860" s="96"/>
      <c r="D1860" s="96"/>
      <c r="E1860" s="96"/>
      <c r="F1860" s="96"/>
      <c r="G1860" s="96"/>
      <c r="H1860" s="96"/>
      <c r="I1860" s="96"/>
    </row>
    <row r="1861" spans="1:9" x14ac:dyDescent="0.25">
      <c r="A1861" s="131"/>
      <c r="B1861" s="96"/>
      <c r="C1861" s="96"/>
      <c r="D1861" s="96"/>
      <c r="E1861" s="96"/>
      <c r="F1861" s="96"/>
      <c r="G1861" s="96"/>
      <c r="H1861" s="96"/>
      <c r="I1861" s="96"/>
    </row>
    <row r="1862" spans="1:9" x14ac:dyDescent="0.25">
      <c r="A1862" s="131"/>
      <c r="B1862" s="96"/>
      <c r="C1862" s="96"/>
      <c r="D1862" s="96"/>
      <c r="E1862" s="96"/>
      <c r="F1862" s="96"/>
      <c r="G1862" s="96"/>
      <c r="H1862" s="96"/>
      <c r="I1862" s="96"/>
    </row>
    <row r="1863" spans="1:9" x14ac:dyDescent="0.25">
      <c r="A1863" s="131"/>
      <c r="B1863" s="96"/>
      <c r="C1863" s="96"/>
      <c r="D1863" s="96"/>
      <c r="E1863" s="96"/>
      <c r="F1863" s="96"/>
      <c r="G1863" s="96"/>
      <c r="H1863" s="96"/>
      <c r="I1863" s="96"/>
    </row>
    <row r="1864" spans="1:9" x14ac:dyDescent="0.25">
      <c r="A1864" s="131"/>
      <c r="B1864" s="96"/>
      <c r="C1864" s="96"/>
      <c r="D1864" s="96"/>
      <c r="E1864" s="96"/>
      <c r="F1864" s="96"/>
      <c r="G1864" s="96"/>
      <c r="H1864" s="96"/>
      <c r="I1864" s="96"/>
    </row>
    <row r="1865" spans="1:9" x14ac:dyDescent="0.25">
      <c r="A1865" s="131"/>
      <c r="B1865" s="96"/>
      <c r="C1865" s="96"/>
      <c r="D1865" s="96"/>
      <c r="E1865" s="96"/>
      <c r="F1865" s="96"/>
      <c r="G1865" s="96"/>
      <c r="H1865" s="96"/>
      <c r="I1865" s="96"/>
    </row>
    <row r="1866" spans="1:9" x14ac:dyDescent="0.25">
      <c r="A1866" s="131"/>
      <c r="B1866" s="96"/>
      <c r="C1866" s="96"/>
      <c r="D1866" s="96"/>
      <c r="E1866" s="96"/>
      <c r="F1866" s="96"/>
      <c r="G1866" s="96"/>
      <c r="H1866" s="96"/>
      <c r="I1866" s="96"/>
    </row>
    <row r="1867" spans="1:9" x14ac:dyDescent="0.25">
      <c r="A1867" s="131"/>
      <c r="B1867" s="96"/>
      <c r="C1867" s="96"/>
      <c r="D1867" s="96"/>
      <c r="E1867" s="96"/>
      <c r="F1867" s="96"/>
      <c r="G1867" s="96"/>
      <c r="H1867" s="96"/>
      <c r="I1867" s="96"/>
    </row>
    <row r="1868" spans="1:9" x14ac:dyDescent="0.25">
      <c r="A1868" s="131"/>
      <c r="B1868" s="96"/>
      <c r="C1868" s="96"/>
      <c r="D1868" s="96"/>
      <c r="E1868" s="96"/>
      <c r="F1868" s="96"/>
      <c r="G1868" s="96"/>
      <c r="H1868" s="96"/>
      <c r="I1868" s="96"/>
    </row>
    <row r="1869" spans="1:9" x14ac:dyDescent="0.25">
      <c r="A1869" s="131"/>
      <c r="B1869" s="96"/>
      <c r="C1869" s="96"/>
      <c r="D1869" s="96"/>
      <c r="E1869" s="96"/>
      <c r="F1869" s="96"/>
      <c r="G1869" s="96"/>
      <c r="H1869" s="96"/>
      <c r="I1869" s="96"/>
    </row>
    <row r="1870" spans="1:9" x14ac:dyDescent="0.25">
      <c r="A1870" s="131"/>
      <c r="B1870" s="96"/>
      <c r="C1870" s="96"/>
      <c r="D1870" s="96"/>
      <c r="E1870" s="96"/>
      <c r="F1870" s="96"/>
      <c r="G1870" s="96"/>
      <c r="H1870" s="96"/>
      <c r="I1870" s="96"/>
    </row>
    <row r="1871" spans="1:9" x14ac:dyDescent="0.25">
      <c r="A1871" s="131"/>
      <c r="B1871" s="96"/>
      <c r="C1871" s="96"/>
      <c r="D1871" s="96"/>
      <c r="E1871" s="96"/>
      <c r="F1871" s="96"/>
      <c r="G1871" s="96"/>
      <c r="H1871" s="96"/>
      <c r="I1871" s="96"/>
    </row>
    <row r="1872" spans="1:9" x14ac:dyDescent="0.25">
      <c r="A1872" s="131"/>
      <c r="B1872" s="96"/>
      <c r="C1872" s="96"/>
      <c r="D1872" s="96"/>
      <c r="E1872" s="96"/>
      <c r="F1872" s="96"/>
      <c r="G1872" s="96"/>
      <c r="H1872" s="96"/>
      <c r="I1872" s="96"/>
    </row>
    <row r="1873" spans="1:9" x14ac:dyDescent="0.25">
      <c r="A1873" s="131"/>
      <c r="B1873" s="96"/>
      <c r="C1873" s="96"/>
      <c r="D1873" s="96"/>
      <c r="E1873" s="96"/>
      <c r="F1873" s="96"/>
      <c r="G1873" s="96"/>
      <c r="H1873" s="96"/>
      <c r="I1873" s="96"/>
    </row>
    <row r="1874" spans="1:9" x14ac:dyDescent="0.25">
      <c r="A1874" s="131"/>
      <c r="B1874" s="96"/>
      <c r="C1874" s="96"/>
      <c r="D1874" s="96"/>
      <c r="E1874" s="96"/>
      <c r="F1874" s="96"/>
      <c r="G1874" s="96"/>
      <c r="H1874" s="96"/>
      <c r="I1874" s="96"/>
    </row>
    <row r="1875" spans="1:9" x14ac:dyDescent="0.25">
      <c r="A1875" s="131"/>
      <c r="B1875" s="96"/>
      <c r="C1875" s="96"/>
      <c r="D1875" s="96"/>
      <c r="E1875" s="96"/>
      <c r="F1875" s="96"/>
      <c r="G1875" s="96"/>
      <c r="H1875" s="96"/>
      <c r="I1875" s="96"/>
    </row>
    <row r="1876" spans="1:9" x14ac:dyDescent="0.25">
      <c r="A1876" s="131"/>
      <c r="B1876" s="96"/>
      <c r="C1876" s="96"/>
      <c r="D1876" s="96"/>
      <c r="E1876" s="96"/>
      <c r="F1876" s="96"/>
      <c r="G1876" s="96"/>
      <c r="H1876" s="96"/>
      <c r="I1876" s="96"/>
    </row>
    <row r="1877" spans="1:9" x14ac:dyDescent="0.25">
      <c r="A1877" s="131"/>
      <c r="B1877" s="96"/>
      <c r="C1877" s="96"/>
      <c r="D1877" s="96"/>
      <c r="E1877" s="96"/>
      <c r="F1877" s="96"/>
      <c r="G1877" s="96"/>
      <c r="H1877" s="96"/>
      <c r="I1877" s="96"/>
    </row>
    <row r="1878" spans="1:9" x14ac:dyDescent="0.25">
      <c r="A1878" s="131"/>
      <c r="B1878" s="96"/>
      <c r="C1878" s="96"/>
      <c r="D1878" s="96"/>
      <c r="E1878" s="96"/>
      <c r="F1878" s="96"/>
      <c r="G1878" s="96"/>
      <c r="H1878" s="96"/>
      <c r="I1878" s="96"/>
    </row>
    <row r="1879" spans="1:9" x14ac:dyDescent="0.25">
      <c r="A1879" s="131"/>
      <c r="B1879" s="96"/>
      <c r="C1879" s="96"/>
      <c r="D1879" s="96"/>
      <c r="E1879" s="96"/>
      <c r="F1879" s="96"/>
      <c r="G1879" s="96"/>
      <c r="H1879" s="96"/>
      <c r="I1879" s="96"/>
    </row>
    <row r="1880" spans="1:9" x14ac:dyDescent="0.25">
      <c r="A1880" s="131"/>
      <c r="B1880" s="96"/>
      <c r="C1880" s="96"/>
      <c r="D1880" s="96"/>
      <c r="E1880" s="96"/>
      <c r="F1880" s="96"/>
      <c r="G1880" s="96"/>
      <c r="H1880" s="96"/>
      <c r="I1880" s="96"/>
    </row>
    <row r="1881" spans="1:9" x14ac:dyDescent="0.25">
      <c r="A1881" s="131"/>
      <c r="B1881" s="96"/>
      <c r="C1881" s="96"/>
      <c r="D1881" s="96"/>
      <c r="E1881" s="96"/>
      <c r="F1881" s="96"/>
      <c r="G1881" s="96"/>
      <c r="H1881" s="96"/>
      <c r="I1881" s="96"/>
    </row>
    <row r="1882" spans="1:9" x14ac:dyDescent="0.25">
      <c r="A1882" s="131"/>
      <c r="B1882" s="96"/>
      <c r="C1882" s="96"/>
      <c r="D1882" s="96"/>
      <c r="E1882" s="96"/>
      <c r="F1882" s="96"/>
      <c r="G1882" s="96"/>
      <c r="H1882" s="96"/>
      <c r="I1882" s="96"/>
    </row>
    <row r="1883" spans="1:9" x14ac:dyDescent="0.25">
      <c r="A1883" s="131"/>
      <c r="B1883" s="96"/>
      <c r="C1883" s="96"/>
      <c r="D1883" s="96"/>
      <c r="E1883" s="96"/>
      <c r="F1883" s="96"/>
      <c r="G1883" s="96"/>
      <c r="H1883" s="96"/>
      <c r="I1883" s="96"/>
    </row>
    <row r="1884" spans="1:9" x14ac:dyDescent="0.25">
      <c r="A1884" s="131"/>
      <c r="B1884" s="96"/>
      <c r="C1884" s="96"/>
      <c r="D1884" s="96"/>
      <c r="E1884" s="96"/>
      <c r="F1884" s="96"/>
      <c r="G1884" s="96"/>
      <c r="H1884" s="96"/>
      <c r="I1884" s="96"/>
    </row>
    <row r="1885" spans="1:9" x14ac:dyDescent="0.25">
      <c r="A1885" s="131"/>
      <c r="B1885" s="96"/>
      <c r="C1885" s="96"/>
      <c r="D1885" s="96"/>
      <c r="E1885" s="96"/>
      <c r="F1885" s="96"/>
      <c r="G1885" s="96"/>
      <c r="H1885" s="96"/>
      <c r="I1885" s="96"/>
    </row>
    <row r="1886" spans="1:9" x14ac:dyDescent="0.25">
      <c r="A1886" s="131"/>
      <c r="B1886" s="96"/>
      <c r="C1886" s="96"/>
      <c r="D1886" s="96"/>
      <c r="E1886" s="96"/>
      <c r="F1886" s="96"/>
      <c r="G1886" s="96"/>
      <c r="H1886" s="96"/>
      <c r="I1886" s="96"/>
    </row>
    <row r="1887" spans="1:9" x14ac:dyDescent="0.25">
      <c r="A1887" s="131"/>
      <c r="B1887" s="96"/>
      <c r="C1887" s="96"/>
      <c r="D1887" s="96"/>
      <c r="E1887" s="96"/>
      <c r="F1887" s="96"/>
      <c r="G1887" s="96"/>
      <c r="H1887" s="96"/>
      <c r="I1887" s="96"/>
    </row>
    <row r="1888" spans="1:9" x14ac:dyDescent="0.25">
      <c r="A1888" s="131"/>
      <c r="B1888" s="96"/>
      <c r="C1888" s="96"/>
      <c r="D1888" s="96"/>
      <c r="E1888" s="96"/>
      <c r="F1888" s="96"/>
      <c r="G1888" s="96"/>
      <c r="H1888" s="96"/>
      <c r="I1888" s="96"/>
    </row>
    <row r="1889" spans="1:9" x14ac:dyDescent="0.25">
      <c r="A1889" s="131"/>
      <c r="B1889" s="96"/>
      <c r="C1889" s="96"/>
      <c r="D1889" s="96"/>
      <c r="E1889" s="96"/>
      <c r="F1889" s="96"/>
      <c r="G1889" s="96"/>
      <c r="H1889" s="96"/>
      <c r="I1889" s="96"/>
    </row>
    <row r="1890" spans="1:9" x14ac:dyDescent="0.25">
      <c r="A1890" s="131"/>
      <c r="B1890" s="96"/>
      <c r="C1890" s="96"/>
      <c r="D1890" s="96"/>
      <c r="E1890" s="96"/>
      <c r="F1890" s="96"/>
      <c r="G1890" s="96"/>
      <c r="H1890" s="96"/>
      <c r="I1890" s="96"/>
    </row>
    <row r="1891" spans="1:9" x14ac:dyDescent="0.25">
      <c r="A1891" s="131"/>
      <c r="B1891" s="96"/>
      <c r="C1891" s="96"/>
      <c r="D1891" s="96"/>
      <c r="E1891" s="96"/>
      <c r="F1891" s="96"/>
      <c r="G1891" s="96"/>
      <c r="H1891" s="96"/>
      <c r="I1891" s="96"/>
    </row>
    <row r="1892" spans="1:9" x14ac:dyDescent="0.25">
      <c r="A1892" s="131"/>
      <c r="B1892" s="96"/>
      <c r="C1892" s="96"/>
      <c r="D1892" s="96"/>
      <c r="E1892" s="96"/>
      <c r="F1892" s="96"/>
      <c r="G1892" s="96"/>
      <c r="H1892" s="96"/>
      <c r="I1892" s="96"/>
    </row>
    <row r="1893" spans="1:9" x14ac:dyDescent="0.25">
      <c r="A1893" s="131"/>
      <c r="B1893" s="96"/>
      <c r="C1893" s="96"/>
      <c r="D1893" s="96"/>
      <c r="E1893" s="96"/>
      <c r="F1893" s="96"/>
      <c r="G1893" s="96"/>
      <c r="H1893" s="96"/>
      <c r="I1893" s="96"/>
    </row>
    <row r="1894" spans="1:9" x14ac:dyDescent="0.25">
      <c r="A1894" s="131"/>
      <c r="B1894" s="96"/>
      <c r="C1894" s="96"/>
      <c r="D1894" s="96"/>
      <c r="E1894" s="96"/>
      <c r="F1894" s="96"/>
      <c r="G1894" s="96"/>
      <c r="H1894" s="96"/>
      <c r="I1894" s="96"/>
    </row>
    <row r="1895" spans="1:9" x14ac:dyDescent="0.25">
      <c r="A1895" s="131"/>
      <c r="B1895" s="96"/>
      <c r="C1895" s="96"/>
      <c r="D1895" s="96"/>
      <c r="E1895" s="96"/>
      <c r="F1895" s="96"/>
      <c r="G1895" s="96"/>
      <c r="H1895" s="96"/>
      <c r="I1895" s="96"/>
    </row>
    <row r="1896" spans="1:9" x14ac:dyDescent="0.25">
      <c r="A1896" s="131"/>
      <c r="B1896" s="96"/>
      <c r="C1896" s="96"/>
      <c r="D1896" s="96"/>
      <c r="E1896" s="96"/>
      <c r="F1896" s="96"/>
      <c r="G1896" s="96"/>
      <c r="H1896" s="96"/>
      <c r="I1896" s="96"/>
    </row>
    <row r="1897" spans="1:9" x14ac:dyDescent="0.25">
      <c r="A1897" s="131"/>
      <c r="B1897" s="96"/>
      <c r="C1897" s="96"/>
      <c r="D1897" s="96"/>
      <c r="E1897" s="96"/>
      <c r="F1897" s="96"/>
      <c r="G1897" s="96"/>
      <c r="H1897" s="96"/>
      <c r="I1897" s="96"/>
    </row>
    <row r="1898" spans="1:9" x14ac:dyDescent="0.25">
      <c r="A1898" s="131"/>
      <c r="B1898" s="96"/>
      <c r="C1898" s="96"/>
      <c r="D1898" s="96"/>
      <c r="E1898" s="96"/>
      <c r="F1898" s="96"/>
      <c r="G1898" s="96"/>
      <c r="H1898" s="96"/>
      <c r="I1898" s="96"/>
    </row>
    <row r="1899" spans="1:9" x14ac:dyDescent="0.25">
      <c r="A1899" s="131"/>
      <c r="B1899" s="96"/>
      <c r="C1899" s="96"/>
      <c r="D1899" s="96"/>
      <c r="E1899" s="96"/>
      <c r="F1899" s="96"/>
      <c r="G1899" s="96"/>
      <c r="H1899" s="96"/>
      <c r="I1899" s="96"/>
    </row>
    <row r="1900" spans="1:9" x14ac:dyDescent="0.25">
      <c r="A1900" s="131"/>
      <c r="B1900" s="96"/>
      <c r="C1900" s="96"/>
      <c r="D1900" s="96"/>
      <c r="E1900" s="96"/>
      <c r="F1900" s="96"/>
      <c r="G1900" s="96"/>
      <c r="H1900" s="96"/>
      <c r="I1900" s="96"/>
    </row>
    <row r="1901" spans="1:9" x14ac:dyDescent="0.25">
      <c r="A1901" s="131"/>
      <c r="B1901" s="96"/>
      <c r="C1901" s="96"/>
      <c r="D1901" s="96"/>
      <c r="E1901" s="96"/>
      <c r="F1901" s="96"/>
      <c r="G1901" s="96"/>
      <c r="H1901" s="96"/>
      <c r="I1901" s="96"/>
    </row>
    <row r="1902" spans="1:9" x14ac:dyDescent="0.25">
      <c r="A1902" s="131"/>
      <c r="B1902" s="96"/>
      <c r="C1902" s="96"/>
      <c r="D1902" s="96"/>
      <c r="E1902" s="96"/>
      <c r="F1902" s="96"/>
      <c r="G1902" s="96"/>
      <c r="H1902" s="96"/>
      <c r="I1902" s="96"/>
    </row>
    <row r="1903" spans="1:9" x14ac:dyDescent="0.25">
      <c r="A1903" s="131"/>
      <c r="B1903" s="96"/>
      <c r="C1903" s="96"/>
      <c r="D1903" s="96"/>
      <c r="E1903" s="96"/>
      <c r="F1903" s="96"/>
      <c r="G1903" s="96"/>
      <c r="H1903" s="96"/>
      <c r="I1903" s="96"/>
    </row>
    <row r="1904" spans="1:9" x14ac:dyDescent="0.25">
      <c r="A1904" s="131"/>
      <c r="B1904" s="96"/>
      <c r="C1904" s="96"/>
      <c r="D1904" s="96"/>
      <c r="E1904" s="96"/>
      <c r="F1904" s="96"/>
      <c r="G1904" s="96"/>
      <c r="H1904" s="96"/>
      <c r="I1904" s="96"/>
    </row>
    <row r="1905" spans="1:9" x14ac:dyDescent="0.25">
      <c r="A1905" s="131"/>
      <c r="B1905" s="96"/>
      <c r="C1905" s="96"/>
      <c r="D1905" s="96"/>
      <c r="E1905" s="96"/>
      <c r="F1905" s="96"/>
      <c r="G1905" s="96"/>
      <c r="H1905" s="96"/>
      <c r="I1905" s="96"/>
    </row>
    <row r="1906" spans="1:9" x14ac:dyDescent="0.25">
      <c r="A1906" s="131"/>
      <c r="B1906" s="96"/>
      <c r="C1906" s="96"/>
      <c r="D1906" s="96"/>
      <c r="E1906" s="96"/>
      <c r="F1906" s="96"/>
      <c r="G1906" s="96"/>
      <c r="H1906" s="96"/>
      <c r="I1906" s="96"/>
    </row>
    <row r="1907" spans="1:9" x14ac:dyDescent="0.25">
      <c r="A1907" s="131"/>
      <c r="B1907" s="96"/>
      <c r="C1907" s="96"/>
      <c r="D1907" s="96"/>
      <c r="E1907" s="96"/>
      <c r="F1907" s="96"/>
      <c r="G1907" s="96"/>
      <c r="H1907" s="96"/>
      <c r="I1907" s="96"/>
    </row>
    <row r="1908" spans="1:9" x14ac:dyDescent="0.25">
      <c r="A1908" s="131"/>
      <c r="B1908" s="96"/>
      <c r="C1908" s="96"/>
      <c r="D1908" s="96"/>
      <c r="E1908" s="96"/>
      <c r="F1908" s="96"/>
      <c r="G1908" s="96"/>
      <c r="H1908" s="96"/>
      <c r="I1908" s="96"/>
    </row>
    <row r="1909" spans="1:9" x14ac:dyDescent="0.25">
      <c r="A1909" s="131"/>
      <c r="B1909" s="96"/>
      <c r="C1909" s="96"/>
      <c r="D1909" s="96"/>
      <c r="E1909" s="96"/>
      <c r="F1909" s="96"/>
      <c r="G1909" s="96"/>
      <c r="H1909" s="96"/>
      <c r="I1909" s="96"/>
    </row>
    <row r="1910" spans="1:9" x14ac:dyDescent="0.25">
      <c r="A1910" s="131"/>
      <c r="B1910" s="96"/>
      <c r="C1910" s="96"/>
      <c r="D1910" s="96"/>
      <c r="E1910" s="96"/>
      <c r="F1910" s="96"/>
      <c r="G1910" s="96"/>
      <c r="H1910" s="96"/>
      <c r="I1910" s="96"/>
    </row>
    <row r="1911" spans="1:9" x14ac:dyDescent="0.25">
      <c r="A1911" s="131"/>
      <c r="B1911" s="96"/>
      <c r="C1911" s="96"/>
      <c r="D1911" s="96"/>
      <c r="E1911" s="96"/>
      <c r="F1911" s="96"/>
      <c r="G1911" s="96"/>
      <c r="H1911" s="96"/>
      <c r="I1911" s="96"/>
    </row>
    <row r="1912" spans="1:9" x14ac:dyDescent="0.25">
      <c r="A1912" s="131"/>
      <c r="B1912" s="96"/>
      <c r="C1912" s="96"/>
      <c r="D1912" s="96"/>
      <c r="E1912" s="96"/>
      <c r="F1912" s="96"/>
      <c r="G1912" s="96"/>
      <c r="H1912" s="96"/>
      <c r="I1912" s="96"/>
    </row>
    <row r="1913" spans="1:9" x14ac:dyDescent="0.25">
      <c r="A1913" s="131"/>
      <c r="B1913" s="96"/>
      <c r="C1913" s="96"/>
      <c r="D1913" s="96"/>
      <c r="E1913" s="96"/>
      <c r="F1913" s="96"/>
      <c r="G1913" s="96"/>
      <c r="H1913" s="96"/>
      <c r="I1913" s="96"/>
    </row>
    <row r="1914" spans="1:9" x14ac:dyDescent="0.25">
      <c r="A1914" s="131"/>
      <c r="B1914" s="96"/>
      <c r="C1914" s="96"/>
      <c r="D1914" s="96"/>
      <c r="E1914" s="96"/>
      <c r="F1914" s="96"/>
      <c r="G1914" s="96"/>
      <c r="H1914" s="96"/>
      <c r="I1914" s="96"/>
    </row>
    <row r="1915" spans="1:9" x14ac:dyDescent="0.25">
      <c r="A1915" s="131"/>
      <c r="B1915" s="96"/>
      <c r="C1915" s="96"/>
      <c r="D1915" s="96"/>
      <c r="E1915" s="96"/>
      <c r="F1915" s="96"/>
      <c r="G1915" s="96"/>
      <c r="H1915" s="96"/>
      <c r="I1915" s="96"/>
    </row>
    <row r="1916" spans="1:9" x14ac:dyDescent="0.25">
      <c r="A1916" s="131"/>
      <c r="B1916" s="96"/>
      <c r="C1916" s="96"/>
      <c r="D1916" s="96"/>
      <c r="E1916" s="96"/>
      <c r="F1916" s="96"/>
      <c r="G1916" s="96"/>
      <c r="H1916" s="96"/>
      <c r="I1916" s="96"/>
    </row>
    <row r="1917" spans="1:9" x14ac:dyDescent="0.25">
      <c r="A1917" s="131"/>
      <c r="B1917" s="96"/>
      <c r="C1917" s="96"/>
      <c r="D1917" s="96"/>
      <c r="E1917" s="96"/>
      <c r="F1917" s="96"/>
      <c r="G1917" s="96"/>
      <c r="H1917" s="96"/>
      <c r="I1917" s="96"/>
    </row>
    <row r="1918" spans="1:9" x14ac:dyDescent="0.25">
      <c r="A1918" s="131"/>
      <c r="B1918" s="96"/>
      <c r="C1918" s="96"/>
      <c r="D1918" s="96"/>
      <c r="E1918" s="96"/>
      <c r="F1918" s="96"/>
      <c r="G1918" s="96"/>
      <c r="H1918" s="96"/>
      <c r="I1918" s="96"/>
    </row>
    <row r="1919" spans="1:9" x14ac:dyDescent="0.25">
      <c r="A1919" s="131"/>
      <c r="B1919" s="96"/>
      <c r="C1919" s="96"/>
      <c r="D1919" s="96"/>
      <c r="E1919" s="96"/>
      <c r="F1919" s="96"/>
      <c r="G1919" s="96"/>
      <c r="H1919" s="96"/>
      <c r="I1919" s="96"/>
    </row>
    <row r="1920" spans="1:9" x14ac:dyDescent="0.25">
      <c r="A1920" s="131"/>
      <c r="B1920" s="96"/>
      <c r="C1920" s="96"/>
      <c r="D1920" s="96"/>
      <c r="E1920" s="96"/>
      <c r="F1920" s="96"/>
      <c r="G1920" s="96"/>
      <c r="H1920" s="96"/>
      <c r="I1920" s="96"/>
    </row>
    <row r="1921" spans="1:9" x14ac:dyDescent="0.25">
      <c r="A1921" s="131"/>
      <c r="B1921" s="96"/>
      <c r="C1921" s="96"/>
      <c r="D1921" s="96"/>
      <c r="E1921" s="96"/>
      <c r="F1921" s="96"/>
      <c r="G1921" s="96"/>
      <c r="H1921" s="96"/>
      <c r="I1921" s="96"/>
    </row>
    <row r="1922" spans="1:9" x14ac:dyDescent="0.25">
      <c r="A1922" s="131"/>
      <c r="B1922" s="96"/>
      <c r="C1922" s="96"/>
      <c r="D1922" s="96"/>
      <c r="E1922" s="96"/>
      <c r="F1922" s="96"/>
      <c r="G1922" s="96"/>
      <c r="H1922" s="96"/>
      <c r="I1922" s="96"/>
    </row>
    <row r="1923" spans="1:9" x14ac:dyDescent="0.25">
      <c r="A1923" s="131"/>
      <c r="B1923" s="96"/>
      <c r="C1923" s="96"/>
      <c r="D1923" s="96"/>
      <c r="E1923" s="96"/>
      <c r="F1923" s="96"/>
      <c r="G1923" s="96"/>
      <c r="H1923" s="96"/>
      <c r="I1923" s="96"/>
    </row>
    <row r="1924" spans="1:9" x14ac:dyDescent="0.25">
      <c r="A1924" s="131"/>
      <c r="B1924" s="96"/>
      <c r="C1924" s="96"/>
      <c r="D1924" s="96"/>
      <c r="E1924" s="96"/>
      <c r="F1924" s="96"/>
      <c r="G1924" s="96"/>
      <c r="H1924" s="96"/>
      <c r="I1924" s="96"/>
    </row>
    <row r="1925" spans="1:9" x14ac:dyDescent="0.25">
      <c r="A1925" s="131"/>
      <c r="B1925" s="96"/>
      <c r="C1925" s="96"/>
      <c r="D1925" s="96"/>
      <c r="E1925" s="96"/>
      <c r="F1925" s="96"/>
      <c r="G1925" s="96"/>
      <c r="H1925" s="96"/>
      <c r="I1925" s="96"/>
    </row>
    <row r="1926" spans="1:9" x14ac:dyDescent="0.25">
      <c r="A1926" s="131"/>
      <c r="B1926" s="96"/>
      <c r="C1926" s="96"/>
      <c r="D1926" s="96"/>
      <c r="E1926" s="96"/>
      <c r="F1926" s="96"/>
      <c r="G1926" s="96"/>
      <c r="H1926" s="96"/>
      <c r="I1926" s="96"/>
    </row>
    <row r="1927" spans="1:9" x14ac:dyDescent="0.25">
      <c r="A1927" s="131"/>
      <c r="B1927" s="96"/>
      <c r="C1927" s="96"/>
      <c r="D1927" s="96"/>
      <c r="E1927" s="96"/>
      <c r="F1927" s="96"/>
      <c r="G1927" s="96"/>
      <c r="H1927" s="96"/>
      <c r="I1927" s="96"/>
    </row>
    <row r="1928" spans="1:9" x14ac:dyDescent="0.25">
      <c r="A1928" s="131"/>
      <c r="B1928" s="96"/>
      <c r="C1928" s="96"/>
      <c r="D1928" s="96"/>
      <c r="E1928" s="96"/>
      <c r="F1928" s="96"/>
      <c r="G1928" s="96"/>
      <c r="H1928" s="96"/>
      <c r="I1928" s="96"/>
    </row>
    <row r="1929" spans="1:9" x14ac:dyDescent="0.25">
      <c r="A1929" s="131"/>
      <c r="B1929" s="96"/>
      <c r="C1929" s="96"/>
      <c r="D1929" s="96"/>
      <c r="E1929" s="96"/>
      <c r="F1929" s="96"/>
      <c r="G1929" s="96"/>
      <c r="H1929" s="96"/>
      <c r="I1929" s="96"/>
    </row>
    <row r="1930" spans="1:9" x14ac:dyDescent="0.25">
      <c r="A1930" s="131"/>
      <c r="B1930" s="96"/>
      <c r="C1930" s="96"/>
      <c r="D1930" s="96"/>
      <c r="E1930" s="96"/>
      <c r="F1930" s="96"/>
      <c r="G1930" s="96"/>
      <c r="H1930" s="96"/>
      <c r="I1930" s="96"/>
    </row>
    <row r="1931" spans="1:9" x14ac:dyDescent="0.25">
      <c r="A1931" s="131"/>
      <c r="B1931" s="96"/>
      <c r="C1931" s="96"/>
      <c r="D1931" s="96"/>
      <c r="E1931" s="96"/>
      <c r="F1931" s="96"/>
      <c r="G1931" s="96"/>
      <c r="H1931" s="96"/>
      <c r="I1931" s="96"/>
    </row>
    <row r="1932" spans="1:9" x14ac:dyDescent="0.25">
      <c r="A1932" s="131"/>
      <c r="B1932" s="96"/>
      <c r="C1932" s="96"/>
      <c r="D1932" s="96"/>
      <c r="E1932" s="96"/>
      <c r="F1932" s="96"/>
      <c r="G1932" s="96"/>
      <c r="H1932" s="96"/>
      <c r="I1932" s="96"/>
    </row>
    <row r="1933" spans="1:9" x14ac:dyDescent="0.25">
      <c r="A1933" s="131"/>
      <c r="B1933" s="96"/>
      <c r="C1933" s="96"/>
      <c r="D1933" s="96"/>
      <c r="E1933" s="96"/>
      <c r="F1933" s="96"/>
      <c r="G1933" s="96"/>
      <c r="H1933" s="96"/>
      <c r="I1933" s="96"/>
    </row>
    <row r="1934" spans="1:9" x14ac:dyDescent="0.25">
      <c r="A1934" s="131"/>
      <c r="B1934" s="96"/>
      <c r="C1934" s="96"/>
      <c r="D1934" s="96"/>
      <c r="E1934" s="96"/>
      <c r="F1934" s="96"/>
      <c r="G1934" s="96"/>
      <c r="H1934" s="96"/>
      <c r="I1934" s="96"/>
    </row>
    <row r="1935" spans="1:9" x14ac:dyDescent="0.25">
      <c r="A1935" s="131"/>
      <c r="B1935" s="96"/>
      <c r="C1935" s="96"/>
      <c r="D1935" s="96"/>
      <c r="E1935" s="96"/>
      <c r="F1935" s="96"/>
      <c r="G1935" s="96"/>
      <c r="H1935" s="96"/>
      <c r="I1935" s="96"/>
    </row>
    <row r="1936" spans="1:9" x14ac:dyDescent="0.25">
      <c r="A1936" s="131"/>
      <c r="B1936" s="96"/>
      <c r="C1936" s="96"/>
      <c r="D1936" s="96"/>
      <c r="E1936" s="96"/>
      <c r="F1936" s="96"/>
      <c r="G1936" s="96"/>
      <c r="H1936" s="96"/>
      <c r="I1936" s="96"/>
    </row>
    <row r="1937" spans="1:9" x14ac:dyDescent="0.25">
      <c r="A1937" s="131"/>
      <c r="B1937" s="96"/>
      <c r="C1937" s="96"/>
      <c r="D1937" s="96"/>
      <c r="E1937" s="96"/>
      <c r="F1937" s="96"/>
      <c r="G1937" s="96"/>
      <c r="H1937" s="96"/>
      <c r="I1937" s="96"/>
    </row>
    <row r="1938" spans="1:9" x14ac:dyDescent="0.25">
      <c r="A1938" s="131"/>
      <c r="B1938" s="96"/>
      <c r="C1938" s="96"/>
      <c r="D1938" s="96"/>
      <c r="E1938" s="96"/>
      <c r="F1938" s="96"/>
      <c r="G1938" s="96"/>
      <c r="H1938" s="96"/>
      <c r="I1938" s="96"/>
    </row>
    <row r="1939" spans="1:9" x14ac:dyDescent="0.25">
      <c r="A1939" s="131"/>
      <c r="B1939" s="96"/>
      <c r="C1939" s="96"/>
      <c r="D1939" s="96"/>
      <c r="E1939" s="96"/>
      <c r="F1939" s="96"/>
      <c r="G1939" s="96"/>
      <c r="H1939" s="96"/>
      <c r="I1939" s="96"/>
    </row>
    <row r="1940" spans="1:9" x14ac:dyDescent="0.25">
      <c r="A1940" s="131"/>
      <c r="B1940" s="96"/>
      <c r="C1940" s="96"/>
      <c r="D1940" s="96"/>
      <c r="E1940" s="96"/>
      <c r="F1940" s="96"/>
      <c r="G1940" s="96"/>
      <c r="H1940" s="96"/>
      <c r="I1940" s="96"/>
    </row>
    <row r="1941" spans="1:9" x14ac:dyDescent="0.25">
      <c r="A1941" s="131"/>
      <c r="B1941" s="96"/>
      <c r="C1941" s="96"/>
      <c r="D1941" s="96"/>
      <c r="E1941" s="96"/>
      <c r="F1941" s="96"/>
      <c r="G1941" s="96"/>
      <c r="H1941" s="96"/>
      <c r="I1941" s="96"/>
    </row>
    <row r="1942" spans="1:9" x14ac:dyDescent="0.25">
      <c r="A1942" s="131"/>
      <c r="B1942" s="96"/>
      <c r="C1942" s="96"/>
      <c r="D1942" s="96"/>
      <c r="E1942" s="96"/>
      <c r="F1942" s="96"/>
      <c r="G1942" s="96"/>
      <c r="H1942" s="96"/>
      <c r="I1942" s="96"/>
    </row>
    <row r="1943" spans="1:9" x14ac:dyDescent="0.25">
      <c r="A1943" s="131"/>
      <c r="B1943" s="96"/>
      <c r="C1943" s="96"/>
      <c r="D1943" s="96"/>
      <c r="E1943" s="96"/>
      <c r="F1943" s="96"/>
      <c r="G1943" s="96"/>
      <c r="H1943" s="96"/>
      <c r="I1943" s="96"/>
    </row>
    <row r="1944" spans="1:9" x14ac:dyDescent="0.25">
      <c r="A1944" s="131"/>
      <c r="B1944" s="96"/>
      <c r="C1944" s="96"/>
      <c r="D1944" s="96"/>
      <c r="E1944" s="96"/>
      <c r="F1944" s="96"/>
      <c r="G1944" s="96"/>
      <c r="H1944" s="96"/>
      <c r="I1944" s="96"/>
    </row>
    <row r="1945" spans="1:9" x14ac:dyDescent="0.25">
      <c r="A1945" s="131"/>
      <c r="B1945" s="96"/>
      <c r="C1945" s="96"/>
      <c r="D1945" s="96"/>
      <c r="E1945" s="96"/>
      <c r="F1945" s="96"/>
      <c r="G1945" s="96"/>
      <c r="H1945" s="96"/>
      <c r="I1945" s="96"/>
    </row>
    <row r="1946" spans="1:9" x14ac:dyDescent="0.25">
      <c r="A1946" s="131"/>
      <c r="B1946" s="96"/>
      <c r="C1946" s="96"/>
      <c r="D1946" s="96"/>
      <c r="E1946" s="96"/>
      <c r="F1946" s="96"/>
      <c r="G1946" s="96"/>
      <c r="H1946" s="96"/>
      <c r="I1946" s="96"/>
    </row>
    <row r="1947" spans="1:9" x14ac:dyDescent="0.25">
      <c r="A1947" s="131"/>
      <c r="B1947" s="96"/>
      <c r="C1947" s="96"/>
      <c r="D1947" s="96"/>
      <c r="E1947" s="96"/>
      <c r="F1947" s="96"/>
      <c r="G1947" s="96"/>
      <c r="H1947" s="96"/>
      <c r="I1947" s="96"/>
    </row>
    <row r="1948" spans="1:9" x14ac:dyDescent="0.25">
      <c r="A1948" s="131"/>
      <c r="B1948" s="96"/>
      <c r="C1948" s="96"/>
      <c r="D1948" s="96"/>
      <c r="E1948" s="96"/>
      <c r="F1948" s="96"/>
      <c r="G1948" s="96"/>
      <c r="H1948" s="96"/>
      <c r="I1948" s="96"/>
    </row>
    <row r="1949" spans="1:9" x14ac:dyDescent="0.25">
      <c r="A1949" s="131"/>
      <c r="B1949" s="96"/>
      <c r="C1949" s="96"/>
      <c r="D1949" s="96"/>
      <c r="E1949" s="96"/>
      <c r="F1949" s="96"/>
      <c r="G1949" s="96"/>
      <c r="H1949" s="96"/>
      <c r="I1949" s="96"/>
    </row>
    <row r="1950" spans="1:9" x14ac:dyDescent="0.25">
      <c r="A1950" s="131"/>
      <c r="B1950" s="96"/>
      <c r="C1950" s="96"/>
      <c r="D1950" s="96"/>
      <c r="E1950" s="96"/>
      <c r="F1950" s="96"/>
      <c r="G1950" s="96"/>
      <c r="H1950" s="96"/>
      <c r="I1950" s="96"/>
    </row>
    <row r="1951" spans="1:9" x14ac:dyDescent="0.25">
      <c r="A1951" s="131"/>
      <c r="B1951" s="96"/>
      <c r="C1951" s="96"/>
      <c r="D1951" s="96"/>
      <c r="E1951" s="96"/>
      <c r="F1951" s="96"/>
      <c r="G1951" s="96"/>
      <c r="H1951" s="96"/>
      <c r="I1951" s="96"/>
    </row>
    <row r="1952" spans="1:9" x14ac:dyDescent="0.25">
      <c r="A1952" s="131"/>
      <c r="B1952" s="96"/>
      <c r="C1952" s="96"/>
      <c r="D1952" s="96"/>
      <c r="E1952" s="96"/>
      <c r="F1952" s="96"/>
      <c r="G1952" s="96"/>
      <c r="H1952" s="96"/>
      <c r="I1952" s="96"/>
    </row>
    <row r="1953" spans="1:9" x14ac:dyDescent="0.25">
      <c r="A1953" s="131"/>
      <c r="B1953" s="96"/>
      <c r="C1953" s="96"/>
      <c r="D1953" s="96"/>
      <c r="E1953" s="96"/>
      <c r="F1953" s="96"/>
      <c r="G1953" s="96"/>
      <c r="H1953" s="96"/>
      <c r="I1953" s="96"/>
    </row>
    <row r="1954" spans="1:9" x14ac:dyDescent="0.25">
      <c r="A1954" s="131"/>
      <c r="B1954" s="96"/>
      <c r="C1954" s="96"/>
      <c r="D1954" s="96"/>
      <c r="E1954" s="96"/>
      <c r="F1954" s="96"/>
      <c r="G1954" s="96"/>
      <c r="H1954" s="96"/>
      <c r="I1954" s="96"/>
    </row>
    <row r="1955" spans="1:9" x14ac:dyDescent="0.25">
      <c r="A1955" s="131"/>
      <c r="B1955" s="96"/>
      <c r="C1955" s="96"/>
      <c r="D1955" s="96"/>
      <c r="E1955" s="96"/>
      <c r="F1955" s="96"/>
      <c r="G1955" s="96"/>
      <c r="H1955" s="96"/>
      <c r="I1955" s="96"/>
    </row>
    <row r="1956" spans="1:9" x14ac:dyDescent="0.25">
      <c r="A1956" s="131"/>
      <c r="B1956" s="96"/>
      <c r="C1956" s="96"/>
      <c r="D1956" s="96"/>
      <c r="E1956" s="96"/>
      <c r="F1956" s="96"/>
      <c r="G1956" s="96"/>
      <c r="H1956" s="96"/>
      <c r="I1956" s="96"/>
    </row>
    <row r="1957" spans="1:9" x14ac:dyDescent="0.25">
      <c r="A1957" s="131"/>
      <c r="B1957" s="96"/>
      <c r="C1957" s="96"/>
      <c r="D1957" s="96"/>
      <c r="E1957" s="96"/>
      <c r="F1957" s="96"/>
      <c r="G1957" s="96"/>
      <c r="H1957" s="96"/>
      <c r="I1957" s="96"/>
    </row>
    <row r="1958" spans="1:9" x14ac:dyDescent="0.25">
      <c r="A1958" s="131"/>
      <c r="B1958" s="96"/>
      <c r="C1958" s="96"/>
      <c r="D1958" s="96"/>
      <c r="E1958" s="96"/>
      <c r="F1958" s="96"/>
      <c r="G1958" s="96"/>
      <c r="H1958" s="96"/>
      <c r="I1958" s="96"/>
    </row>
    <row r="1959" spans="1:9" x14ac:dyDescent="0.25">
      <c r="A1959" s="131"/>
      <c r="B1959" s="96"/>
      <c r="C1959" s="96"/>
      <c r="D1959" s="96"/>
      <c r="E1959" s="96"/>
      <c r="F1959" s="96"/>
      <c r="G1959" s="96"/>
      <c r="H1959" s="96"/>
      <c r="I1959" s="96"/>
    </row>
    <row r="1960" spans="1:9" x14ac:dyDescent="0.25">
      <c r="A1960" s="131"/>
      <c r="B1960" s="96"/>
      <c r="C1960" s="96"/>
      <c r="D1960" s="96"/>
      <c r="E1960" s="96"/>
      <c r="F1960" s="96"/>
      <c r="G1960" s="96"/>
      <c r="H1960" s="96"/>
      <c r="I1960" s="96"/>
    </row>
    <row r="1961" spans="1:9" x14ac:dyDescent="0.25">
      <c r="A1961" s="131"/>
      <c r="B1961" s="96"/>
      <c r="C1961" s="96"/>
      <c r="D1961" s="96"/>
      <c r="E1961" s="96"/>
      <c r="F1961" s="96"/>
      <c r="G1961" s="96"/>
      <c r="H1961" s="96"/>
      <c r="I1961" s="96"/>
    </row>
    <row r="1962" spans="1:9" x14ac:dyDescent="0.25">
      <c r="A1962" s="131"/>
      <c r="B1962" s="96"/>
      <c r="C1962" s="96"/>
      <c r="D1962" s="96"/>
      <c r="E1962" s="96"/>
      <c r="F1962" s="96"/>
      <c r="G1962" s="96"/>
      <c r="H1962" s="96"/>
      <c r="I1962" s="96"/>
    </row>
    <row r="1963" spans="1:9" x14ac:dyDescent="0.25">
      <c r="A1963" s="131"/>
      <c r="B1963" s="96"/>
      <c r="C1963" s="96"/>
      <c r="D1963" s="96"/>
      <c r="E1963" s="96"/>
      <c r="F1963" s="96"/>
      <c r="G1963" s="96"/>
      <c r="H1963" s="96"/>
      <c r="I1963" s="96"/>
    </row>
    <row r="1964" spans="1:9" x14ac:dyDescent="0.25">
      <c r="A1964" s="131"/>
      <c r="B1964" s="96"/>
      <c r="C1964" s="96"/>
      <c r="D1964" s="96"/>
      <c r="E1964" s="96"/>
      <c r="F1964" s="96"/>
      <c r="G1964" s="96"/>
      <c r="H1964" s="96"/>
      <c r="I1964" s="96"/>
    </row>
    <row r="1965" spans="1:9" x14ac:dyDescent="0.25">
      <c r="A1965" s="131"/>
      <c r="B1965" s="96"/>
      <c r="C1965" s="96"/>
      <c r="D1965" s="96"/>
      <c r="E1965" s="96"/>
      <c r="F1965" s="96"/>
      <c r="G1965" s="96"/>
      <c r="H1965" s="96"/>
      <c r="I1965" s="96"/>
    </row>
    <row r="1966" spans="1:9" x14ac:dyDescent="0.25">
      <c r="A1966" s="131"/>
      <c r="B1966" s="96"/>
      <c r="C1966" s="96"/>
      <c r="D1966" s="96"/>
      <c r="E1966" s="96"/>
      <c r="F1966" s="96"/>
      <c r="G1966" s="96"/>
      <c r="H1966" s="96"/>
      <c r="I1966" s="96"/>
    </row>
    <row r="1967" spans="1:9" x14ac:dyDescent="0.25">
      <c r="A1967" s="131"/>
      <c r="B1967" s="96"/>
      <c r="C1967" s="96"/>
      <c r="D1967" s="96"/>
      <c r="E1967" s="96"/>
      <c r="F1967" s="96"/>
      <c r="G1967" s="96"/>
      <c r="H1967" s="96"/>
      <c r="I1967" s="96"/>
    </row>
    <row r="1968" spans="1:9" x14ac:dyDescent="0.25">
      <c r="A1968" s="131"/>
      <c r="B1968" s="96"/>
      <c r="C1968" s="96"/>
      <c r="D1968" s="96"/>
      <c r="E1968" s="96"/>
      <c r="F1968" s="96"/>
      <c r="G1968" s="96"/>
      <c r="H1968" s="96"/>
      <c r="I1968" s="96"/>
    </row>
    <row r="1969" spans="1:9" x14ac:dyDescent="0.25">
      <c r="A1969" s="131"/>
      <c r="B1969" s="96"/>
      <c r="C1969" s="96"/>
      <c r="D1969" s="96"/>
      <c r="E1969" s="96"/>
      <c r="F1969" s="96"/>
      <c r="G1969" s="96"/>
      <c r="H1969" s="96"/>
      <c r="I1969" s="96"/>
    </row>
    <row r="1970" spans="1:9" x14ac:dyDescent="0.25">
      <c r="A1970" s="131"/>
      <c r="B1970" s="96"/>
      <c r="C1970" s="96"/>
      <c r="D1970" s="96"/>
      <c r="E1970" s="96"/>
      <c r="F1970" s="96"/>
      <c r="G1970" s="96"/>
      <c r="H1970" s="96"/>
      <c r="I1970" s="96"/>
    </row>
    <row r="1971" spans="1:9" x14ac:dyDescent="0.25">
      <c r="A1971" s="131"/>
      <c r="B1971" s="96"/>
      <c r="C1971" s="96"/>
      <c r="D1971" s="96"/>
      <c r="E1971" s="96"/>
      <c r="F1971" s="96"/>
      <c r="G1971" s="96"/>
      <c r="H1971" s="96"/>
      <c r="I1971" s="96"/>
    </row>
    <row r="1972" spans="1:9" x14ac:dyDescent="0.25">
      <c r="A1972" s="131"/>
      <c r="B1972" s="96"/>
      <c r="C1972" s="96"/>
      <c r="D1972" s="96"/>
      <c r="E1972" s="96"/>
      <c r="F1972" s="96"/>
      <c r="G1972" s="96"/>
      <c r="H1972" s="96"/>
      <c r="I1972" s="96"/>
    </row>
    <row r="1973" spans="1:9" x14ac:dyDescent="0.25">
      <c r="A1973" s="131"/>
      <c r="B1973" s="96"/>
      <c r="C1973" s="96"/>
      <c r="D1973" s="96"/>
      <c r="E1973" s="96"/>
      <c r="F1973" s="96"/>
      <c r="G1973" s="96"/>
      <c r="H1973" s="96"/>
      <c r="I1973" s="96"/>
    </row>
    <row r="1974" spans="1:9" x14ac:dyDescent="0.25">
      <c r="A1974" s="131"/>
      <c r="B1974" s="96"/>
      <c r="C1974" s="96"/>
      <c r="D1974" s="96"/>
      <c r="E1974" s="96"/>
      <c r="F1974" s="96"/>
      <c r="G1974" s="96"/>
      <c r="H1974" s="96"/>
      <c r="I1974" s="96"/>
    </row>
    <row r="1975" spans="1:9" x14ac:dyDescent="0.25">
      <c r="A1975" s="131"/>
      <c r="B1975" s="96"/>
      <c r="C1975" s="96"/>
      <c r="D1975" s="96"/>
      <c r="E1975" s="96"/>
      <c r="F1975" s="96"/>
      <c r="G1975" s="96"/>
      <c r="H1975" s="96"/>
      <c r="I1975" s="96"/>
    </row>
    <row r="1976" spans="1:9" x14ac:dyDescent="0.25">
      <c r="A1976" s="131"/>
      <c r="B1976" s="96"/>
      <c r="C1976" s="96"/>
      <c r="D1976" s="96"/>
      <c r="E1976" s="96"/>
      <c r="F1976" s="96"/>
      <c r="G1976" s="96"/>
      <c r="H1976" s="96"/>
      <c r="I1976" s="96"/>
    </row>
    <row r="1977" spans="1:9" x14ac:dyDescent="0.25">
      <c r="A1977" s="131"/>
      <c r="B1977" s="96"/>
      <c r="C1977" s="96"/>
      <c r="D1977" s="96"/>
      <c r="E1977" s="96"/>
      <c r="F1977" s="96"/>
      <c r="G1977" s="96"/>
      <c r="H1977" s="96"/>
      <c r="I1977" s="96"/>
    </row>
    <row r="1978" spans="1:9" x14ac:dyDescent="0.25">
      <c r="A1978" s="131"/>
      <c r="B1978" s="96"/>
      <c r="C1978" s="96"/>
      <c r="D1978" s="96"/>
      <c r="E1978" s="96"/>
      <c r="F1978" s="96"/>
      <c r="G1978" s="96"/>
      <c r="H1978" s="96"/>
      <c r="I1978" s="96"/>
    </row>
    <row r="1979" spans="1:9" x14ac:dyDescent="0.25">
      <c r="A1979" s="131"/>
      <c r="B1979" s="96"/>
      <c r="C1979" s="96"/>
      <c r="D1979" s="96"/>
      <c r="E1979" s="96"/>
      <c r="F1979" s="96"/>
      <c r="G1979" s="96"/>
      <c r="H1979" s="96"/>
      <c r="I1979" s="96"/>
    </row>
    <row r="1980" spans="1:9" x14ac:dyDescent="0.25">
      <c r="A1980" s="131"/>
      <c r="B1980" s="96"/>
      <c r="C1980" s="96"/>
      <c r="D1980" s="96"/>
      <c r="E1980" s="96"/>
      <c r="F1980" s="96"/>
      <c r="G1980" s="96"/>
      <c r="H1980" s="96"/>
      <c r="I1980" s="96"/>
    </row>
    <row r="1981" spans="1:9" x14ac:dyDescent="0.25">
      <c r="A1981" s="131"/>
      <c r="B1981" s="96"/>
      <c r="C1981" s="96"/>
      <c r="D1981" s="96"/>
      <c r="E1981" s="96"/>
      <c r="F1981" s="96"/>
      <c r="G1981" s="96"/>
      <c r="H1981" s="96"/>
      <c r="I1981" s="96"/>
    </row>
    <row r="1982" spans="1:9" x14ac:dyDescent="0.25">
      <c r="A1982" s="131"/>
      <c r="B1982" s="96"/>
      <c r="C1982" s="96"/>
      <c r="D1982" s="96"/>
      <c r="E1982" s="96"/>
      <c r="F1982" s="96"/>
      <c r="G1982" s="96"/>
      <c r="H1982" s="96"/>
      <c r="I1982" s="96"/>
    </row>
    <row r="1983" spans="1:9" x14ac:dyDescent="0.25">
      <c r="A1983" s="131"/>
      <c r="B1983" s="96"/>
      <c r="C1983" s="96"/>
      <c r="D1983" s="96"/>
      <c r="E1983" s="96"/>
      <c r="F1983" s="96"/>
      <c r="G1983" s="96"/>
      <c r="H1983" s="96"/>
      <c r="I1983" s="96"/>
    </row>
    <row r="1984" spans="1:9" x14ac:dyDescent="0.25">
      <c r="A1984" s="131"/>
      <c r="B1984" s="96"/>
      <c r="C1984" s="96"/>
      <c r="D1984" s="96"/>
      <c r="E1984" s="96"/>
      <c r="F1984" s="96"/>
      <c r="G1984" s="96"/>
      <c r="H1984" s="96"/>
      <c r="I1984" s="96"/>
    </row>
    <row r="1985" spans="1:9" x14ac:dyDescent="0.25">
      <c r="A1985" s="131"/>
      <c r="B1985" s="96"/>
      <c r="C1985" s="96"/>
      <c r="D1985" s="96"/>
      <c r="E1985" s="96"/>
      <c r="F1985" s="96"/>
      <c r="G1985" s="96"/>
      <c r="H1985" s="96"/>
      <c r="I1985" s="96"/>
    </row>
    <row r="1986" spans="1:9" x14ac:dyDescent="0.25">
      <c r="A1986" s="131"/>
      <c r="B1986" s="96"/>
      <c r="C1986" s="96"/>
      <c r="D1986" s="96"/>
      <c r="E1986" s="96"/>
      <c r="F1986" s="96"/>
      <c r="G1986" s="96"/>
      <c r="H1986" s="96"/>
      <c r="I1986" s="96"/>
    </row>
    <row r="1987" spans="1:9" x14ac:dyDescent="0.25">
      <c r="A1987" s="131"/>
      <c r="B1987" s="96"/>
      <c r="C1987" s="96"/>
      <c r="D1987" s="96"/>
      <c r="E1987" s="96"/>
      <c r="F1987" s="96"/>
      <c r="G1987" s="96"/>
      <c r="H1987" s="96"/>
      <c r="I1987" s="96"/>
    </row>
    <row r="1988" spans="1:9" x14ac:dyDescent="0.25">
      <c r="A1988" s="131"/>
      <c r="B1988" s="96"/>
      <c r="C1988" s="96"/>
      <c r="D1988" s="96"/>
      <c r="E1988" s="96"/>
      <c r="F1988" s="96"/>
      <c r="G1988" s="96"/>
      <c r="H1988" s="96"/>
      <c r="I1988" s="96"/>
    </row>
    <row r="1989" spans="1:9" x14ac:dyDescent="0.25">
      <c r="A1989" s="131"/>
      <c r="B1989" s="96"/>
      <c r="C1989" s="96"/>
      <c r="D1989" s="96"/>
      <c r="E1989" s="96"/>
      <c r="F1989" s="96"/>
      <c r="G1989" s="96"/>
      <c r="H1989" s="96"/>
      <c r="I1989" s="96"/>
    </row>
    <row r="1990" spans="1:9" x14ac:dyDescent="0.25">
      <c r="A1990" s="131"/>
      <c r="B1990" s="96"/>
      <c r="C1990" s="96"/>
      <c r="D1990" s="96"/>
      <c r="E1990" s="96"/>
      <c r="F1990" s="96"/>
      <c r="G1990" s="96"/>
      <c r="H1990" s="96"/>
      <c r="I1990" s="96"/>
    </row>
    <row r="1991" spans="1:9" x14ac:dyDescent="0.25">
      <c r="A1991" s="131"/>
      <c r="B1991" s="96"/>
      <c r="C1991" s="96"/>
      <c r="D1991" s="96"/>
      <c r="E1991" s="96"/>
      <c r="F1991" s="96"/>
      <c r="G1991" s="96"/>
      <c r="H1991" s="96"/>
      <c r="I1991" s="96"/>
    </row>
    <row r="1992" spans="1:9" x14ac:dyDescent="0.25">
      <c r="A1992" s="131"/>
      <c r="B1992" s="96"/>
      <c r="C1992" s="96"/>
      <c r="D1992" s="96"/>
      <c r="E1992" s="96"/>
      <c r="F1992" s="96"/>
      <c r="G1992" s="96"/>
      <c r="H1992" s="96"/>
      <c r="I1992" s="96"/>
    </row>
    <row r="1993" spans="1:9" x14ac:dyDescent="0.25">
      <c r="A1993" s="131"/>
      <c r="B1993" s="96"/>
      <c r="C1993" s="96"/>
      <c r="D1993" s="96"/>
      <c r="E1993" s="96"/>
      <c r="F1993" s="96"/>
      <c r="G1993" s="96"/>
      <c r="H1993" s="96"/>
      <c r="I1993" s="96"/>
    </row>
    <row r="1994" spans="1:9" x14ac:dyDescent="0.25">
      <c r="A1994" s="131"/>
      <c r="B1994" s="96"/>
      <c r="C1994" s="96"/>
      <c r="D1994" s="96"/>
      <c r="E1994" s="96"/>
      <c r="F1994" s="96"/>
      <c r="G1994" s="96"/>
      <c r="H1994" s="96"/>
      <c r="I1994" s="96"/>
    </row>
    <row r="1995" spans="1:9" x14ac:dyDescent="0.25">
      <c r="A1995" s="131"/>
      <c r="B1995" s="96"/>
      <c r="C1995" s="96"/>
      <c r="D1995" s="96"/>
      <c r="E1995" s="96"/>
      <c r="F1995" s="96"/>
      <c r="G1995" s="96"/>
      <c r="H1995" s="96"/>
      <c r="I1995" s="96"/>
    </row>
    <row r="1996" spans="1:9" x14ac:dyDescent="0.25">
      <c r="A1996" s="131"/>
      <c r="B1996" s="96"/>
      <c r="C1996" s="96"/>
      <c r="D1996" s="96"/>
      <c r="E1996" s="96"/>
      <c r="F1996" s="96"/>
      <c r="G1996" s="96"/>
      <c r="H1996" s="96"/>
      <c r="I1996" s="96"/>
    </row>
    <row r="1997" spans="1:9" x14ac:dyDescent="0.25">
      <c r="A1997" s="131"/>
      <c r="B1997" s="96"/>
      <c r="C1997" s="96"/>
      <c r="D1997" s="96"/>
      <c r="E1997" s="96"/>
      <c r="F1997" s="96"/>
      <c r="G1997" s="96"/>
      <c r="H1997" s="96"/>
      <c r="I1997" s="96"/>
    </row>
    <row r="1998" spans="1:9" x14ac:dyDescent="0.25">
      <c r="A1998" s="131"/>
      <c r="B1998" s="96"/>
      <c r="C1998" s="96"/>
      <c r="D1998" s="96"/>
      <c r="E1998" s="96"/>
      <c r="F1998" s="96"/>
      <c r="G1998" s="96"/>
      <c r="H1998" s="96"/>
      <c r="I1998" s="96"/>
    </row>
    <row r="1999" spans="1:9" x14ac:dyDescent="0.25">
      <c r="A1999" s="131"/>
      <c r="B1999" s="96"/>
      <c r="C1999" s="96"/>
      <c r="D1999" s="96"/>
      <c r="E1999" s="96"/>
      <c r="F1999" s="96"/>
      <c r="G1999" s="96"/>
      <c r="H1999" s="96"/>
      <c r="I1999" s="96"/>
    </row>
    <row r="2000" spans="1:9" x14ac:dyDescent="0.25">
      <c r="A2000" s="131"/>
      <c r="B2000" s="96"/>
      <c r="C2000" s="96"/>
      <c r="D2000" s="96"/>
      <c r="E2000" s="96"/>
      <c r="F2000" s="96"/>
      <c r="G2000" s="96"/>
      <c r="H2000" s="96"/>
      <c r="I2000" s="96"/>
    </row>
    <row r="2001" spans="1:9" x14ac:dyDescent="0.25">
      <c r="A2001" s="131"/>
      <c r="B2001" s="96"/>
      <c r="C2001" s="96"/>
      <c r="D2001" s="96"/>
      <c r="E2001" s="96"/>
      <c r="F2001" s="96"/>
      <c r="G2001" s="96"/>
      <c r="H2001" s="96"/>
      <c r="I2001" s="96"/>
    </row>
    <row r="2002" spans="1:9" x14ac:dyDescent="0.25">
      <c r="A2002" s="131"/>
      <c r="B2002" s="96"/>
      <c r="C2002" s="96"/>
      <c r="D2002" s="96"/>
      <c r="E2002" s="96"/>
      <c r="F2002" s="96"/>
      <c r="G2002" s="96"/>
      <c r="H2002" s="96"/>
      <c r="I2002" s="96"/>
    </row>
    <row r="2003" spans="1:9" x14ac:dyDescent="0.25">
      <c r="A2003" s="131"/>
      <c r="B2003" s="96"/>
      <c r="C2003" s="96"/>
      <c r="D2003" s="96"/>
      <c r="E2003" s="96"/>
      <c r="F2003" s="96"/>
      <c r="G2003" s="96"/>
      <c r="H2003" s="96"/>
      <c r="I2003" s="96"/>
    </row>
    <row r="2004" spans="1:9" x14ac:dyDescent="0.25">
      <c r="A2004" s="131"/>
      <c r="B2004" s="96"/>
      <c r="C2004" s="96"/>
      <c r="D2004" s="96"/>
      <c r="E2004" s="96"/>
      <c r="F2004" s="96"/>
      <c r="G2004" s="96"/>
      <c r="H2004" s="96"/>
      <c r="I2004" s="96"/>
    </row>
    <row r="2005" spans="1:9" x14ac:dyDescent="0.25">
      <c r="A2005" s="131"/>
      <c r="B2005" s="96"/>
      <c r="C2005" s="96"/>
      <c r="D2005" s="96"/>
      <c r="E2005" s="96"/>
      <c r="F2005" s="96"/>
      <c r="G2005" s="96"/>
      <c r="H2005" s="96"/>
      <c r="I2005" s="96"/>
    </row>
    <row r="2006" spans="1:9" x14ac:dyDescent="0.25">
      <c r="A2006" s="131"/>
      <c r="B2006" s="96"/>
      <c r="C2006" s="96"/>
      <c r="D2006" s="96"/>
      <c r="E2006" s="96"/>
      <c r="F2006" s="96"/>
      <c r="G2006" s="96"/>
      <c r="H2006" s="96"/>
      <c r="I2006" s="96"/>
    </row>
    <row r="2007" spans="1:9" x14ac:dyDescent="0.25">
      <c r="A2007" s="131"/>
      <c r="B2007" s="96"/>
      <c r="C2007" s="96"/>
      <c r="D2007" s="96"/>
      <c r="E2007" s="96"/>
      <c r="F2007" s="96"/>
      <c r="G2007" s="96"/>
      <c r="H2007" s="96"/>
      <c r="I2007" s="96"/>
    </row>
    <row r="2008" spans="1:9" x14ac:dyDescent="0.25">
      <c r="A2008" s="131"/>
      <c r="B2008" s="96"/>
      <c r="C2008" s="96"/>
      <c r="D2008" s="96"/>
      <c r="E2008" s="96"/>
      <c r="F2008" s="96"/>
      <c r="G2008" s="96"/>
      <c r="H2008" s="96"/>
      <c r="I2008" s="96"/>
    </row>
    <row r="2009" spans="1:9" x14ac:dyDescent="0.25">
      <c r="A2009" s="131"/>
      <c r="B2009" s="96"/>
      <c r="C2009" s="96"/>
      <c r="D2009" s="96"/>
      <c r="E2009" s="96"/>
      <c r="F2009" s="96"/>
      <c r="G2009" s="96"/>
      <c r="H2009" s="96"/>
      <c r="I2009" s="96"/>
    </row>
    <row r="2010" spans="1:9" x14ac:dyDescent="0.25">
      <c r="A2010" s="131"/>
      <c r="B2010" s="96"/>
      <c r="C2010" s="96"/>
      <c r="D2010" s="96"/>
      <c r="E2010" s="96"/>
      <c r="F2010" s="96"/>
      <c r="G2010" s="96"/>
      <c r="H2010" s="96"/>
      <c r="I2010" s="96"/>
    </row>
    <row r="2011" spans="1:9" x14ac:dyDescent="0.25">
      <c r="A2011" s="131"/>
      <c r="B2011" s="96"/>
      <c r="C2011" s="96"/>
      <c r="D2011" s="96"/>
      <c r="E2011" s="96"/>
      <c r="F2011" s="96"/>
      <c r="G2011" s="96"/>
      <c r="H2011" s="96"/>
      <c r="I2011" s="96"/>
    </row>
    <row r="2012" spans="1:9" x14ac:dyDescent="0.25">
      <c r="A2012" s="131"/>
      <c r="B2012" s="96"/>
      <c r="C2012" s="96"/>
      <c r="D2012" s="96"/>
      <c r="E2012" s="96"/>
      <c r="F2012" s="96"/>
      <c r="G2012" s="96"/>
      <c r="H2012" s="96"/>
      <c r="I2012" s="96"/>
    </row>
    <row r="2013" spans="1:9" x14ac:dyDescent="0.25">
      <c r="A2013" s="131"/>
      <c r="B2013" s="96"/>
      <c r="C2013" s="96"/>
      <c r="D2013" s="96"/>
      <c r="E2013" s="96"/>
      <c r="F2013" s="96"/>
      <c r="G2013" s="96"/>
      <c r="H2013" s="96"/>
      <c r="I2013" s="96"/>
    </row>
    <row r="2014" spans="1:9" x14ac:dyDescent="0.25">
      <c r="A2014" s="131"/>
      <c r="B2014" s="96"/>
      <c r="C2014" s="96"/>
      <c r="D2014" s="96"/>
      <c r="E2014" s="96"/>
      <c r="F2014" s="96"/>
      <c r="G2014" s="96"/>
      <c r="H2014" s="96"/>
      <c r="I2014" s="96"/>
    </row>
    <row r="2015" spans="1:9" x14ac:dyDescent="0.25">
      <c r="A2015" s="131"/>
      <c r="B2015" s="96"/>
      <c r="C2015" s="96"/>
      <c r="D2015" s="96"/>
      <c r="E2015" s="96"/>
      <c r="F2015" s="96"/>
      <c r="G2015" s="96"/>
      <c r="H2015" s="96"/>
      <c r="I2015" s="96"/>
    </row>
    <row r="2016" spans="1:9" x14ac:dyDescent="0.25">
      <c r="A2016" s="131"/>
      <c r="B2016" s="96"/>
      <c r="C2016" s="96"/>
      <c r="D2016" s="96"/>
      <c r="E2016" s="96"/>
      <c r="F2016" s="96"/>
      <c r="G2016" s="96"/>
      <c r="H2016" s="96"/>
      <c r="I2016" s="96"/>
    </row>
    <row r="2017" spans="1:9" x14ac:dyDescent="0.25">
      <c r="A2017" s="131"/>
      <c r="B2017" s="96"/>
      <c r="C2017" s="96"/>
      <c r="D2017" s="96"/>
      <c r="E2017" s="96"/>
      <c r="F2017" s="96"/>
      <c r="G2017" s="96"/>
      <c r="H2017" s="96"/>
      <c r="I2017" s="96"/>
    </row>
    <row r="2018" spans="1:9" x14ac:dyDescent="0.25">
      <c r="A2018" s="131"/>
      <c r="B2018" s="96"/>
      <c r="C2018" s="96"/>
      <c r="D2018" s="96"/>
      <c r="E2018" s="96"/>
      <c r="F2018" s="96"/>
      <c r="G2018" s="96"/>
      <c r="H2018" s="96"/>
      <c r="I2018" s="96"/>
    </row>
    <row r="2019" spans="1:9" x14ac:dyDescent="0.25">
      <c r="A2019" s="131"/>
      <c r="B2019" s="96"/>
      <c r="C2019" s="96"/>
      <c r="D2019" s="96"/>
      <c r="E2019" s="96"/>
      <c r="F2019" s="96"/>
      <c r="G2019" s="96"/>
      <c r="H2019" s="96"/>
      <c r="I2019" s="96"/>
    </row>
    <row r="2020" spans="1:9" x14ac:dyDescent="0.25">
      <c r="A2020" s="131"/>
      <c r="B2020" s="96"/>
      <c r="C2020" s="96"/>
      <c r="D2020" s="96"/>
      <c r="E2020" s="96"/>
      <c r="F2020" s="96"/>
      <c r="G2020" s="96"/>
      <c r="H2020" s="96"/>
      <c r="I2020" s="96"/>
    </row>
    <row r="2021" spans="1:9" x14ac:dyDescent="0.25">
      <c r="A2021" s="131"/>
      <c r="B2021" s="96"/>
      <c r="C2021" s="96"/>
      <c r="D2021" s="96"/>
      <c r="E2021" s="96"/>
      <c r="F2021" s="96"/>
      <c r="G2021" s="96"/>
      <c r="H2021" s="96"/>
      <c r="I2021" s="96"/>
    </row>
    <row r="2022" spans="1:9" x14ac:dyDescent="0.25">
      <c r="A2022" s="131"/>
      <c r="B2022" s="96"/>
      <c r="C2022" s="96"/>
      <c r="D2022" s="96"/>
      <c r="E2022" s="96"/>
      <c r="F2022" s="96"/>
      <c r="G2022" s="96"/>
      <c r="H2022" s="96"/>
      <c r="I2022" s="96"/>
    </row>
    <row r="2023" spans="1:9" x14ac:dyDescent="0.25">
      <c r="A2023" s="131"/>
      <c r="B2023" s="96"/>
      <c r="C2023" s="96"/>
      <c r="D2023" s="96"/>
      <c r="E2023" s="96"/>
      <c r="F2023" s="96"/>
      <c r="G2023" s="96"/>
      <c r="H2023" s="96"/>
      <c r="I2023" s="96"/>
    </row>
    <row r="2024" spans="1:9" x14ac:dyDescent="0.25">
      <c r="A2024" s="131"/>
      <c r="B2024" s="96"/>
      <c r="C2024" s="96"/>
      <c r="D2024" s="96"/>
      <c r="E2024" s="96"/>
      <c r="F2024" s="96"/>
      <c r="G2024" s="96"/>
      <c r="H2024" s="96"/>
      <c r="I2024" s="96"/>
    </row>
    <row r="2025" spans="1:9" x14ac:dyDescent="0.25">
      <c r="A2025" s="131"/>
      <c r="B2025" s="96"/>
      <c r="C2025" s="96"/>
      <c r="D2025" s="96"/>
      <c r="E2025" s="96"/>
      <c r="F2025" s="96"/>
      <c r="G2025" s="96"/>
      <c r="H2025" s="96"/>
      <c r="I2025" s="96"/>
    </row>
    <row r="2026" spans="1:9" x14ac:dyDescent="0.25">
      <c r="A2026" s="131"/>
      <c r="B2026" s="96"/>
      <c r="C2026" s="96"/>
      <c r="D2026" s="96"/>
      <c r="E2026" s="96"/>
      <c r="F2026" s="96"/>
      <c r="G2026" s="96"/>
      <c r="H2026" s="96"/>
      <c r="I2026" s="96"/>
    </row>
    <row r="2027" spans="1:9" x14ac:dyDescent="0.25">
      <c r="A2027" s="131"/>
      <c r="B2027" s="96"/>
      <c r="C2027" s="96"/>
      <c r="D2027" s="96"/>
      <c r="E2027" s="96"/>
      <c r="F2027" s="96"/>
      <c r="G2027" s="96"/>
      <c r="H2027" s="96"/>
      <c r="I2027" s="96"/>
    </row>
    <row r="2028" spans="1:9" x14ac:dyDescent="0.25">
      <c r="A2028" s="131"/>
      <c r="B2028" s="96"/>
      <c r="C2028" s="96"/>
      <c r="D2028" s="96"/>
      <c r="E2028" s="96"/>
      <c r="F2028" s="96"/>
      <c r="G2028" s="96"/>
      <c r="H2028" s="96"/>
      <c r="I2028" s="96"/>
    </row>
    <row r="2029" spans="1:9" x14ac:dyDescent="0.25">
      <c r="A2029" s="131"/>
      <c r="B2029" s="96"/>
      <c r="C2029" s="96"/>
      <c r="D2029" s="96"/>
      <c r="E2029" s="96"/>
      <c r="F2029" s="96"/>
      <c r="G2029" s="96"/>
      <c r="H2029" s="96"/>
      <c r="I2029" s="96"/>
    </row>
    <row r="2030" spans="1:9" x14ac:dyDescent="0.25">
      <c r="A2030" s="131"/>
      <c r="B2030" s="96"/>
      <c r="C2030" s="96"/>
      <c r="D2030" s="96"/>
      <c r="E2030" s="96"/>
      <c r="F2030" s="96"/>
      <c r="G2030" s="96"/>
      <c r="H2030" s="96"/>
      <c r="I2030" s="96"/>
    </row>
    <row r="2031" spans="1:9" x14ac:dyDescent="0.25">
      <c r="A2031" s="131"/>
      <c r="B2031" s="96"/>
      <c r="C2031" s="96"/>
      <c r="D2031" s="96"/>
      <c r="E2031" s="96"/>
      <c r="F2031" s="96"/>
      <c r="G2031" s="96"/>
      <c r="H2031" s="96"/>
      <c r="I2031" s="96"/>
    </row>
    <row r="2032" spans="1:9" x14ac:dyDescent="0.25">
      <c r="A2032" s="131"/>
      <c r="B2032" s="96"/>
      <c r="C2032" s="96"/>
      <c r="D2032" s="96"/>
      <c r="E2032" s="96"/>
      <c r="F2032" s="96"/>
      <c r="G2032" s="96"/>
      <c r="H2032" s="96"/>
      <c r="I2032" s="96"/>
    </row>
    <row r="2033" spans="1:9" x14ac:dyDescent="0.25">
      <c r="A2033" s="131"/>
      <c r="B2033" s="96"/>
      <c r="C2033" s="96"/>
      <c r="D2033" s="96"/>
      <c r="E2033" s="96"/>
      <c r="F2033" s="96"/>
      <c r="G2033" s="96"/>
      <c r="H2033" s="96"/>
      <c r="I2033" s="96"/>
    </row>
    <row r="2034" spans="1:9" x14ac:dyDescent="0.25">
      <c r="A2034" s="131"/>
      <c r="B2034" s="96"/>
      <c r="C2034" s="96"/>
      <c r="D2034" s="96"/>
      <c r="E2034" s="96"/>
      <c r="F2034" s="96"/>
      <c r="G2034" s="96"/>
      <c r="H2034" s="96"/>
      <c r="I2034" s="96"/>
    </row>
    <row r="2035" spans="1:9" x14ac:dyDescent="0.25">
      <c r="A2035" s="131"/>
      <c r="B2035" s="96"/>
      <c r="C2035" s="96"/>
      <c r="D2035" s="96"/>
      <c r="E2035" s="96"/>
      <c r="F2035" s="96"/>
      <c r="G2035" s="96"/>
      <c r="H2035" s="96"/>
      <c r="I2035" s="96"/>
    </row>
    <row r="2036" spans="1:9" x14ac:dyDescent="0.25">
      <c r="A2036" s="131"/>
      <c r="B2036" s="96"/>
      <c r="C2036" s="96"/>
      <c r="D2036" s="96"/>
      <c r="E2036" s="96"/>
      <c r="F2036" s="96"/>
      <c r="G2036" s="96"/>
      <c r="H2036" s="96"/>
      <c r="I2036" s="96"/>
    </row>
    <row r="2037" spans="1:9" x14ac:dyDescent="0.25">
      <c r="A2037" s="131"/>
      <c r="B2037" s="96"/>
      <c r="C2037" s="96"/>
      <c r="D2037" s="96"/>
      <c r="E2037" s="96"/>
      <c r="F2037" s="96"/>
      <c r="G2037" s="96"/>
      <c r="H2037" s="96"/>
      <c r="I2037" s="96"/>
    </row>
    <row r="2038" spans="1:9" x14ac:dyDescent="0.25">
      <c r="A2038" s="131"/>
      <c r="B2038" s="96"/>
      <c r="C2038" s="96"/>
      <c r="D2038" s="96"/>
      <c r="E2038" s="96"/>
      <c r="F2038" s="96"/>
      <c r="G2038" s="96"/>
      <c r="H2038" s="96"/>
      <c r="I2038" s="96"/>
    </row>
    <row r="2039" spans="1:9" x14ac:dyDescent="0.25">
      <c r="A2039" s="131"/>
      <c r="B2039" s="96"/>
      <c r="C2039" s="96"/>
      <c r="D2039" s="96"/>
      <c r="E2039" s="96"/>
      <c r="F2039" s="96"/>
      <c r="G2039" s="96"/>
      <c r="H2039" s="96"/>
      <c r="I2039" s="96"/>
    </row>
    <row r="2040" spans="1:9" x14ac:dyDescent="0.25">
      <c r="A2040" s="131"/>
      <c r="B2040" s="96"/>
      <c r="C2040" s="96"/>
      <c r="D2040" s="96"/>
      <c r="E2040" s="96"/>
      <c r="F2040" s="96"/>
      <c r="G2040" s="96"/>
      <c r="H2040" s="96"/>
      <c r="I2040" s="96"/>
    </row>
    <row r="2041" spans="1:9" x14ac:dyDescent="0.25">
      <c r="A2041" s="131"/>
      <c r="B2041" s="96"/>
      <c r="C2041" s="96"/>
      <c r="D2041" s="96"/>
      <c r="E2041" s="96"/>
      <c r="F2041" s="96"/>
      <c r="G2041" s="96"/>
      <c r="H2041" s="96"/>
      <c r="I2041" s="96"/>
    </row>
    <row r="2042" spans="1:9" x14ac:dyDescent="0.25">
      <c r="A2042" s="131"/>
      <c r="B2042" s="96"/>
      <c r="C2042" s="96"/>
      <c r="D2042" s="96"/>
      <c r="E2042" s="96"/>
      <c r="F2042" s="96"/>
      <c r="G2042" s="96"/>
      <c r="H2042" s="96"/>
      <c r="I2042" s="96"/>
    </row>
    <row r="2043" spans="1:9" x14ac:dyDescent="0.25">
      <c r="A2043" s="131"/>
      <c r="B2043" s="96"/>
      <c r="C2043" s="96"/>
      <c r="D2043" s="96"/>
      <c r="E2043" s="96"/>
      <c r="F2043" s="96"/>
      <c r="G2043" s="96"/>
      <c r="H2043" s="96"/>
      <c r="I2043" s="96"/>
    </row>
    <row r="2044" spans="1:9" x14ac:dyDescent="0.25">
      <c r="A2044" s="131"/>
      <c r="B2044" s="96"/>
      <c r="C2044" s="96"/>
      <c r="D2044" s="96"/>
      <c r="E2044" s="96"/>
      <c r="F2044" s="96"/>
      <c r="G2044" s="96"/>
      <c r="H2044" s="96"/>
      <c r="I2044" s="96"/>
    </row>
    <row r="2045" spans="1:9" x14ac:dyDescent="0.25">
      <c r="A2045" s="131"/>
      <c r="B2045" s="96"/>
      <c r="C2045" s="96"/>
      <c r="D2045" s="96"/>
      <c r="E2045" s="96"/>
      <c r="F2045" s="96"/>
      <c r="G2045" s="96"/>
      <c r="H2045" s="96"/>
      <c r="I2045" s="96"/>
    </row>
    <row r="2046" spans="1:9" x14ac:dyDescent="0.25">
      <c r="A2046" s="131"/>
      <c r="B2046" s="96"/>
      <c r="C2046" s="96"/>
      <c r="D2046" s="96"/>
      <c r="E2046" s="96"/>
      <c r="F2046" s="96"/>
      <c r="G2046" s="96"/>
      <c r="H2046" s="96"/>
      <c r="I2046" s="96"/>
    </row>
    <row r="2047" spans="1:9" x14ac:dyDescent="0.25">
      <c r="A2047" s="131"/>
      <c r="B2047" s="96"/>
      <c r="C2047" s="96"/>
      <c r="D2047" s="96"/>
      <c r="E2047" s="96"/>
      <c r="F2047" s="96"/>
      <c r="G2047" s="96"/>
      <c r="H2047" s="96"/>
      <c r="I2047" s="96"/>
    </row>
    <row r="2048" spans="1:9" x14ac:dyDescent="0.25">
      <c r="A2048" s="131"/>
      <c r="B2048" s="96"/>
      <c r="C2048" s="96"/>
      <c r="D2048" s="96"/>
      <c r="E2048" s="96"/>
      <c r="F2048" s="96"/>
      <c r="G2048" s="96"/>
      <c r="H2048" s="96"/>
      <c r="I2048" s="96"/>
    </row>
    <row r="2049" spans="1:9" x14ac:dyDescent="0.25">
      <c r="A2049" s="131"/>
      <c r="B2049" s="96"/>
      <c r="C2049" s="96"/>
      <c r="D2049" s="96"/>
      <c r="E2049" s="96"/>
      <c r="F2049" s="96"/>
      <c r="G2049" s="96"/>
      <c r="H2049" s="96"/>
      <c r="I2049" s="96"/>
    </row>
    <row r="2050" spans="1:9" x14ac:dyDescent="0.25">
      <c r="A2050" s="131"/>
      <c r="B2050" s="96"/>
      <c r="C2050" s="96"/>
      <c r="D2050" s="96"/>
      <c r="E2050" s="96"/>
      <c r="F2050" s="96"/>
      <c r="G2050" s="96"/>
      <c r="H2050" s="96"/>
      <c r="I2050" s="96"/>
    </row>
    <row r="2051" spans="1:9" x14ac:dyDescent="0.25">
      <c r="A2051" s="131"/>
      <c r="B2051" s="96"/>
      <c r="C2051" s="96"/>
      <c r="D2051" s="96"/>
      <c r="E2051" s="96"/>
      <c r="F2051" s="96"/>
      <c r="G2051" s="96"/>
      <c r="H2051" s="96"/>
      <c r="I2051" s="96"/>
    </row>
    <row r="2052" spans="1:9" x14ac:dyDescent="0.25">
      <c r="A2052" s="131"/>
      <c r="B2052" s="96"/>
      <c r="C2052" s="96"/>
      <c r="D2052" s="96"/>
      <c r="E2052" s="96"/>
      <c r="F2052" s="96"/>
      <c r="G2052" s="96"/>
      <c r="H2052" s="96"/>
      <c r="I2052" s="96"/>
    </row>
    <row r="2053" spans="1:9" x14ac:dyDescent="0.25">
      <c r="A2053" s="131"/>
      <c r="B2053" s="96"/>
      <c r="C2053" s="96"/>
      <c r="D2053" s="96"/>
      <c r="E2053" s="96"/>
      <c r="F2053" s="96"/>
      <c r="G2053" s="96"/>
      <c r="H2053" s="96"/>
      <c r="I2053" s="96"/>
    </row>
    <row r="2054" spans="1:9" x14ac:dyDescent="0.25">
      <c r="A2054" s="131"/>
      <c r="B2054" s="96"/>
      <c r="C2054" s="96"/>
      <c r="D2054" s="96"/>
      <c r="E2054" s="96"/>
      <c r="F2054" s="96"/>
      <c r="G2054" s="96"/>
      <c r="H2054" s="96"/>
      <c r="I2054" s="96"/>
    </row>
    <row r="2055" spans="1:9" x14ac:dyDescent="0.25">
      <c r="A2055" s="131"/>
      <c r="B2055" s="96"/>
      <c r="C2055" s="96"/>
      <c r="D2055" s="96"/>
      <c r="E2055" s="96"/>
      <c r="F2055" s="96"/>
      <c r="G2055" s="96"/>
      <c r="H2055" s="96"/>
      <c r="I2055" s="96"/>
    </row>
    <row r="2056" spans="1:9" x14ac:dyDescent="0.25">
      <c r="A2056" s="131"/>
      <c r="B2056" s="96"/>
      <c r="C2056" s="96"/>
      <c r="D2056" s="96"/>
      <c r="E2056" s="96"/>
      <c r="F2056" s="96"/>
      <c r="G2056" s="96"/>
      <c r="H2056" s="96"/>
      <c r="I2056" s="96"/>
    </row>
    <row r="2057" spans="1:9" x14ac:dyDescent="0.25">
      <c r="A2057" s="131"/>
      <c r="B2057" s="96"/>
      <c r="C2057" s="96"/>
      <c r="D2057" s="96"/>
      <c r="E2057" s="96"/>
      <c r="F2057" s="96"/>
      <c r="G2057" s="96"/>
      <c r="H2057" s="96"/>
      <c r="I2057" s="96"/>
    </row>
    <row r="2058" spans="1:9" x14ac:dyDescent="0.25">
      <c r="A2058" s="131"/>
      <c r="B2058" s="96"/>
      <c r="C2058" s="96"/>
      <c r="D2058" s="96"/>
      <c r="E2058" s="96"/>
      <c r="F2058" s="96"/>
      <c r="G2058" s="96"/>
      <c r="H2058" s="96"/>
      <c r="I2058" s="96"/>
    </row>
    <row r="2059" spans="1:9" x14ac:dyDescent="0.25">
      <c r="A2059" s="131"/>
      <c r="B2059" s="96"/>
      <c r="C2059" s="96"/>
      <c r="D2059" s="96"/>
      <c r="E2059" s="96"/>
      <c r="F2059" s="96"/>
      <c r="G2059" s="96"/>
      <c r="H2059" s="96"/>
      <c r="I2059" s="96"/>
    </row>
    <row r="2060" spans="1:9" x14ac:dyDescent="0.25">
      <c r="A2060" s="131"/>
      <c r="B2060" s="96"/>
      <c r="C2060" s="96"/>
      <c r="D2060" s="96"/>
      <c r="E2060" s="96"/>
      <c r="F2060" s="96"/>
      <c r="G2060" s="96"/>
      <c r="H2060" s="96"/>
      <c r="I2060" s="96"/>
    </row>
    <row r="2061" spans="1:9" x14ac:dyDescent="0.25">
      <c r="A2061" s="131"/>
      <c r="B2061" s="96"/>
      <c r="C2061" s="96"/>
      <c r="D2061" s="96"/>
      <c r="E2061" s="96"/>
      <c r="F2061" s="96"/>
      <c r="G2061" s="96"/>
      <c r="H2061" s="96"/>
      <c r="I2061" s="96"/>
    </row>
    <row r="2062" spans="1:9" x14ac:dyDescent="0.25">
      <c r="A2062" s="131"/>
      <c r="B2062" s="96"/>
      <c r="C2062" s="96"/>
      <c r="D2062" s="96"/>
      <c r="E2062" s="96"/>
      <c r="F2062" s="96"/>
      <c r="G2062" s="96"/>
      <c r="H2062" s="96"/>
      <c r="I2062" s="96"/>
    </row>
    <row r="2063" spans="1:9" x14ac:dyDescent="0.25">
      <c r="A2063" s="131"/>
      <c r="B2063" s="96"/>
      <c r="C2063" s="96"/>
      <c r="D2063" s="96"/>
      <c r="E2063" s="96"/>
      <c r="F2063" s="96"/>
      <c r="G2063" s="96"/>
      <c r="H2063" s="96"/>
      <c r="I2063" s="96"/>
    </row>
    <row r="2064" spans="1:9" x14ac:dyDescent="0.25">
      <c r="A2064" s="131"/>
      <c r="B2064" s="96"/>
      <c r="C2064" s="96"/>
      <c r="D2064" s="96"/>
      <c r="E2064" s="96"/>
      <c r="F2064" s="96"/>
      <c r="G2064" s="96"/>
      <c r="H2064" s="96"/>
      <c r="I2064" s="96"/>
    </row>
    <row r="2065" spans="1:9" x14ac:dyDescent="0.25">
      <c r="A2065" s="131"/>
      <c r="B2065" s="96"/>
      <c r="C2065" s="96"/>
      <c r="D2065" s="96"/>
      <c r="E2065" s="96"/>
      <c r="F2065" s="96"/>
      <c r="G2065" s="96"/>
      <c r="H2065" s="96"/>
      <c r="I2065" s="96"/>
    </row>
    <row r="2066" spans="1:9" x14ac:dyDescent="0.25">
      <c r="A2066" s="131"/>
      <c r="B2066" s="96"/>
      <c r="C2066" s="96"/>
      <c r="D2066" s="96"/>
      <c r="E2066" s="96"/>
      <c r="F2066" s="96"/>
      <c r="G2066" s="96"/>
      <c r="H2066" s="96"/>
      <c r="I2066" s="96"/>
    </row>
    <row r="2067" spans="1:9" x14ac:dyDescent="0.25">
      <c r="A2067" s="131"/>
      <c r="B2067" s="96"/>
      <c r="C2067" s="96"/>
      <c r="D2067" s="96"/>
      <c r="E2067" s="96"/>
      <c r="F2067" s="96"/>
      <c r="G2067" s="96"/>
      <c r="H2067" s="96"/>
      <c r="I2067" s="96"/>
    </row>
    <row r="2068" spans="1:9" x14ac:dyDescent="0.25">
      <c r="A2068" s="131"/>
      <c r="B2068" s="96"/>
      <c r="C2068" s="96"/>
      <c r="D2068" s="96"/>
      <c r="E2068" s="96"/>
      <c r="F2068" s="96"/>
      <c r="G2068" s="96"/>
      <c r="H2068" s="96"/>
      <c r="I2068" s="96"/>
    </row>
    <row r="2069" spans="1:9" x14ac:dyDescent="0.25">
      <c r="A2069" s="131"/>
      <c r="B2069" s="96"/>
      <c r="C2069" s="96"/>
      <c r="D2069" s="96"/>
      <c r="E2069" s="96"/>
      <c r="F2069" s="96"/>
      <c r="G2069" s="96"/>
      <c r="H2069" s="96"/>
      <c r="I2069" s="96"/>
    </row>
    <row r="2070" spans="1:9" x14ac:dyDescent="0.25">
      <c r="A2070" s="131"/>
      <c r="B2070" s="96"/>
      <c r="C2070" s="96"/>
      <c r="D2070" s="96"/>
      <c r="E2070" s="96"/>
      <c r="F2070" s="96"/>
      <c r="G2070" s="96"/>
      <c r="H2070" s="96"/>
      <c r="I2070" s="96"/>
    </row>
    <row r="2071" spans="1:9" x14ac:dyDescent="0.25">
      <c r="A2071" s="131"/>
      <c r="B2071" s="96"/>
      <c r="C2071" s="96"/>
      <c r="D2071" s="96"/>
      <c r="E2071" s="96"/>
      <c r="F2071" s="96"/>
      <c r="G2071" s="96"/>
      <c r="H2071" s="96"/>
      <c r="I2071" s="96"/>
    </row>
    <row r="2072" spans="1:9" x14ac:dyDescent="0.25">
      <c r="A2072" s="131"/>
      <c r="B2072" s="96"/>
      <c r="C2072" s="96"/>
      <c r="D2072" s="96"/>
      <c r="E2072" s="96"/>
      <c r="F2072" s="96"/>
      <c r="G2072" s="96"/>
      <c r="H2072" s="96"/>
      <c r="I2072" s="96"/>
    </row>
    <row r="2073" spans="1:9" x14ac:dyDescent="0.25">
      <c r="A2073" s="131"/>
      <c r="B2073" s="96"/>
      <c r="C2073" s="96"/>
      <c r="D2073" s="96"/>
      <c r="E2073" s="96"/>
      <c r="F2073" s="96"/>
      <c r="G2073" s="96"/>
      <c r="H2073" s="96"/>
      <c r="I2073" s="96"/>
    </row>
    <row r="2074" spans="1:9" x14ac:dyDescent="0.25">
      <c r="A2074" s="131"/>
      <c r="B2074" s="96"/>
      <c r="C2074" s="96"/>
      <c r="D2074" s="96"/>
      <c r="E2074" s="96"/>
      <c r="F2074" s="96"/>
      <c r="G2074" s="96"/>
      <c r="H2074" s="96"/>
      <c r="I2074" s="96"/>
    </row>
    <row r="2075" spans="1:9" x14ac:dyDescent="0.25">
      <c r="A2075" s="131"/>
      <c r="B2075" s="96"/>
      <c r="C2075" s="96"/>
      <c r="D2075" s="96"/>
      <c r="E2075" s="96"/>
      <c r="F2075" s="96"/>
      <c r="G2075" s="96"/>
      <c r="H2075" s="96"/>
      <c r="I2075" s="96"/>
    </row>
    <row r="2076" spans="1:9" x14ac:dyDescent="0.25">
      <c r="A2076" s="131"/>
      <c r="B2076" s="96"/>
      <c r="C2076" s="96"/>
      <c r="D2076" s="96"/>
      <c r="E2076" s="96"/>
      <c r="F2076" s="96"/>
      <c r="G2076" s="96"/>
      <c r="H2076" s="96"/>
      <c r="I2076" s="96"/>
    </row>
    <row r="2077" spans="1:9" x14ac:dyDescent="0.25">
      <c r="A2077" s="131"/>
      <c r="B2077" s="96"/>
      <c r="C2077" s="96"/>
      <c r="D2077" s="96"/>
      <c r="E2077" s="96"/>
      <c r="F2077" s="96"/>
      <c r="G2077" s="96"/>
      <c r="H2077" s="96"/>
      <c r="I2077" s="96"/>
    </row>
    <row r="2078" spans="1:9" x14ac:dyDescent="0.25">
      <c r="A2078" s="131"/>
      <c r="B2078" s="96"/>
      <c r="C2078" s="96"/>
      <c r="D2078" s="96"/>
      <c r="E2078" s="96"/>
      <c r="F2078" s="96"/>
      <c r="G2078" s="96"/>
      <c r="H2078" s="96"/>
      <c r="I2078" s="96"/>
    </row>
    <row r="2079" spans="1:9" x14ac:dyDescent="0.25">
      <c r="A2079" s="131"/>
      <c r="B2079" s="96"/>
      <c r="C2079" s="96"/>
      <c r="D2079" s="96"/>
      <c r="E2079" s="96"/>
      <c r="F2079" s="96"/>
      <c r="G2079" s="96"/>
      <c r="H2079" s="96"/>
      <c r="I2079" s="96"/>
    </row>
    <row r="2080" spans="1:9" x14ac:dyDescent="0.25">
      <c r="A2080" s="131"/>
      <c r="B2080" s="96"/>
      <c r="C2080" s="96"/>
      <c r="D2080" s="96"/>
      <c r="E2080" s="96"/>
      <c r="F2080" s="96"/>
      <c r="G2080" s="96"/>
      <c r="H2080" s="96"/>
      <c r="I2080" s="96"/>
    </row>
    <row r="2081" spans="1:9" x14ac:dyDescent="0.25">
      <c r="A2081" s="131"/>
      <c r="B2081" s="96"/>
      <c r="C2081" s="96"/>
      <c r="D2081" s="96"/>
      <c r="E2081" s="96"/>
      <c r="F2081" s="96"/>
      <c r="G2081" s="96"/>
      <c r="H2081" s="96"/>
      <c r="I2081" s="96"/>
    </row>
    <row r="2082" spans="1:9" x14ac:dyDescent="0.25">
      <c r="A2082" s="131"/>
      <c r="B2082" s="96"/>
      <c r="C2082" s="96"/>
      <c r="D2082" s="96"/>
      <c r="E2082" s="96"/>
      <c r="F2082" s="96"/>
      <c r="G2082" s="96"/>
      <c r="H2082" s="96"/>
      <c r="I2082" s="96"/>
    </row>
    <row r="2083" spans="1:9" x14ac:dyDescent="0.25">
      <c r="A2083" s="131"/>
      <c r="B2083" s="96"/>
      <c r="C2083" s="96"/>
      <c r="D2083" s="96"/>
      <c r="E2083" s="96"/>
      <c r="F2083" s="96"/>
      <c r="G2083" s="96"/>
      <c r="H2083" s="96"/>
      <c r="I2083" s="96"/>
    </row>
    <row r="2084" spans="1:9" x14ac:dyDescent="0.25">
      <c r="A2084" s="131"/>
      <c r="B2084" s="96"/>
      <c r="C2084" s="96"/>
      <c r="D2084" s="96"/>
      <c r="E2084" s="96"/>
      <c r="F2084" s="96"/>
      <c r="G2084" s="96"/>
      <c r="H2084" s="96"/>
      <c r="I2084" s="96"/>
    </row>
    <row r="2085" spans="1:9" x14ac:dyDescent="0.25">
      <c r="A2085" s="131"/>
      <c r="B2085" s="96"/>
      <c r="C2085" s="96"/>
      <c r="D2085" s="96"/>
      <c r="E2085" s="96"/>
      <c r="F2085" s="96"/>
      <c r="G2085" s="96"/>
      <c r="H2085" s="96"/>
      <c r="I2085" s="96"/>
    </row>
    <row r="2086" spans="1:9" x14ac:dyDescent="0.25">
      <c r="A2086" s="131"/>
      <c r="B2086" s="96"/>
      <c r="C2086" s="96"/>
      <c r="D2086" s="96"/>
      <c r="E2086" s="96"/>
      <c r="F2086" s="96"/>
      <c r="G2086" s="96"/>
      <c r="H2086" s="96"/>
      <c r="I2086" s="96"/>
    </row>
    <row r="2087" spans="1:9" x14ac:dyDescent="0.25">
      <c r="A2087" s="131"/>
      <c r="B2087" s="96"/>
      <c r="C2087" s="96"/>
      <c r="D2087" s="96"/>
      <c r="E2087" s="96"/>
      <c r="F2087" s="96"/>
      <c r="G2087" s="96"/>
      <c r="H2087" s="96"/>
      <c r="I2087" s="96"/>
    </row>
    <row r="2088" spans="1:9" x14ac:dyDescent="0.25">
      <c r="A2088" s="131"/>
      <c r="B2088" s="96"/>
      <c r="C2088" s="96"/>
      <c r="D2088" s="96"/>
      <c r="E2088" s="96"/>
      <c r="F2088" s="96"/>
      <c r="G2088" s="96"/>
      <c r="H2088" s="96"/>
      <c r="I2088" s="96"/>
    </row>
    <row r="2089" spans="1:9" x14ac:dyDescent="0.25">
      <c r="A2089" s="131"/>
      <c r="B2089" s="96"/>
      <c r="C2089" s="96"/>
      <c r="D2089" s="96"/>
      <c r="E2089" s="96"/>
      <c r="F2089" s="96"/>
      <c r="G2089" s="96"/>
      <c r="H2089" s="96"/>
      <c r="I2089" s="96"/>
    </row>
    <row r="2090" spans="1:9" x14ac:dyDescent="0.25">
      <c r="A2090" s="131"/>
      <c r="B2090" s="96"/>
      <c r="C2090" s="96"/>
      <c r="D2090" s="96"/>
      <c r="E2090" s="96"/>
      <c r="F2090" s="96"/>
      <c r="G2090" s="96"/>
      <c r="H2090" s="96"/>
      <c r="I2090" s="96"/>
    </row>
    <row r="2091" spans="1:9" x14ac:dyDescent="0.25">
      <c r="A2091" s="131"/>
      <c r="B2091" s="96"/>
      <c r="C2091" s="96"/>
      <c r="D2091" s="96"/>
      <c r="E2091" s="96"/>
      <c r="F2091" s="96"/>
      <c r="G2091" s="96"/>
      <c r="H2091" s="96"/>
      <c r="I2091" s="96"/>
    </row>
    <row r="2092" spans="1:9" x14ac:dyDescent="0.25">
      <c r="A2092" s="131"/>
      <c r="B2092" s="96"/>
      <c r="C2092" s="96"/>
      <c r="D2092" s="96"/>
      <c r="E2092" s="96"/>
      <c r="F2092" s="96"/>
      <c r="G2092" s="96"/>
      <c r="H2092" s="96"/>
      <c r="I2092" s="96"/>
    </row>
    <row r="2093" spans="1:9" x14ac:dyDescent="0.25">
      <c r="A2093" s="131"/>
      <c r="B2093" s="96"/>
      <c r="C2093" s="96"/>
      <c r="D2093" s="96"/>
      <c r="E2093" s="96"/>
      <c r="F2093" s="96"/>
      <c r="G2093" s="96"/>
      <c r="H2093" s="96"/>
      <c r="I2093" s="96"/>
    </row>
    <row r="2094" spans="1:9" x14ac:dyDescent="0.25">
      <c r="A2094" s="131"/>
      <c r="B2094" s="96"/>
      <c r="C2094" s="96"/>
      <c r="D2094" s="96"/>
      <c r="E2094" s="96"/>
      <c r="F2094" s="96"/>
      <c r="G2094" s="96"/>
      <c r="H2094" s="96"/>
      <c r="I2094" s="96"/>
    </row>
    <row r="2095" spans="1:9" x14ac:dyDescent="0.25">
      <c r="A2095" s="131"/>
      <c r="B2095" s="96"/>
      <c r="C2095" s="96"/>
      <c r="D2095" s="96"/>
      <c r="E2095" s="96"/>
      <c r="F2095" s="96"/>
      <c r="G2095" s="96"/>
      <c r="H2095" s="96"/>
      <c r="I2095" s="96"/>
    </row>
    <row r="2096" spans="1:9" x14ac:dyDescent="0.25">
      <c r="A2096" s="131"/>
      <c r="B2096" s="96"/>
      <c r="C2096" s="96"/>
      <c r="D2096" s="96"/>
      <c r="E2096" s="96"/>
      <c r="F2096" s="96"/>
      <c r="G2096" s="96"/>
      <c r="H2096" s="96"/>
      <c r="I2096" s="96"/>
    </row>
    <row r="2097" spans="1:9" x14ac:dyDescent="0.25">
      <c r="A2097" s="131"/>
      <c r="B2097" s="96"/>
      <c r="C2097" s="96"/>
      <c r="D2097" s="96"/>
      <c r="E2097" s="96"/>
      <c r="F2097" s="96"/>
      <c r="G2097" s="96"/>
      <c r="H2097" s="96"/>
      <c r="I2097" s="96"/>
    </row>
    <row r="2098" spans="1:9" x14ac:dyDescent="0.25">
      <c r="A2098" s="131"/>
      <c r="B2098" s="96"/>
      <c r="C2098" s="96"/>
      <c r="D2098" s="96"/>
      <c r="E2098" s="96"/>
      <c r="F2098" s="96"/>
      <c r="G2098" s="96"/>
      <c r="H2098" s="96"/>
      <c r="I2098" s="96"/>
    </row>
    <row r="2099" spans="1:9" x14ac:dyDescent="0.25">
      <c r="A2099" s="131"/>
      <c r="B2099" s="96"/>
      <c r="C2099" s="96"/>
      <c r="D2099" s="96"/>
      <c r="E2099" s="96"/>
      <c r="F2099" s="96"/>
      <c r="G2099" s="96"/>
      <c r="H2099" s="96"/>
      <c r="I2099" s="96"/>
    </row>
    <row r="2100" spans="1:9" x14ac:dyDescent="0.25">
      <c r="A2100" s="131"/>
      <c r="B2100" s="96"/>
      <c r="C2100" s="96"/>
      <c r="D2100" s="96"/>
      <c r="E2100" s="96"/>
      <c r="F2100" s="96"/>
      <c r="G2100" s="96"/>
      <c r="H2100" s="96"/>
      <c r="I2100" s="96"/>
    </row>
    <row r="2101" spans="1:9" x14ac:dyDescent="0.25">
      <c r="A2101" s="131"/>
      <c r="B2101" s="96"/>
      <c r="C2101" s="96"/>
      <c r="D2101" s="96"/>
      <c r="E2101" s="96"/>
      <c r="F2101" s="96"/>
      <c r="G2101" s="96"/>
      <c r="H2101" s="96"/>
      <c r="I2101" s="96"/>
    </row>
    <row r="2102" spans="1:9" x14ac:dyDescent="0.25">
      <c r="A2102" s="131"/>
      <c r="B2102" s="96"/>
      <c r="C2102" s="96"/>
      <c r="D2102" s="96"/>
      <c r="E2102" s="96"/>
      <c r="F2102" s="96"/>
      <c r="G2102" s="96"/>
      <c r="H2102" s="96"/>
      <c r="I2102" s="96"/>
    </row>
    <row r="2103" spans="1:9" x14ac:dyDescent="0.25">
      <c r="A2103" s="131"/>
      <c r="B2103" s="96"/>
      <c r="C2103" s="96"/>
      <c r="D2103" s="96"/>
      <c r="E2103" s="96"/>
      <c r="F2103" s="96"/>
      <c r="G2103" s="96"/>
      <c r="H2103" s="96"/>
      <c r="I2103" s="96"/>
    </row>
    <row r="2104" spans="1:9" x14ac:dyDescent="0.25">
      <c r="A2104" s="131"/>
      <c r="B2104" s="96"/>
      <c r="C2104" s="96"/>
      <c r="D2104" s="96"/>
      <c r="E2104" s="96"/>
      <c r="F2104" s="96"/>
      <c r="G2104" s="96"/>
      <c r="H2104" s="96"/>
      <c r="I2104" s="96"/>
    </row>
    <row r="2105" spans="1:9" x14ac:dyDescent="0.25">
      <c r="A2105" s="131"/>
      <c r="B2105" s="96"/>
      <c r="C2105" s="96"/>
      <c r="D2105" s="96"/>
      <c r="E2105" s="96"/>
      <c r="F2105" s="96"/>
      <c r="G2105" s="96"/>
      <c r="H2105" s="96"/>
      <c r="I2105" s="96"/>
    </row>
    <row r="2106" spans="1:9" x14ac:dyDescent="0.25">
      <c r="A2106" s="131"/>
      <c r="B2106" s="96"/>
      <c r="C2106" s="96"/>
      <c r="D2106" s="96"/>
      <c r="E2106" s="96"/>
      <c r="F2106" s="96"/>
      <c r="G2106" s="96"/>
      <c r="H2106" s="96"/>
      <c r="I2106" s="96"/>
    </row>
    <row r="2107" spans="1:9" x14ac:dyDescent="0.25">
      <c r="A2107" s="131"/>
      <c r="B2107" s="96"/>
      <c r="C2107" s="96"/>
      <c r="D2107" s="96"/>
      <c r="E2107" s="96"/>
      <c r="F2107" s="96"/>
      <c r="G2107" s="96"/>
      <c r="H2107" s="96"/>
      <c r="I2107" s="96"/>
    </row>
    <row r="2108" spans="1:9" x14ac:dyDescent="0.25">
      <c r="A2108" s="131"/>
      <c r="B2108" s="96"/>
      <c r="C2108" s="96"/>
      <c r="D2108" s="96"/>
      <c r="E2108" s="96"/>
      <c r="F2108" s="96"/>
      <c r="G2108" s="96"/>
      <c r="H2108" s="96"/>
      <c r="I2108" s="96"/>
    </row>
    <row r="2109" spans="1:9" x14ac:dyDescent="0.25">
      <c r="A2109" s="131"/>
      <c r="B2109" s="96"/>
      <c r="C2109" s="96"/>
      <c r="D2109" s="96"/>
      <c r="E2109" s="96"/>
      <c r="F2109" s="96"/>
      <c r="G2109" s="96"/>
      <c r="H2109" s="96"/>
      <c r="I2109" s="96"/>
    </row>
    <row r="2110" spans="1:9" x14ac:dyDescent="0.25">
      <c r="A2110" s="131"/>
      <c r="B2110" s="96"/>
      <c r="C2110" s="96"/>
      <c r="D2110" s="96"/>
      <c r="E2110" s="96"/>
      <c r="F2110" s="96"/>
      <c r="G2110" s="96"/>
      <c r="H2110" s="96"/>
      <c r="I2110" s="96"/>
    </row>
    <row r="2111" spans="1:9" x14ac:dyDescent="0.25">
      <c r="A2111" s="131"/>
      <c r="B2111" s="96"/>
      <c r="C2111" s="96"/>
      <c r="D2111" s="96"/>
      <c r="E2111" s="96"/>
      <c r="F2111" s="96"/>
      <c r="G2111" s="96"/>
      <c r="H2111" s="96"/>
      <c r="I2111" s="96"/>
    </row>
    <row r="2112" spans="1:9" x14ac:dyDescent="0.25">
      <c r="A2112" s="131"/>
      <c r="B2112" s="96"/>
      <c r="C2112" s="96"/>
      <c r="D2112" s="96"/>
      <c r="E2112" s="96"/>
      <c r="F2112" s="96"/>
      <c r="G2112" s="96"/>
      <c r="H2112" s="96"/>
      <c r="I2112" s="96"/>
    </row>
    <row r="2113" spans="1:9" x14ac:dyDescent="0.25">
      <c r="A2113" s="131"/>
      <c r="B2113" s="96"/>
      <c r="C2113" s="96"/>
      <c r="D2113" s="96"/>
      <c r="E2113" s="96"/>
      <c r="F2113" s="96"/>
      <c r="G2113" s="96"/>
      <c r="H2113" s="96"/>
      <c r="I2113" s="96"/>
    </row>
    <row r="2114" spans="1:9" x14ac:dyDescent="0.25">
      <c r="A2114" s="131"/>
      <c r="B2114" s="96"/>
      <c r="C2114" s="96"/>
      <c r="D2114" s="96"/>
      <c r="E2114" s="96"/>
      <c r="F2114" s="96"/>
      <c r="G2114" s="96"/>
      <c r="H2114" s="96"/>
      <c r="I2114" s="96"/>
    </row>
    <row r="2115" spans="1:9" x14ac:dyDescent="0.25">
      <c r="A2115" s="131"/>
      <c r="B2115" s="96"/>
      <c r="C2115" s="96"/>
      <c r="D2115" s="96"/>
      <c r="E2115" s="96"/>
      <c r="F2115" s="96"/>
      <c r="G2115" s="96"/>
      <c r="H2115" s="96"/>
      <c r="I2115" s="96"/>
    </row>
    <row r="2116" spans="1:9" x14ac:dyDescent="0.25">
      <c r="A2116" s="131"/>
      <c r="B2116" s="96"/>
      <c r="C2116" s="96"/>
      <c r="D2116" s="96"/>
      <c r="E2116" s="96"/>
      <c r="F2116" s="96"/>
      <c r="G2116" s="96"/>
      <c r="H2116" s="96"/>
      <c r="I2116" s="96"/>
    </row>
    <row r="2117" spans="1:9" x14ac:dyDescent="0.25">
      <c r="A2117" s="131"/>
      <c r="B2117" s="96"/>
      <c r="C2117" s="96"/>
      <c r="D2117" s="96"/>
      <c r="E2117" s="96"/>
      <c r="F2117" s="96"/>
      <c r="G2117" s="96"/>
      <c r="H2117" s="96"/>
      <c r="I2117" s="96"/>
    </row>
    <row r="2118" spans="1:9" x14ac:dyDescent="0.25">
      <c r="A2118" s="131"/>
      <c r="B2118" s="96"/>
      <c r="C2118" s="96"/>
      <c r="D2118" s="96"/>
      <c r="E2118" s="96"/>
      <c r="F2118" s="96"/>
      <c r="G2118" s="96"/>
      <c r="H2118" s="96"/>
      <c r="I2118" s="96"/>
    </row>
    <row r="2119" spans="1:9" x14ac:dyDescent="0.25">
      <c r="A2119" s="131"/>
      <c r="B2119" s="96"/>
      <c r="C2119" s="96"/>
      <c r="D2119" s="96"/>
      <c r="E2119" s="96"/>
      <c r="F2119" s="96"/>
      <c r="G2119" s="96"/>
      <c r="H2119" s="96"/>
      <c r="I2119" s="96"/>
    </row>
    <row r="2120" spans="1:9" x14ac:dyDescent="0.25">
      <c r="A2120" s="131"/>
      <c r="B2120" s="96"/>
      <c r="C2120" s="96"/>
      <c r="D2120" s="96"/>
      <c r="E2120" s="96"/>
      <c r="F2120" s="96"/>
      <c r="G2120" s="96"/>
      <c r="H2120" s="96"/>
      <c r="I2120" s="96"/>
    </row>
    <row r="2121" spans="1:9" x14ac:dyDescent="0.25">
      <c r="A2121" s="131"/>
      <c r="B2121" s="96"/>
      <c r="C2121" s="96"/>
      <c r="D2121" s="96"/>
      <c r="E2121" s="96"/>
      <c r="F2121" s="96"/>
      <c r="G2121" s="96"/>
      <c r="H2121" s="96"/>
      <c r="I2121" s="96"/>
    </row>
    <row r="2122" spans="1:9" x14ac:dyDescent="0.25">
      <c r="A2122" s="131"/>
      <c r="B2122" s="96"/>
      <c r="C2122" s="96"/>
      <c r="D2122" s="96"/>
      <c r="E2122" s="96"/>
      <c r="F2122" s="96"/>
      <c r="G2122" s="96"/>
      <c r="H2122" s="96"/>
      <c r="I2122" s="96"/>
    </row>
    <row r="2123" spans="1:9" x14ac:dyDescent="0.25">
      <c r="A2123" s="131"/>
      <c r="B2123" s="96"/>
      <c r="C2123" s="96"/>
      <c r="D2123" s="96"/>
      <c r="E2123" s="96"/>
      <c r="F2123" s="96"/>
      <c r="G2123" s="96"/>
      <c r="H2123" s="96"/>
      <c r="I2123" s="96"/>
    </row>
    <row r="2124" spans="1:9" x14ac:dyDescent="0.25">
      <c r="A2124" s="131"/>
      <c r="B2124" s="96"/>
      <c r="C2124" s="96"/>
      <c r="D2124" s="96"/>
      <c r="E2124" s="96"/>
      <c r="F2124" s="96"/>
      <c r="G2124" s="96"/>
      <c r="H2124" s="96"/>
      <c r="I2124" s="96"/>
    </row>
    <row r="2125" spans="1:9" x14ac:dyDescent="0.25">
      <c r="A2125" s="131"/>
      <c r="B2125" s="96"/>
      <c r="C2125" s="96"/>
      <c r="D2125" s="96"/>
      <c r="E2125" s="96"/>
      <c r="F2125" s="96"/>
      <c r="G2125" s="96"/>
      <c r="H2125" s="96"/>
      <c r="I2125" s="96"/>
    </row>
    <row r="2126" spans="1:9" x14ac:dyDescent="0.25">
      <c r="A2126" s="131"/>
      <c r="B2126" s="96"/>
      <c r="C2126" s="96"/>
      <c r="D2126" s="96"/>
      <c r="E2126" s="96"/>
      <c r="F2126" s="96"/>
      <c r="G2126" s="96"/>
      <c r="H2126" s="96"/>
      <c r="I2126" s="96"/>
    </row>
    <row r="2127" spans="1:9" x14ac:dyDescent="0.25">
      <c r="A2127" s="131"/>
      <c r="B2127" s="96"/>
      <c r="C2127" s="96"/>
      <c r="D2127" s="96"/>
      <c r="E2127" s="96"/>
      <c r="F2127" s="96"/>
      <c r="G2127" s="96"/>
      <c r="H2127" s="96"/>
      <c r="I2127" s="96"/>
    </row>
    <row r="2128" spans="1:9" x14ac:dyDescent="0.25">
      <c r="A2128" s="131"/>
      <c r="B2128" s="96"/>
      <c r="C2128" s="96"/>
      <c r="D2128" s="96"/>
      <c r="E2128" s="96"/>
      <c r="F2128" s="96"/>
      <c r="G2128" s="96"/>
      <c r="H2128" s="96"/>
      <c r="I2128" s="96"/>
    </row>
    <row r="2129" spans="1:9" x14ac:dyDescent="0.25">
      <c r="A2129" s="131"/>
      <c r="B2129" s="96"/>
      <c r="C2129" s="96"/>
      <c r="D2129" s="96"/>
      <c r="E2129" s="96"/>
      <c r="F2129" s="96"/>
      <c r="G2129" s="96"/>
      <c r="H2129" s="96"/>
      <c r="I2129" s="96"/>
    </row>
    <row r="2130" spans="1:9" x14ac:dyDescent="0.25">
      <c r="A2130" s="131"/>
      <c r="B2130" s="96"/>
      <c r="C2130" s="96"/>
      <c r="D2130" s="96"/>
      <c r="E2130" s="96"/>
      <c r="F2130" s="96"/>
      <c r="G2130" s="96"/>
      <c r="H2130" s="96"/>
      <c r="I2130" s="96"/>
    </row>
    <row r="2131" spans="1:9" x14ac:dyDescent="0.25">
      <c r="A2131" s="131"/>
      <c r="B2131" s="96"/>
      <c r="C2131" s="96"/>
      <c r="D2131" s="96"/>
      <c r="E2131" s="96"/>
      <c r="F2131" s="96"/>
      <c r="G2131" s="96"/>
      <c r="H2131" s="96"/>
      <c r="I2131" s="96"/>
    </row>
    <row r="2132" spans="1:9" x14ac:dyDescent="0.25">
      <c r="A2132" s="131"/>
      <c r="B2132" s="96"/>
      <c r="C2132" s="96"/>
      <c r="D2132" s="96"/>
      <c r="E2132" s="96"/>
      <c r="F2132" s="96"/>
      <c r="G2132" s="96"/>
      <c r="H2132" s="96"/>
      <c r="I2132" s="96"/>
    </row>
    <row r="2133" spans="1:9" x14ac:dyDescent="0.25">
      <c r="A2133" s="131"/>
      <c r="B2133" s="96"/>
      <c r="C2133" s="96"/>
      <c r="D2133" s="96"/>
      <c r="E2133" s="96"/>
      <c r="F2133" s="96"/>
      <c r="G2133" s="96"/>
      <c r="H2133" s="96"/>
      <c r="I2133" s="96"/>
    </row>
    <row r="2134" spans="1:9" x14ac:dyDescent="0.25">
      <c r="A2134" s="131"/>
      <c r="B2134" s="96"/>
      <c r="C2134" s="96"/>
      <c r="D2134" s="96"/>
      <c r="E2134" s="96"/>
      <c r="F2134" s="96"/>
      <c r="G2134" s="96"/>
      <c r="H2134" s="96"/>
      <c r="I2134" s="96"/>
    </row>
    <row r="2135" spans="1:9" x14ac:dyDescent="0.25">
      <c r="A2135" s="131"/>
      <c r="B2135" s="96"/>
      <c r="C2135" s="96"/>
      <c r="D2135" s="96"/>
      <c r="E2135" s="96"/>
      <c r="F2135" s="96"/>
      <c r="G2135" s="96"/>
      <c r="H2135" s="96"/>
      <c r="I2135" s="96"/>
    </row>
    <row r="2136" spans="1:9" x14ac:dyDescent="0.25">
      <c r="A2136" s="131"/>
      <c r="B2136" s="96"/>
      <c r="C2136" s="96"/>
      <c r="D2136" s="96"/>
      <c r="E2136" s="96"/>
      <c r="F2136" s="96"/>
      <c r="G2136" s="96"/>
      <c r="H2136" s="96"/>
      <c r="I2136" s="96"/>
    </row>
    <row r="2137" spans="1:9" x14ac:dyDescent="0.25">
      <c r="A2137" s="131"/>
      <c r="B2137" s="96"/>
      <c r="C2137" s="96"/>
      <c r="D2137" s="96"/>
      <c r="E2137" s="96"/>
      <c r="F2137" s="96"/>
      <c r="G2137" s="96"/>
      <c r="H2137" s="96"/>
      <c r="I2137" s="96"/>
    </row>
    <row r="2138" spans="1:9" x14ac:dyDescent="0.25">
      <c r="A2138" s="131"/>
      <c r="B2138" s="96"/>
      <c r="C2138" s="96"/>
      <c r="D2138" s="96"/>
      <c r="E2138" s="96"/>
      <c r="F2138" s="96"/>
      <c r="G2138" s="96"/>
      <c r="H2138" s="96"/>
      <c r="I2138" s="96"/>
    </row>
    <row r="2139" spans="1:9" x14ac:dyDescent="0.25">
      <c r="A2139" s="131"/>
      <c r="B2139" s="96"/>
      <c r="C2139" s="96"/>
      <c r="D2139" s="96"/>
      <c r="E2139" s="96"/>
      <c r="F2139" s="96"/>
      <c r="G2139" s="96"/>
      <c r="H2139" s="96"/>
      <c r="I2139" s="96"/>
    </row>
    <row r="2140" spans="1:9" x14ac:dyDescent="0.25">
      <c r="A2140" s="131"/>
      <c r="B2140" s="96"/>
      <c r="C2140" s="96"/>
      <c r="D2140" s="96"/>
      <c r="E2140" s="96"/>
      <c r="F2140" s="96"/>
      <c r="G2140" s="96"/>
      <c r="H2140" s="96"/>
      <c r="I2140" s="96"/>
    </row>
    <row r="2141" spans="1:9" x14ac:dyDescent="0.25">
      <c r="A2141" s="131"/>
      <c r="B2141" s="96"/>
      <c r="C2141" s="96"/>
      <c r="D2141" s="96"/>
      <c r="E2141" s="96"/>
      <c r="F2141" s="96"/>
      <c r="G2141" s="96"/>
      <c r="H2141" s="96"/>
      <c r="I2141" s="96"/>
    </row>
    <row r="2142" spans="1:9" x14ac:dyDescent="0.25">
      <c r="A2142" s="131"/>
      <c r="B2142" s="96"/>
      <c r="C2142" s="96"/>
      <c r="D2142" s="96"/>
      <c r="E2142" s="96"/>
      <c r="F2142" s="96"/>
      <c r="G2142" s="96"/>
      <c r="H2142" s="96"/>
      <c r="I2142" s="96"/>
    </row>
    <row r="2143" spans="1:9" x14ac:dyDescent="0.25">
      <c r="A2143" s="131"/>
      <c r="B2143" s="96"/>
      <c r="C2143" s="96"/>
      <c r="D2143" s="96"/>
      <c r="E2143" s="96"/>
      <c r="F2143" s="96"/>
      <c r="G2143" s="96"/>
      <c r="H2143" s="96"/>
      <c r="I2143" s="96"/>
    </row>
    <row r="2144" spans="1:9" x14ac:dyDescent="0.25">
      <c r="A2144" s="131"/>
      <c r="B2144" s="96"/>
      <c r="C2144" s="96"/>
      <c r="D2144" s="96"/>
      <c r="E2144" s="96"/>
      <c r="F2144" s="96"/>
      <c r="G2144" s="96"/>
      <c r="H2144" s="96"/>
      <c r="I2144" s="96"/>
    </row>
    <row r="2145" spans="1:9" x14ac:dyDescent="0.25">
      <c r="A2145" s="131"/>
      <c r="B2145" s="96"/>
      <c r="C2145" s="96"/>
      <c r="D2145" s="96"/>
      <c r="E2145" s="96"/>
      <c r="F2145" s="96"/>
      <c r="G2145" s="96"/>
      <c r="H2145" s="96"/>
      <c r="I2145" s="96"/>
    </row>
    <row r="2146" spans="1:9" x14ac:dyDescent="0.25">
      <c r="A2146" s="131"/>
      <c r="B2146" s="96"/>
      <c r="C2146" s="96"/>
      <c r="D2146" s="96"/>
      <c r="E2146" s="96"/>
      <c r="F2146" s="96"/>
      <c r="G2146" s="96"/>
      <c r="H2146" s="96"/>
      <c r="I2146" s="96"/>
    </row>
    <row r="2147" spans="1:9" x14ac:dyDescent="0.25">
      <c r="A2147" s="131"/>
      <c r="B2147" s="96"/>
      <c r="C2147" s="96"/>
      <c r="D2147" s="96"/>
      <c r="E2147" s="96"/>
      <c r="F2147" s="96"/>
      <c r="G2147" s="96"/>
      <c r="H2147" s="96"/>
      <c r="I2147" s="96"/>
    </row>
    <row r="2148" spans="1:9" x14ac:dyDescent="0.25">
      <c r="A2148" s="131"/>
      <c r="B2148" s="96"/>
      <c r="C2148" s="96"/>
      <c r="D2148" s="96"/>
      <c r="E2148" s="96"/>
      <c r="F2148" s="96"/>
      <c r="G2148" s="96"/>
      <c r="H2148" s="96"/>
      <c r="I2148" s="96"/>
    </row>
    <row r="2149" spans="1:9" x14ac:dyDescent="0.25">
      <c r="A2149" s="131"/>
      <c r="B2149" s="96"/>
      <c r="C2149" s="96"/>
      <c r="D2149" s="96"/>
      <c r="E2149" s="96"/>
      <c r="F2149" s="96"/>
      <c r="G2149" s="96"/>
      <c r="H2149" s="96"/>
      <c r="I2149" s="96"/>
    </row>
    <row r="2150" spans="1:9" x14ac:dyDescent="0.25">
      <c r="A2150" s="131"/>
      <c r="B2150" s="96"/>
      <c r="C2150" s="96"/>
      <c r="D2150" s="96"/>
      <c r="E2150" s="96"/>
      <c r="F2150" s="96"/>
      <c r="G2150" s="96"/>
      <c r="H2150" s="96"/>
      <c r="I2150" s="96"/>
    </row>
    <row r="2151" spans="1:9" x14ac:dyDescent="0.25">
      <c r="A2151" s="131"/>
      <c r="B2151" s="96"/>
      <c r="C2151" s="96"/>
      <c r="D2151" s="96"/>
      <c r="E2151" s="96"/>
      <c r="F2151" s="96"/>
      <c r="G2151" s="96"/>
      <c r="H2151" s="96"/>
      <c r="I2151" s="96"/>
    </row>
    <row r="2152" spans="1:9" x14ac:dyDescent="0.25">
      <c r="A2152" s="131"/>
      <c r="B2152" s="96"/>
      <c r="C2152" s="96"/>
      <c r="D2152" s="96"/>
      <c r="E2152" s="96"/>
      <c r="F2152" s="96"/>
      <c r="G2152" s="96"/>
      <c r="H2152" s="96"/>
      <c r="I2152" s="96"/>
    </row>
    <row r="2153" spans="1:9" x14ac:dyDescent="0.25">
      <c r="A2153" s="131"/>
      <c r="B2153" s="96"/>
      <c r="C2153" s="96"/>
      <c r="D2153" s="96"/>
      <c r="E2153" s="96"/>
      <c r="F2153" s="96"/>
      <c r="G2153" s="96"/>
      <c r="H2153" s="96"/>
      <c r="I2153" s="96"/>
    </row>
    <row r="2154" spans="1:9" x14ac:dyDescent="0.25">
      <c r="A2154" s="131"/>
      <c r="B2154" s="96"/>
      <c r="C2154" s="96"/>
      <c r="D2154" s="96"/>
      <c r="E2154" s="96"/>
      <c r="F2154" s="96"/>
      <c r="G2154" s="96"/>
      <c r="H2154" s="96"/>
      <c r="I2154" s="96"/>
    </row>
    <row r="2155" spans="1:9" x14ac:dyDescent="0.25">
      <c r="A2155" s="131"/>
      <c r="B2155" s="96"/>
      <c r="C2155" s="96"/>
      <c r="D2155" s="96"/>
      <c r="E2155" s="96"/>
      <c r="F2155" s="96"/>
      <c r="G2155" s="96"/>
      <c r="H2155" s="96"/>
      <c r="I2155" s="96"/>
    </row>
    <row r="2156" spans="1:9" x14ac:dyDescent="0.25">
      <c r="A2156" s="131"/>
      <c r="B2156" s="96"/>
      <c r="C2156" s="96"/>
      <c r="D2156" s="96"/>
      <c r="E2156" s="96"/>
      <c r="F2156" s="96"/>
      <c r="G2156" s="96"/>
      <c r="H2156" s="96"/>
      <c r="I2156" s="96"/>
    </row>
    <row r="2157" spans="1:9" x14ac:dyDescent="0.25">
      <c r="A2157" s="131"/>
      <c r="B2157" s="96"/>
      <c r="C2157" s="96"/>
      <c r="D2157" s="96"/>
      <c r="E2157" s="96"/>
      <c r="F2157" s="96"/>
      <c r="G2157" s="96"/>
      <c r="H2157" s="96"/>
      <c r="I2157" s="96"/>
    </row>
    <row r="2158" spans="1:9" x14ac:dyDescent="0.25">
      <c r="A2158" s="131"/>
      <c r="B2158" s="96"/>
      <c r="C2158" s="96"/>
      <c r="D2158" s="96"/>
      <c r="E2158" s="96"/>
      <c r="F2158" s="96"/>
      <c r="G2158" s="96"/>
      <c r="H2158" s="96"/>
      <c r="I2158" s="96"/>
    </row>
    <row r="2159" spans="1:9" x14ac:dyDescent="0.25">
      <c r="A2159" s="131"/>
      <c r="B2159" s="96"/>
      <c r="C2159" s="96"/>
      <c r="D2159" s="96"/>
      <c r="E2159" s="96"/>
      <c r="F2159" s="96"/>
      <c r="G2159" s="96"/>
      <c r="H2159" s="96"/>
      <c r="I2159" s="96"/>
    </row>
    <row r="2160" spans="1:9" x14ac:dyDescent="0.25">
      <c r="A2160" s="131"/>
      <c r="B2160" s="96"/>
      <c r="C2160" s="96"/>
      <c r="D2160" s="96"/>
      <c r="E2160" s="96"/>
      <c r="F2160" s="96"/>
      <c r="G2160" s="96"/>
      <c r="H2160" s="96"/>
      <c r="I2160" s="96"/>
    </row>
    <row r="2161" spans="1:9" x14ac:dyDescent="0.25">
      <c r="A2161" s="131"/>
      <c r="B2161" s="96"/>
      <c r="C2161" s="96"/>
      <c r="D2161" s="96"/>
      <c r="E2161" s="96"/>
      <c r="F2161" s="96"/>
      <c r="G2161" s="96"/>
      <c r="H2161" s="96"/>
      <c r="I2161" s="96"/>
    </row>
    <row r="2162" spans="1:9" x14ac:dyDescent="0.25">
      <c r="A2162" s="131"/>
      <c r="B2162" s="96"/>
      <c r="C2162" s="96"/>
      <c r="D2162" s="96"/>
      <c r="E2162" s="96"/>
      <c r="F2162" s="96"/>
      <c r="G2162" s="96"/>
      <c r="H2162" s="96"/>
      <c r="I2162" s="96"/>
    </row>
    <row r="2163" spans="1:9" x14ac:dyDescent="0.25">
      <c r="A2163" s="131"/>
      <c r="B2163" s="96"/>
      <c r="C2163" s="96"/>
      <c r="D2163" s="96"/>
      <c r="E2163" s="96"/>
      <c r="F2163" s="96"/>
      <c r="G2163" s="96"/>
      <c r="H2163" s="96"/>
      <c r="I2163" s="96"/>
    </row>
    <row r="2164" spans="1:9" x14ac:dyDescent="0.25">
      <c r="A2164" s="131"/>
      <c r="B2164" s="96"/>
      <c r="C2164" s="96"/>
      <c r="D2164" s="96"/>
      <c r="E2164" s="96"/>
      <c r="F2164" s="96"/>
      <c r="G2164" s="96"/>
      <c r="H2164" s="96"/>
      <c r="I2164" s="96"/>
    </row>
    <row r="2165" spans="1:9" x14ac:dyDescent="0.25">
      <c r="A2165" s="131"/>
      <c r="B2165" s="96"/>
      <c r="C2165" s="96"/>
      <c r="D2165" s="96"/>
      <c r="E2165" s="96"/>
      <c r="F2165" s="96"/>
      <c r="G2165" s="96"/>
      <c r="H2165" s="96"/>
      <c r="I2165" s="96"/>
    </row>
    <row r="2166" spans="1:9" x14ac:dyDescent="0.25">
      <c r="A2166" s="131"/>
      <c r="B2166" s="96"/>
      <c r="C2166" s="96"/>
      <c r="D2166" s="96"/>
      <c r="E2166" s="96"/>
      <c r="F2166" s="96"/>
      <c r="G2166" s="96"/>
      <c r="H2166" s="96"/>
      <c r="I2166" s="96"/>
    </row>
    <row r="2167" spans="1:9" x14ac:dyDescent="0.25">
      <c r="A2167" s="131"/>
      <c r="B2167" s="96"/>
      <c r="C2167" s="96"/>
      <c r="D2167" s="96"/>
      <c r="E2167" s="96"/>
      <c r="F2167" s="96"/>
      <c r="G2167" s="96"/>
      <c r="H2167" s="96"/>
      <c r="I2167" s="96"/>
    </row>
    <row r="2168" spans="1:9" x14ac:dyDescent="0.25">
      <c r="A2168" s="131"/>
      <c r="B2168" s="96"/>
      <c r="C2168" s="96"/>
      <c r="D2168" s="96"/>
      <c r="E2168" s="96"/>
      <c r="F2168" s="96"/>
      <c r="G2168" s="96"/>
      <c r="H2168" s="96"/>
      <c r="I2168" s="96"/>
    </row>
    <row r="2169" spans="1:9" x14ac:dyDescent="0.25">
      <c r="A2169" s="131"/>
      <c r="B2169" s="96"/>
      <c r="C2169" s="96"/>
      <c r="D2169" s="96"/>
      <c r="E2169" s="96"/>
      <c r="F2169" s="96"/>
      <c r="G2169" s="96"/>
      <c r="H2169" s="96"/>
      <c r="I2169" s="96"/>
    </row>
    <row r="2170" spans="1:9" x14ac:dyDescent="0.25">
      <c r="A2170" s="131"/>
      <c r="B2170" s="96"/>
      <c r="C2170" s="96"/>
      <c r="D2170" s="96"/>
      <c r="E2170" s="96"/>
      <c r="F2170" s="96"/>
      <c r="G2170" s="96"/>
      <c r="H2170" s="96"/>
      <c r="I2170" s="96"/>
    </row>
    <row r="2171" spans="1:9" x14ac:dyDescent="0.25">
      <c r="A2171" s="131"/>
      <c r="B2171" s="96"/>
      <c r="C2171" s="96"/>
      <c r="D2171" s="96"/>
      <c r="E2171" s="96"/>
      <c r="F2171" s="96"/>
      <c r="G2171" s="96"/>
      <c r="H2171" s="96"/>
      <c r="I2171" s="96"/>
    </row>
    <row r="2172" spans="1:9" x14ac:dyDescent="0.25">
      <c r="A2172" s="131"/>
      <c r="B2172" s="96"/>
      <c r="C2172" s="96"/>
      <c r="D2172" s="96"/>
      <c r="E2172" s="96"/>
      <c r="F2172" s="96"/>
      <c r="G2172" s="96"/>
      <c r="H2172" s="96"/>
      <c r="I2172" s="96"/>
    </row>
    <row r="2173" spans="1:9" x14ac:dyDescent="0.25">
      <c r="A2173" s="131"/>
      <c r="B2173" s="96"/>
      <c r="C2173" s="96"/>
      <c r="D2173" s="96"/>
      <c r="E2173" s="96"/>
      <c r="F2173" s="96"/>
      <c r="G2173" s="96"/>
      <c r="H2173" s="96"/>
      <c r="I2173" s="96"/>
    </row>
    <row r="2174" spans="1:9" x14ac:dyDescent="0.25">
      <c r="A2174" s="131"/>
      <c r="B2174" s="96"/>
      <c r="C2174" s="96"/>
      <c r="D2174" s="96"/>
      <c r="E2174" s="96"/>
      <c r="F2174" s="96"/>
      <c r="G2174" s="96"/>
      <c r="H2174" s="96"/>
      <c r="I2174" s="96"/>
    </row>
    <row r="2175" spans="1:9" x14ac:dyDescent="0.25">
      <c r="A2175" s="131"/>
      <c r="B2175" s="96"/>
      <c r="C2175" s="96"/>
      <c r="D2175" s="96"/>
      <c r="E2175" s="96"/>
      <c r="F2175" s="96"/>
      <c r="G2175" s="96"/>
      <c r="H2175" s="96"/>
      <c r="I2175" s="96"/>
    </row>
    <row r="2176" spans="1:9" x14ac:dyDescent="0.25">
      <c r="A2176" s="131"/>
      <c r="B2176" s="96"/>
      <c r="C2176" s="96"/>
      <c r="D2176" s="96"/>
      <c r="E2176" s="96"/>
      <c r="F2176" s="96"/>
      <c r="G2176" s="96"/>
      <c r="H2176" s="96"/>
      <c r="I2176" s="96"/>
    </row>
    <row r="2177" spans="1:9" x14ac:dyDescent="0.25">
      <c r="A2177" s="131"/>
      <c r="B2177" s="96"/>
      <c r="C2177" s="96"/>
      <c r="D2177" s="96"/>
      <c r="E2177" s="96"/>
      <c r="F2177" s="96"/>
      <c r="G2177" s="96"/>
      <c r="H2177" s="96"/>
      <c r="I2177" s="96"/>
    </row>
    <row r="2178" spans="1:9" x14ac:dyDescent="0.25">
      <c r="A2178" s="131"/>
      <c r="B2178" s="96"/>
      <c r="C2178" s="96"/>
      <c r="D2178" s="96"/>
      <c r="E2178" s="96"/>
      <c r="F2178" s="96"/>
      <c r="G2178" s="96"/>
      <c r="H2178" s="96"/>
      <c r="I2178" s="96"/>
    </row>
    <row r="2179" spans="1:9" x14ac:dyDescent="0.25">
      <c r="A2179" s="131"/>
      <c r="B2179" s="96"/>
      <c r="C2179" s="96"/>
      <c r="D2179" s="96"/>
      <c r="E2179" s="96"/>
      <c r="F2179" s="96"/>
      <c r="G2179" s="96"/>
      <c r="H2179" s="96"/>
      <c r="I2179" s="96"/>
    </row>
    <row r="2180" spans="1:9" x14ac:dyDescent="0.25">
      <c r="A2180" s="131"/>
      <c r="B2180" s="96"/>
      <c r="C2180" s="96"/>
      <c r="D2180" s="96"/>
      <c r="E2180" s="96"/>
      <c r="F2180" s="96"/>
      <c r="G2180" s="96"/>
      <c r="H2180" s="96"/>
      <c r="I2180" s="96"/>
    </row>
    <row r="2181" spans="1:9" x14ac:dyDescent="0.25">
      <c r="A2181" s="131"/>
      <c r="B2181" s="96"/>
      <c r="C2181" s="96"/>
      <c r="D2181" s="96"/>
      <c r="E2181" s="96"/>
      <c r="F2181" s="96"/>
      <c r="G2181" s="96"/>
      <c r="H2181" s="96"/>
      <c r="I2181" s="96"/>
    </row>
    <row r="2182" spans="1:9" x14ac:dyDescent="0.25">
      <c r="A2182" s="131"/>
      <c r="B2182" s="96"/>
      <c r="C2182" s="96"/>
      <c r="D2182" s="96"/>
      <c r="E2182" s="96"/>
      <c r="F2182" s="96"/>
      <c r="G2182" s="96"/>
      <c r="H2182" s="96"/>
      <c r="I2182" s="96"/>
    </row>
    <row r="2183" spans="1:9" x14ac:dyDescent="0.25">
      <c r="A2183" s="131"/>
      <c r="B2183" s="96"/>
      <c r="C2183" s="96"/>
      <c r="D2183" s="96"/>
      <c r="E2183" s="96"/>
      <c r="F2183" s="96"/>
      <c r="G2183" s="96"/>
      <c r="H2183" s="96"/>
      <c r="I2183" s="96"/>
    </row>
    <row r="2184" spans="1:9" x14ac:dyDescent="0.25">
      <c r="A2184" s="131"/>
      <c r="B2184" s="96"/>
      <c r="C2184" s="96"/>
      <c r="D2184" s="96"/>
      <c r="E2184" s="96"/>
      <c r="F2184" s="96"/>
      <c r="G2184" s="96"/>
      <c r="H2184" s="96"/>
      <c r="I2184" s="96"/>
    </row>
    <row r="2185" spans="1:9" x14ac:dyDescent="0.25">
      <c r="A2185" s="131"/>
      <c r="B2185" s="96"/>
      <c r="C2185" s="96"/>
      <c r="D2185" s="96"/>
      <c r="E2185" s="96"/>
      <c r="F2185" s="96"/>
      <c r="G2185" s="96"/>
      <c r="H2185" s="96"/>
      <c r="I2185" s="96"/>
    </row>
    <row r="2186" spans="1:9" x14ac:dyDescent="0.25">
      <c r="A2186" s="131"/>
      <c r="B2186" s="96"/>
      <c r="C2186" s="96"/>
      <c r="D2186" s="96"/>
      <c r="E2186" s="96"/>
      <c r="F2186" s="96"/>
      <c r="G2186" s="96"/>
      <c r="H2186" s="96"/>
      <c r="I2186" s="96"/>
    </row>
    <row r="2187" spans="1:9" x14ac:dyDescent="0.25">
      <c r="A2187" s="131"/>
      <c r="B2187" s="96"/>
      <c r="C2187" s="96"/>
      <c r="D2187" s="96"/>
      <c r="E2187" s="96"/>
      <c r="F2187" s="96"/>
      <c r="G2187" s="96"/>
      <c r="H2187" s="96"/>
      <c r="I2187" s="96"/>
    </row>
    <row r="2188" spans="1:9" x14ac:dyDescent="0.25">
      <c r="A2188" s="131"/>
      <c r="B2188" s="96"/>
      <c r="C2188" s="96"/>
      <c r="D2188" s="96"/>
      <c r="E2188" s="96"/>
      <c r="F2188" s="96"/>
      <c r="G2188" s="96"/>
      <c r="H2188" s="96"/>
      <c r="I2188" s="96"/>
    </row>
    <row r="2189" spans="1:9" x14ac:dyDescent="0.25">
      <c r="A2189" s="131"/>
      <c r="B2189" s="96"/>
      <c r="C2189" s="96"/>
      <c r="D2189" s="96"/>
      <c r="E2189" s="96"/>
      <c r="F2189" s="96"/>
      <c r="G2189" s="96"/>
      <c r="H2189" s="96"/>
      <c r="I2189" s="96"/>
    </row>
    <row r="2190" spans="1:9" x14ac:dyDescent="0.25">
      <c r="A2190" s="131"/>
      <c r="B2190" s="96"/>
      <c r="C2190" s="96"/>
      <c r="D2190" s="96"/>
      <c r="E2190" s="96"/>
      <c r="F2190" s="96"/>
      <c r="G2190" s="96"/>
      <c r="H2190" s="96"/>
      <c r="I2190" s="96"/>
    </row>
    <row r="2191" spans="1:9" x14ac:dyDescent="0.25">
      <c r="A2191" s="131"/>
      <c r="B2191" s="96"/>
      <c r="C2191" s="96"/>
      <c r="D2191" s="96"/>
      <c r="E2191" s="96"/>
      <c r="F2191" s="96"/>
      <c r="G2191" s="96"/>
      <c r="H2191" s="96"/>
      <c r="I2191" s="96"/>
    </row>
    <row r="2192" spans="1:9" x14ac:dyDescent="0.25">
      <c r="A2192" s="131"/>
      <c r="B2192" s="96"/>
      <c r="C2192" s="96"/>
      <c r="D2192" s="96"/>
      <c r="E2192" s="96"/>
      <c r="F2192" s="96"/>
      <c r="G2192" s="96"/>
      <c r="H2192" s="96"/>
      <c r="I2192" s="96"/>
    </row>
    <row r="2193" spans="1:9" x14ac:dyDescent="0.25">
      <c r="A2193" s="131"/>
      <c r="B2193" s="96"/>
      <c r="C2193" s="96"/>
      <c r="D2193" s="96"/>
      <c r="E2193" s="96"/>
      <c r="F2193" s="96"/>
      <c r="G2193" s="96"/>
      <c r="H2193" s="96"/>
      <c r="I2193" s="96"/>
    </row>
    <row r="2194" spans="1:9" x14ac:dyDescent="0.25">
      <c r="A2194" s="131"/>
      <c r="B2194" s="96"/>
      <c r="C2194" s="96"/>
      <c r="D2194" s="96"/>
      <c r="E2194" s="96"/>
      <c r="F2194" s="96"/>
      <c r="G2194" s="96"/>
      <c r="H2194" s="96"/>
      <c r="I2194" s="96"/>
    </row>
    <row r="2195" spans="1:9" x14ac:dyDescent="0.25">
      <c r="A2195" s="131"/>
      <c r="B2195" s="96"/>
      <c r="C2195" s="96"/>
      <c r="D2195" s="96"/>
      <c r="E2195" s="96"/>
      <c r="F2195" s="96"/>
      <c r="G2195" s="96"/>
      <c r="H2195" s="96"/>
      <c r="I2195" s="96"/>
    </row>
    <row r="2196" spans="1:9" x14ac:dyDescent="0.25">
      <c r="A2196" s="131"/>
      <c r="B2196" s="96"/>
      <c r="C2196" s="96"/>
      <c r="D2196" s="96"/>
      <c r="E2196" s="96"/>
      <c r="F2196" s="96"/>
      <c r="G2196" s="96"/>
      <c r="H2196" s="96"/>
      <c r="I2196" s="96"/>
    </row>
    <row r="2197" spans="1:9" x14ac:dyDescent="0.25">
      <c r="A2197" s="131"/>
      <c r="B2197" s="96"/>
      <c r="C2197" s="96"/>
      <c r="D2197" s="96"/>
      <c r="E2197" s="96"/>
      <c r="F2197" s="96"/>
      <c r="G2197" s="96"/>
      <c r="H2197" s="96"/>
      <c r="I2197" s="96"/>
    </row>
    <row r="2198" spans="1:9" x14ac:dyDescent="0.25">
      <c r="A2198" s="131"/>
      <c r="B2198" s="96"/>
      <c r="C2198" s="96"/>
      <c r="D2198" s="96"/>
      <c r="E2198" s="96"/>
      <c r="F2198" s="96"/>
      <c r="G2198" s="96"/>
      <c r="H2198" s="96"/>
      <c r="I2198" s="96"/>
    </row>
    <row r="2199" spans="1:9" x14ac:dyDescent="0.25">
      <c r="A2199" s="131"/>
      <c r="B2199" s="96"/>
      <c r="C2199" s="96"/>
      <c r="D2199" s="96"/>
      <c r="E2199" s="96"/>
      <c r="F2199" s="96"/>
      <c r="G2199" s="96"/>
      <c r="H2199" s="96"/>
      <c r="I2199" s="96"/>
    </row>
    <row r="2200" spans="1:9" x14ac:dyDescent="0.25">
      <c r="A2200" s="131"/>
      <c r="B2200" s="96"/>
      <c r="C2200" s="96"/>
      <c r="D2200" s="96"/>
      <c r="E2200" s="96"/>
      <c r="F2200" s="96"/>
      <c r="G2200" s="96"/>
      <c r="H2200" s="96"/>
      <c r="I2200" s="96"/>
    </row>
    <row r="2201" spans="1:9" x14ac:dyDescent="0.25">
      <c r="A2201" s="131"/>
      <c r="B2201" s="96"/>
      <c r="C2201" s="96"/>
      <c r="D2201" s="96"/>
      <c r="E2201" s="96"/>
      <c r="F2201" s="96"/>
      <c r="G2201" s="96"/>
      <c r="H2201" s="96"/>
      <c r="I2201" s="96"/>
    </row>
    <row r="2202" spans="1:9" x14ac:dyDescent="0.25">
      <c r="A2202" s="131"/>
      <c r="B2202" s="96"/>
      <c r="C2202" s="96"/>
      <c r="D2202" s="96"/>
      <c r="E2202" s="96"/>
      <c r="F2202" s="96"/>
      <c r="G2202" s="96"/>
      <c r="H2202" s="96"/>
      <c r="I2202" s="96"/>
    </row>
    <row r="2203" spans="1:9" x14ac:dyDescent="0.25">
      <c r="A2203" s="131"/>
      <c r="B2203" s="96"/>
      <c r="C2203" s="96"/>
      <c r="D2203" s="96"/>
      <c r="E2203" s="96"/>
      <c r="F2203" s="96"/>
      <c r="G2203" s="96"/>
      <c r="H2203" s="96"/>
      <c r="I2203" s="96"/>
    </row>
    <row r="2204" spans="1:9" x14ac:dyDescent="0.25">
      <c r="A2204" s="131"/>
      <c r="B2204" s="96"/>
      <c r="C2204" s="96"/>
      <c r="D2204" s="96"/>
      <c r="E2204" s="96"/>
      <c r="F2204" s="96"/>
      <c r="G2204" s="96"/>
      <c r="H2204" s="96"/>
      <c r="I2204" s="96"/>
    </row>
    <row r="2205" spans="1:9" x14ac:dyDescent="0.25">
      <c r="A2205" s="131"/>
      <c r="B2205" s="96"/>
      <c r="C2205" s="96"/>
      <c r="D2205" s="96"/>
      <c r="E2205" s="96"/>
      <c r="F2205" s="96"/>
      <c r="G2205" s="96"/>
      <c r="H2205" s="96"/>
      <c r="I2205" s="96"/>
    </row>
    <row r="2206" spans="1:9" x14ac:dyDescent="0.25">
      <c r="A2206" s="131"/>
      <c r="B2206" s="96"/>
      <c r="C2206" s="96"/>
      <c r="D2206" s="96"/>
      <c r="E2206" s="96"/>
      <c r="F2206" s="96"/>
      <c r="G2206" s="96"/>
      <c r="H2206" s="96"/>
      <c r="I2206" s="96"/>
    </row>
    <row r="2207" spans="1:9" x14ac:dyDescent="0.25">
      <c r="A2207" s="131"/>
      <c r="B2207" s="96"/>
      <c r="C2207" s="96"/>
      <c r="D2207" s="96"/>
      <c r="E2207" s="96"/>
      <c r="F2207" s="96"/>
      <c r="G2207" s="96"/>
      <c r="H2207" s="96"/>
      <c r="I2207" s="96"/>
    </row>
    <row r="2208" spans="1:9" x14ac:dyDescent="0.25">
      <c r="A2208" s="131"/>
      <c r="B2208" s="96"/>
      <c r="C2208" s="96"/>
      <c r="D2208" s="96"/>
      <c r="E2208" s="96"/>
      <c r="F2208" s="96"/>
      <c r="G2208" s="96"/>
      <c r="H2208" s="96"/>
      <c r="I2208" s="96"/>
    </row>
    <row r="2209" spans="1:9" x14ac:dyDescent="0.25">
      <c r="A2209" s="131"/>
      <c r="B2209" s="96"/>
      <c r="C2209" s="96"/>
      <c r="D2209" s="96"/>
      <c r="E2209" s="96"/>
      <c r="F2209" s="96"/>
      <c r="G2209" s="96"/>
      <c r="H2209" s="96"/>
      <c r="I2209" s="96"/>
    </row>
    <row r="2210" spans="1:9" x14ac:dyDescent="0.25">
      <c r="A2210" s="131"/>
      <c r="B2210" s="96"/>
      <c r="C2210" s="96"/>
      <c r="D2210" s="96"/>
      <c r="E2210" s="96"/>
      <c r="F2210" s="96"/>
      <c r="G2210" s="96"/>
      <c r="H2210" s="96"/>
      <c r="I2210" s="96"/>
    </row>
    <row r="2211" spans="1:9" x14ac:dyDescent="0.25">
      <c r="A2211" s="131"/>
      <c r="B2211" s="96"/>
      <c r="C2211" s="96"/>
      <c r="D2211" s="96"/>
      <c r="E2211" s="96"/>
      <c r="F2211" s="96"/>
      <c r="G2211" s="96"/>
      <c r="H2211" s="96"/>
      <c r="I2211" s="96"/>
    </row>
    <row r="2212" spans="1:9" x14ac:dyDescent="0.25">
      <c r="A2212" s="131"/>
      <c r="B2212" s="96"/>
      <c r="C2212" s="96"/>
      <c r="D2212" s="96"/>
      <c r="E2212" s="96"/>
      <c r="F2212" s="96"/>
      <c r="G2212" s="96"/>
      <c r="H2212" s="96"/>
      <c r="I2212" s="96"/>
    </row>
    <row r="2213" spans="1:9" x14ac:dyDescent="0.25">
      <c r="A2213" s="131"/>
      <c r="B2213" s="96"/>
      <c r="C2213" s="96"/>
      <c r="D2213" s="96"/>
      <c r="E2213" s="96"/>
      <c r="F2213" s="96"/>
      <c r="G2213" s="96"/>
      <c r="H2213" s="96"/>
      <c r="I2213" s="96"/>
    </row>
    <row r="2214" spans="1:9" x14ac:dyDescent="0.25">
      <c r="A2214" s="131"/>
      <c r="B2214" s="96"/>
      <c r="C2214" s="96"/>
      <c r="D2214" s="96"/>
      <c r="E2214" s="96"/>
      <c r="F2214" s="96"/>
      <c r="G2214" s="96"/>
      <c r="H2214" s="96"/>
      <c r="I2214" s="96"/>
    </row>
    <row r="2215" spans="1:9" x14ac:dyDescent="0.25">
      <c r="A2215" s="131"/>
      <c r="B2215" s="96"/>
      <c r="C2215" s="96"/>
      <c r="D2215" s="96"/>
      <c r="E2215" s="96"/>
      <c r="F2215" s="96"/>
      <c r="G2215" s="96"/>
      <c r="H2215" s="96"/>
      <c r="I2215" s="96"/>
    </row>
    <row r="2216" spans="1:9" x14ac:dyDescent="0.25">
      <c r="A2216" s="131"/>
      <c r="B2216" s="96"/>
      <c r="C2216" s="96"/>
      <c r="D2216" s="96"/>
      <c r="E2216" s="96"/>
      <c r="F2216" s="96"/>
      <c r="G2216" s="96"/>
      <c r="H2216" s="96"/>
      <c r="I2216" s="96"/>
    </row>
    <row r="2217" spans="1:9" x14ac:dyDescent="0.25">
      <c r="A2217" s="131"/>
      <c r="B2217" s="96"/>
      <c r="C2217" s="96"/>
      <c r="D2217" s="96"/>
      <c r="E2217" s="96"/>
      <c r="F2217" s="96"/>
      <c r="G2217" s="96"/>
      <c r="H2217" s="96"/>
      <c r="I2217" s="96"/>
    </row>
    <row r="2218" spans="1:9" x14ac:dyDescent="0.25">
      <c r="A2218" s="131"/>
      <c r="B2218" s="96"/>
      <c r="C2218" s="96"/>
      <c r="D2218" s="96"/>
      <c r="E2218" s="96"/>
      <c r="F2218" s="96"/>
      <c r="G2218" s="96"/>
      <c r="H2218" s="96"/>
      <c r="I2218" s="96"/>
    </row>
    <row r="2219" spans="1:9" x14ac:dyDescent="0.25">
      <c r="A2219" s="131"/>
      <c r="B2219" s="96"/>
      <c r="C2219" s="96"/>
      <c r="D2219" s="96"/>
      <c r="E2219" s="96"/>
      <c r="F2219" s="96"/>
      <c r="G2219" s="96"/>
      <c r="H2219" s="96"/>
      <c r="I2219" s="96"/>
    </row>
    <row r="2220" spans="1:9" x14ac:dyDescent="0.25">
      <c r="A2220" s="131"/>
      <c r="B2220" s="96"/>
      <c r="C2220" s="96"/>
      <c r="D2220" s="96"/>
      <c r="E2220" s="96"/>
      <c r="F2220" s="96"/>
      <c r="G2220" s="96"/>
      <c r="H2220" s="96"/>
      <c r="I2220" s="96"/>
    </row>
    <row r="2221" spans="1:9" x14ac:dyDescent="0.25">
      <c r="A2221" s="131"/>
      <c r="B2221" s="96"/>
      <c r="C2221" s="96"/>
      <c r="D2221" s="96"/>
      <c r="E2221" s="96"/>
      <c r="F2221" s="96"/>
      <c r="G2221" s="96"/>
      <c r="H2221" s="96"/>
      <c r="I2221" s="96"/>
    </row>
    <row r="2222" spans="1:9" x14ac:dyDescent="0.25">
      <c r="A2222" s="131"/>
      <c r="B2222" s="96"/>
      <c r="C2222" s="96"/>
      <c r="D2222" s="96"/>
      <c r="E2222" s="96"/>
      <c r="F2222" s="96"/>
      <c r="G2222" s="96"/>
      <c r="H2222" s="96"/>
      <c r="I2222" s="96"/>
    </row>
    <row r="2223" spans="1:9" x14ac:dyDescent="0.25">
      <c r="A2223" s="131"/>
      <c r="B2223" s="96"/>
      <c r="C2223" s="96"/>
      <c r="D2223" s="96"/>
      <c r="E2223" s="96"/>
      <c r="F2223" s="96"/>
      <c r="G2223" s="96"/>
      <c r="H2223" s="96"/>
      <c r="I2223" s="96"/>
    </row>
    <row r="2224" spans="1:9" x14ac:dyDescent="0.25">
      <c r="A2224" s="131"/>
      <c r="B2224" s="96"/>
      <c r="C2224" s="96"/>
      <c r="D2224" s="96"/>
      <c r="E2224" s="96"/>
      <c r="F2224" s="96"/>
      <c r="G2224" s="96"/>
      <c r="H2224" s="96"/>
      <c r="I2224" s="96"/>
    </row>
    <row r="2225" spans="1:9" x14ac:dyDescent="0.25">
      <c r="A2225" s="131"/>
      <c r="B2225" s="96"/>
      <c r="C2225" s="96"/>
      <c r="D2225" s="96"/>
      <c r="E2225" s="96"/>
      <c r="F2225" s="96"/>
      <c r="G2225" s="96"/>
      <c r="H2225" s="96"/>
      <c r="I2225" s="96"/>
    </row>
    <row r="2226" spans="1:9" x14ac:dyDescent="0.25">
      <c r="A2226" s="131"/>
      <c r="B2226" s="96"/>
      <c r="C2226" s="96"/>
      <c r="D2226" s="96"/>
      <c r="E2226" s="96"/>
      <c r="F2226" s="96"/>
      <c r="G2226" s="96"/>
      <c r="H2226" s="96"/>
      <c r="I2226" s="96"/>
    </row>
    <row r="2227" spans="1:9" x14ac:dyDescent="0.25">
      <c r="A2227" s="131"/>
      <c r="B2227" s="96"/>
      <c r="C2227" s="96"/>
      <c r="D2227" s="96"/>
      <c r="E2227" s="96"/>
      <c r="F2227" s="96"/>
      <c r="G2227" s="96"/>
      <c r="H2227" s="96"/>
      <c r="I2227" s="96"/>
    </row>
    <row r="2228" spans="1:9" x14ac:dyDescent="0.25">
      <c r="A2228" s="131"/>
      <c r="B2228" s="96"/>
      <c r="C2228" s="96"/>
      <c r="D2228" s="96"/>
      <c r="E2228" s="96"/>
      <c r="F2228" s="96"/>
      <c r="G2228" s="96"/>
      <c r="H2228" s="96"/>
      <c r="I2228" s="96"/>
    </row>
    <row r="2229" spans="1:9" x14ac:dyDescent="0.25">
      <c r="A2229" s="131"/>
      <c r="B2229" s="96"/>
      <c r="C2229" s="96"/>
      <c r="D2229" s="96"/>
      <c r="E2229" s="96"/>
      <c r="F2229" s="96"/>
      <c r="G2229" s="96"/>
      <c r="H2229" s="96"/>
      <c r="I2229" s="96"/>
    </row>
    <row r="2230" spans="1:9" x14ac:dyDescent="0.25">
      <c r="A2230" s="131"/>
      <c r="B2230" s="96"/>
      <c r="C2230" s="96"/>
      <c r="D2230" s="96"/>
      <c r="E2230" s="96"/>
      <c r="F2230" s="96"/>
      <c r="G2230" s="96"/>
      <c r="H2230" s="96"/>
      <c r="I2230" s="96"/>
    </row>
    <row r="2231" spans="1:9" x14ac:dyDescent="0.25">
      <c r="A2231" s="131"/>
      <c r="B2231" s="96"/>
      <c r="C2231" s="96"/>
      <c r="D2231" s="96"/>
      <c r="E2231" s="96"/>
      <c r="F2231" s="96"/>
      <c r="G2231" s="96"/>
      <c r="H2231" s="96"/>
      <c r="I2231" s="96"/>
    </row>
    <row r="2232" spans="1:9" x14ac:dyDescent="0.25">
      <c r="A2232" s="131"/>
      <c r="B2232" s="96"/>
      <c r="C2232" s="96"/>
      <c r="D2232" s="96"/>
      <c r="E2232" s="96"/>
      <c r="F2232" s="96"/>
      <c r="G2232" s="96"/>
      <c r="H2232" s="96"/>
      <c r="I2232" s="96"/>
    </row>
    <row r="2233" spans="1:9" x14ac:dyDescent="0.25">
      <c r="A2233" s="131"/>
      <c r="B2233" s="96"/>
      <c r="C2233" s="96"/>
      <c r="D2233" s="96"/>
      <c r="E2233" s="96"/>
      <c r="F2233" s="96"/>
      <c r="G2233" s="96"/>
      <c r="H2233" s="96"/>
      <c r="I2233" s="96"/>
    </row>
    <row r="2234" spans="1:9" x14ac:dyDescent="0.25">
      <c r="A2234" s="131"/>
      <c r="B2234" s="96"/>
      <c r="C2234" s="96"/>
      <c r="D2234" s="96"/>
      <c r="E2234" s="96"/>
      <c r="F2234" s="96"/>
      <c r="G2234" s="96"/>
      <c r="H2234" s="96"/>
      <c r="I2234" s="96"/>
    </row>
    <row r="2235" spans="1:9" x14ac:dyDescent="0.25">
      <c r="A2235" s="131"/>
      <c r="B2235" s="96"/>
      <c r="C2235" s="96"/>
      <c r="D2235" s="96"/>
      <c r="E2235" s="96"/>
      <c r="F2235" s="96"/>
      <c r="G2235" s="96"/>
      <c r="H2235" s="96"/>
      <c r="I2235" s="96"/>
    </row>
    <row r="2236" spans="1:9" x14ac:dyDescent="0.25">
      <c r="A2236" s="131"/>
      <c r="B2236" s="96"/>
      <c r="C2236" s="96"/>
      <c r="D2236" s="96"/>
      <c r="E2236" s="96"/>
      <c r="F2236" s="96"/>
      <c r="G2236" s="96"/>
      <c r="H2236" s="96"/>
      <c r="I2236" s="96"/>
    </row>
    <row r="2237" spans="1:9" x14ac:dyDescent="0.25">
      <c r="A2237" s="131"/>
      <c r="B2237" s="96"/>
      <c r="C2237" s="96"/>
      <c r="D2237" s="96"/>
      <c r="E2237" s="96"/>
      <c r="F2237" s="96"/>
      <c r="G2237" s="96"/>
      <c r="H2237" s="96"/>
      <c r="I2237" s="96"/>
    </row>
    <row r="2238" spans="1:9" x14ac:dyDescent="0.25">
      <c r="A2238" s="131"/>
      <c r="B2238" s="96"/>
      <c r="C2238" s="96"/>
      <c r="D2238" s="96"/>
      <c r="E2238" s="96"/>
      <c r="F2238" s="96"/>
      <c r="G2238" s="96"/>
      <c r="H2238" s="96"/>
      <c r="I2238" s="96"/>
    </row>
    <row r="2239" spans="1:9" x14ac:dyDescent="0.25">
      <c r="A2239" s="131"/>
      <c r="B2239" s="96"/>
      <c r="C2239" s="96"/>
      <c r="D2239" s="96"/>
      <c r="E2239" s="96"/>
      <c r="F2239" s="96"/>
      <c r="G2239" s="96"/>
      <c r="H2239" s="96"/>
      <c r="I2239" s="96"/>
    </row>
    <row r="2240" spans="1:9" x14ac:dyDescent="0.25">
      <c r="A2240" s="131"/>
      <c r="B2240" s="96"/>
      <c r="C2240" s="96"/>
      <c r="D2240" s="96"/>
      <c r="E2240" s="96"/>
      <c r="F2240" s="96"/>
      <c r="G2240" s="96"/>
      <c r="H2240" s="96"/>
      <c r="I2240" s="96"/>
    </row>
    <row r="2241" spans="1:9" x14ac:dyDescent="0.25">
      <c r="A2241" s="131"/>
      <c r="B2241" s="96"/>
      <c r="C2241" s="96"/>
      <c r="D2241" s="96"/>
      <c r="E2241" s="96"/>
      <c r="F2241" s="96"/>
      <c r="G2241" s="96"/>
      <c r="H2241" s="96"/>
      <c r="I2241" s="96"/>
    </row>
    <row r="2242" spans="1:9" x14ac:dyDescent="0.25">
      <c r="A2242" s="131"/>
      <c r="B2242" s="96"/>
      <c r="C2242" s="96"/>
      <c r="D2242" s="96"/>
      <c r="E2242" s="96"/>
      <c r="F2242" s="96"/>
      <c r="G2242" s="96"/>
      <c r="H2242" s="96"/>
      <c r="I2242" s="96"/>
    </row>
    <row r="2243" spans="1:9" x14ac:dyDescent="0.25">
      <c r="A2243" s="131"/>
      <c r="B2243" s="96"/>
      <c r="C2243" s="96"/>
      <c r="D2243" s="96"/>
      <c r="E2243" s="96"/>
      <c r="F2243" s="96"/>
      <c r="G2243" s="96"/>
      <c r="H2243" s="96"/>
      <c r="I2243" s="96"/>
    </row>
  </sheetData>
  <autoFilter ref="A1:M193" xr:uid="{00000000-0009-0000-0000-000002000000}"/>
  <phoneticPr fontId="16" type="noConversion"/>
  <pageMargins left="0.7" right="0.7" top="0.75" bottom="0.75" header="0.3" footer="0.3"/>
  <pageSetup paperSize="9" scale="3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9F11C6-C02E-4575-9B36-9D2863CE45E6}">
            <xm:f>AND(C2&lt;&gt;"",SUMPRODUCT(--EXACT(C2,'Plate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C2:H97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Q370"/>
  <sheetViews>
    <sheetView zoomScale="90" zoomScaleNormal="90" workbookViewId="0">
      <selection activeCell="F9" sqref="F9"/>
    </sheetView>
  </sheetViews>
  <sheetFormatPr baseColWidth="10" defaultRowHeight="15" x14ac:dyDescent="0.25"/>
  <cols>
    <col min="1" max="1" width="16.42578125" style="1" bestFit="1" customWidth="1"/>
    <col min="3" max="3" width="21.42578125" style="96" customWidth="1"/>
    <col min="4" max="4" width="16.7109375" style="98" customWidth="1"/>
    <col min="5" max="5" width="16.140625" style="46" bestFit="1" customWidth="1"/>
    <col min="6" max="7" width="21.42578125" style="109" customWidth="1"/>
  </cols>
  <sheetData>
    <row r="1" spans="1:17" ht="15.75" thickBot="1" x14ac:dyDescent="0.3">
      <c r="A1" s="74" t="s">
        <v>154</v>
      </c>
      <c r="B1" s="60" t="s">
        <v>11</v>
      </c>
      <c r="C1" s="85" t="s">
        <v>146</v>
      </c>
      <c r="D1" s="82" t="s">
        <v>148</v>
      </c>
      <c r="E1" s="83" t="s">
        <v>149</v>
      </c>
      <c r="F1" s="84" t="s">
        <v>150</v>
      </c>
      <c r="G1" s="84" t="s">
        <v>160</v>
      </c>
      <c r="H1" s="161" t="s">
        <v>180</v>
      </c>
      <c r="I1" s="162"/>
      <c r="J1" s="162"/>
      <c r="K1" s="162"/>
      <c r="L1" s="162"/>
      <c r="M1" s="162"/>
      <c r="N1" s="162"/>
      <c r="O1" s="162"/>
      <c r="P1" s="162"/>
      <c r="Q1" s="162"/>
    </row>
    <row r="2" spans="1:17" x14ac:dyDescent="0.25">
      <c r="A2" s="70">
        <v>1</v>
      </c>
      <c r="B2" s="71" t="s">
        <v>12</v>
      </c>
      <c r="C2" s="102"/>
      <c r="D2" s="94"/>
      <c r="E2" s="220"/>
      <c r="F2" s="221"/>
      <c r="G2" s="221"/>
    </row>
    <row r="3" spans="1:17" x14ac:dyDescent="0.25">
      <c r="A3" s="72">
        <v>2</v>
      </c>
      <c r="B3" s="28" t="s">
        <v>13</v>
      </c>
      <c r="C3" s="100"/>
      <c r="D3" s="78"/>
      <c r="E3" s="79"/>
      <c r="F3" s="222"/>
      <c r="G3" s="222"/>
      <c r="H3" s="162" t="s">
        <v>183</v>
      </c>
      <c r="I3" s="162"/>
      <c r="J3" s="162"/>
      <c r="K3" s="162"/>
      <c r="L3" s="162"/>
      <c r="M3" s="162"/>
      <c r="N3" s="162"/>
      <c r="O3" s="162"/>
    </row>
    <row r="4" spans="1:17" x14ac:dyDescent="0.25">
      <c r="A4" s="72">
        <v>3</v>
      </c>
      <c r="B4" s="28" t="s">
        <v>14</v>
      </c>
      <c r="C4" s="100"/>
      <c r="D4" s="78"/>
      <c r="E4" s="79"/>
      <c r="F4" s="222"/>
      <c r="G4" s="222"/>
    </row>
    <row r="5" spans="1:17" x14ac:dyDescent="0.25">
      <c r="A5" s="72">
        <v>4</v>
      </c>
      <c r="B5" s="28" t="s">
        <v>15</v>
      </c>
      <c r="C5" s="100"/>
      <c r="D5" s="78"/>
      <c r="E5" s="79"/>
      <c r="F5" s="222"/>
      <c r="G5" s="222"/>
    </row>
    <row r="6" spans="1:17" x14ac:dyDescent="0.25">
      <c r="A6" s="72">
        <v>5</v>
      </c>
      <c r="B6" s="28" t="s">
        <v>16</v>
      </c>
      <c r="C6" s="100"/>
      <c r="D6" s="78"/>
      <c r="E6" s="79"/>
      <c r="F6" s="222"/>
      <c r="G6" s="222"/>
    </row>
    <row r="7" spans="1:17" x14ac:dyDescent="0.25">
      <c r="A7" s="72">
        <v>6</v>
      </c>
      <c r="B7" s="28" t="s">
        <v>17</v>
      </c>
      <c r="C7" s="100"/>
      <c r="D7" s="78"/>
      <c r="E7" s="79"/>
      <c r="F7" s="222"/>
      <c r="G7" s="222"/>
    </row>
    <row r="8" spans="1:17" x14ac:dyDescent="0.25">
      <c r="A8" s="72">
        <v>7</v>
      </c>
      <c r="B8" s="28" t="s">
        <v>18</v>
      </c>
      <c r="C8" s="100"/>
      <c r="D8" s="78"/>
      <c r="E8" s="79"/>
      <c r="F8" s="222"/>
      <c r="G8" s="222"/>
    </row>
    <row r="9" spans="1:17" ht="15.75" thickBot="1" x14ac:dyDescent="0.3">
      <c r="A9" s="73">
        <v>8</v>
      </c>
      <c r="B9" s="29" t="s">
        <v>19</v>
      </c>
      <c r="C9" s="101" t="s">
        <v>147</v>
      </c>
      <c r="D9" s="95" t="s">
        <v>115</v>
      </c>
      <c r="E9" s="223" t="s">
        <v>164</v>
      </c>
      <c r="F9" s="224" t="s">
        <v>196</v>
      </c>
      <c r="G9" s="224"/>
    </row>
    <row r="10" spans="1:17" x14ac:dyDescent="0.25">
      <c r="A10" s="70">
        <v>9</v>
      </c>
      <c r="B10" s="71" t="s">
        <v>20</v>
      </c>
      <c r="C10" s="102"/>
      <c r="D10" s="94"/>
      <c r="E10" s="220"/>
      <c r="F10" s="221"/>
      <c r="G10" s="221"/>
    </row>
    <row r="11" spans="1:17" x14ac:dyDescent="0.25">
      <c r="A11" s="72">
        <v>10</v>
      </c>
      <c r="B11" s="28" t="s">
        <v>21</v>
      </c>
      <c r="C11" s="100"/>
      <c r="D11" s="78"/>
      <c r="E11" s="79"/>
      <c r="F11" s="222"/>
      <c r="G11" s="222"/>
    </row>
    <row r="12" spans="1:17" x14ac:dyDescent="0.25">
      <c r="A12" s="72">
        <v>11</v>
      </c>
      <c r="B12" s="28" t="s">
        <v>22</v>
      </c>
      <c r="C12" s="100"/>
      <c r="D12" s="78"/>
      <c r="E12" s="79"/>
      <c r="F12" s="222"/>
      <c r="G12" s="222"/>
    </row>
    <row r="13" spans="1:17" x14ac:dyDescent="0.25">
      <c r="A13" s="72">
        <v>12</v>
      </c>
      <c r="B13" s="28" t="s">
        <v>23</v>
      </c>
      <c r="C13" s="100"/>
      <c r="D13" s="78"/>
      <c r="E13" s="79"/>
      <c r="F13" s="222"/>
      <c r="G13" s="222"/>
    </row>
    <row r="14" spans="1:17" x14ac:dyDescent="0.25">
      <c r="A14" s="72">
        <v>13</v>
      </c>
      <c r="B14" s="28" t="s">
        <v>24</v>
      </c>
      <c r="C14" s="100"/>
      <c r="D14" s="78"/>
      <c r="E14" s="79"/>
      <c r="F14" s="222"/>
      <c r="G14" s="222"/>
    </row>
    <row r="15" spans="1:17" x14ac:dyDescent="0.25">
      <c r="A15" s="72">
        <v>14</v>
      </c>
      <c r="B15" s="28" t="s">
        <v>25</v>
      </c>
      <c r="C15" s="100"/>
      <c r="D15" s="78"/>
      <c r="E15" s="79"/>
      <c r="F15" s="222"/>
      <c r="G15" s="222"/>
    </row>
    <row r="16" spans="1:17" x14ac:dyDescent="0.25">
      <c r="A16" s="72">
        <v>15</v>
      </c>
      <c r="B16" s="28" t="s">
        <v>26</v>
      </c>
      <c r="C16" s="100"/>
      <c r="D16" s="78"/>
      <c r="E16" s="79"/>
      <c r="F16" s="222"/>
      <c r="G16" s="222"/>
    </row>
    <row r="17" spans="1:7" ht="15.75" thickBot="1" x14ac:dyDescent="0.3">
      <c r="A17" s="73">
        <v>16</v>
      </c>
      <c r="B17" s="29" t="s">
        <v>27</v>
      </c>
      <c r="C17" s="101"/>
      <c r="D17" s="95"/>
      <c r="E17" s="223"/>
      <c r="F17" s="224"/>
      <c r="G17" s="224"/>
    </row>
    <row r="18" spans="1:7" x14ac:dyDescent="0.25">
      <c r="A18" s="70">
        <v>17</v>
      </c>
      <c r="B18" s="71" t="s">
        <v>28</v>
      </c>
      <c r="C18" s="102"/>
      <c r="D18" s="94"/>
      <c r="E18" s="220"/>
      <c r="F18" s="221"/>
      <c r="G18" s="221"/>
    </row>
    <row r="19" spans="1:7" x14ac:dyDescent="0.25">
      <c r="A19" s="72">
        <v>18</v>
      </c>
      <c r="B19" s="28" t="s">
        <v>29</v>
      </c>
      <c r="C19" s="100"/>
      <c r="D19" s="78"/>
      <c r="E19" s="79"/>
      <c r="F19" s="222"/>
      <c r="G19" s="222"/>
    </row>
    <row r="20" spans="1:7" x14ac:dyDescent="0.25">
      <c r="A20" s="72">
        <v>19</v>
      </c>
      <c r="B20" s="28" t="s">
        <v>30</v>
      </c>
      <c r="C20" s="100"/>
      <c r="D20" s="78"/>
      <c r="E20" s="79"/>
      <c r="F20" s="222"/>
      <c r="G20" s="222"/>
    </row>
    <row r="21" spans="1:7" x14ac:dyDescent="0.25">
      <c r="A21" s="72">
        <v>20</v>
      </c>
      <c r="B21" s="28" t="s">
        <v>31</v>
      </c>
      <c r="C21" s="100"/>
      <c r="D21" s="78"/>
      <c r="E21" s="79"/>
      <c r="F21" s="222"/>
      <c r="G21" s="222"/>
    </row>
    <row r="22" spans="1:7" x14ac:dyDescent="0.25">
      <c r="A22" s="72">
        <v>21</v>
      </c>
      <c r="B22" s="28" t="s">
        <v>32</v>
      </c>
      <c r="C22" s="100"/>
      <c r="D22" s="78"/>
      <c r="E22" s="79"/>
      <c r="F22" s="222"/>
      <c r="G22" s="222"/>
    </row>
    <row r="23" spans="1:7" x14ac:dyDescent="0.25">
      <c r="A23" s="72">
        <v>22</v>
      </c>
      <c r="B23" s="28" t="s">
        <v>33</v>
      </c>
      <c r="C23" s="100"/>
      <c r="D23" s="78"/>
      <c r="E23" s="79"/>
      <c r="F23" s="222"/>
      <c r="G23" s="222"/>
    </row>
    <row r="24" spans="1:7" x14ac:dyDescent="0.25">
      <c r="A24" s="72">
        <v>23</v>
      </c>
      <c r="B24" s="28" t="s">
        <v>34</v>
      </c>
      <c r="C24" s="100"/>
      <c r="D24" s="78"/>
      <c r="E24" s="79"/>
      <c r="F24" s="222"/>
      <c r="G24" s="222"/>
    </row>
    <row r="25" spans="1:7" ht="15.75" thickBot="1" x14ac:dyDescent="0.3">
      <c r="A25" s="73">
        <v>24</v>
      </c>
      <c r="B25" s="29" t="s">
        <v>35</v>
      </c>
      <c r="C25" s="101"/>
      <c r="D25" s="95"/>
      <c r="E25" s="223"/>
      <c r="F25" s="224"/>
      <c r="G25" s="224"/>
    </row>
    <row r="26" spans="1:7" x14ac:dyDescent="0.25">
      <c r="A26" s="70">
        <v>25</v>
      </c>
      <c r="B26" s="71" t="s">
        <v>36</v>
      </c>
      <c r="C26" s="102"/>
      <c r="D26" s="94"/>
      <c r="E26" s="220"/>
      <c r="F26" s="221"/>
      <c r="G26" s="221"/>
    </row>
    <row r="27" spans="1:7" x14ac:dyDescent="0.25">
      <c r="A27" s="72">
        <v>26</v>
      </c>
      <c r="B27" s="28" t="s">
        <v>37</v>
      </c>
      <c r="C27" s="100"/>
      <c r="D27" s="78"/>
      <c r="E27" s="79"/>
      <c r="F27" s="222"/>
      <c r="G27" s="222"/>
    </row>
    <row r="28" spans="1:7" x14ac:dyDescent="0.25">
      <c r="A28" s="72">
        <v>27</v>
      </c>
      <c r="B28" s="28" t="s">
        <v>38</v>
      </c>
      <c r="C28" s="100"/>
      <c r="D28" s="78"/>
      <c r="E28" s="79"/>
      <c r="F28" s="222"/>
      <c r="G28" s="222"/>
    </row>
    <row r="29" spans="1:7" x14ac:dyDescent="0.25">
      <c r="A29" s="72">
        <v>28</v>
      </c>
      <c r="B29" s="28" t="s">
        <v>39</v>
      </c>
      <c r="C29" s="100"/>
      <c r="D29" s="78"/>
      <c r="E29" s="79"/>
      <c r="F29" s="222"/>
      <c r="G29" s="222"/>
    </row>
    <row r="30" spans="1:7" x14ac:dyDescent="0.25">
      <c r="A30" s="72">
        <v>29</v>
      </c>
      <c r="B30" s="28" t="s">
        <v>40</v>
      </c>
      <c r="C30" s="100"/>
      <c r="D30" s="78"/>
      <c r="E30" s="79"/>
      <c r="F30" s="222"/>
      <c r="G30" s="222"/>
    </row>
    <row r="31" spans="1:7" x14ac:dyDescent="0.25">
      <c r="A31" s="72">
        <v>30</v>
      </c>
      <c r="B31" s="28" t="s">
        <v>41</v>
      </c>
      <c r="C31" s="100"/>
      <c r="D31" s="78"/>
      <c r="E31" s="79"/>
      <c r="F31" s="222"/>
      <c r="G31" s="222"/>
    </row>
    <row r="32" spans="1:7" x14ac:dyDescent="0.25">
      <c r="A32" s="72">
        <v>31</v>
      </c>
      <c r="B32" s="28" t="s">
        <v>42</v>
      </c>
      <c r="C32" s="100"/>
      <c r="D32" s="78"/>
      <c r="E32" s="79"/>
      <c r="F32" s="222"/>
      <c r="G32" s="222"/>
    </row>
    <row r="33" spans="1:7" ht="15.75" thickBot="1" x14ac:dyDescent="0.3">
      <c r="A33" s="73">
        <v>32</v>
      </c>
      <c r="B33" s="29" t="s">
        <v>43</v>
      </c>
      <c r="C33" s="101"/>
      <c r="D33" s="95"/>
      <c r="E33" s="223"/>
      <c r="F33" s="224"/>
      <c r="G33" s="224"/>
    </row>
    <row r="34" spans="1:7" x14ac:dyDescent="0.25">
      <c r="A34" s="70">
        <v>33</v>
      </c>
      <c r="B34" s="71" t="s">
        <v>44</v>
      </c>
      <c r="C34" s="102"/>
      <c r="D34" s="94"/>
      <c r="E34" s="220"/>
      <c r="F34" s="221"/>
      <c r="G34" s="221"/>
    </row>
    <row r="35" spans="1:7" x14ac:dyDescent="0.25">
      <c r="A35" s="72">
        <v>34</v>
      </c>
      <c r="B35" s="28" t="s">
        <v>45</v>
      </c>
      <c r="C35" s="100"/>
      <c r="D35" s="78"/>
      <c r="E35" s="79"/>
      <c r="F35" s="222"/>
      <c r="G35" s="222"/>
    </row>
    <row r="36" spans="1:7" x14ac:dyDescent="0.25">
      <c r="A36" s="72">
        <v>35</v>
      </c>
      <c r="B36" s="28" t="s">
        <v>46</v>
      </c>
      <c r="C36" s="100"/>
      <c r="D36" s="78"/>
      <c r="E36" s="79"/>
      <c r="F36" s="222"/>
      <c r="G36" s="222"/>
    </row>
    <row r="37" spans="1:7" x14ac:dyDescent="0.25">
      <c r="A37" s="72">
        <v>36</v>
      </c>
      <c r="B37" s="28" t="s">
        <v>47</v>
      </c>
      <c r="C37" s="100"/>
      <c r="D37" s="78"/>
      <c r="E37" s="79"/>
      <c r="F37" s="222"/>
      <c r="G37" s="222"/>
    </row>
    <row r="38" spans="1:7" x14ac:dyDescent="0.25">
      <c r="A38" s="72">
        <v>37</v>
      </c>
      <c r="B38" s="28" t="s">
        <v>48</v>
      </c>
      <c r="C38" s="100"/>
      <c r="D38" s="78"/>
      <c r="E38" s="79"/>
      <c r="F38" s="222"/>
      <c r="G38" s="222"/>
    </row>
    <row r="39" spans="1:7" x14ac:dyDescent="0.25">
      <c r="A39" s="72">
        <v>38</v>
      </c>
      <c r="B39" s="28" t="s">
        <v>49</v>
      </c>
      <c r="C39" s="100"/>
      <c r="D39" s="78"/>
      <c r="E39" s="79"/>
      <c r="F39" s="222"/>
      <c r="G39" s="222"/>
    </row>
    <row r="40" spans="1:7" x14ac:dyDescent="0.25">
      <c r="A40" s="72">
        <v>39</v>
      </c>
      <c r="B40" s="28" t="s">
        <v>50</v>
      </c>
      <c r="C40" s="100"/>
      <c r="D40" s="78"/>
      <c r="E40" s="79"/>
      <c r="F40" s="222"/>
      <c r="G40" s="222"/>
    </row>
    <row r="41" spans="1:7" ht="15.75" thickBot="1" x14ac:dyDescent="0.3">
      <c r="A41" s="73">
        <v>40</v>
      </c>
      <c r="B41" s="29" t="s">
        <v>51</v>
      </c>
      <c r="C41" s="101"/>
      <c r="D41" s="95"/>
      <c r="E41" s="223"/>
      <c r="F41" s="224"/>
      <c r="G41" s="224"/>
    </row>
    <row r="42" spans="1:7" x14ac:dyDescent="0.25">
      <c r="A42" s="70">
        <v>41</v>
      </c>
      <c r="B42" s="71" t="s">
        <v>52</v>
      </c>
      <c r="C42" s="102"/>
      <c r="D42" s="94"/>
      <c r="E42" s="220"/>
      <c r="F42" s="221"/>
      <c r="G42" s="221"/>
    </row>
    <row r="43" spans="1:7" x14ac:dyDescent="0.25">
      <c r="A43" s="72">
        <v>42</v>
      </c>
      <c r="B43" s="28" t="s">
        <v>53</v>
      </c>
      <c r="C43" s="100"/>
      <c r="D43" s="78"/>
      <c r="E43" s="79"/>
      <c r="F43" s="222"/>
      <c r="G43" s="222"/>
    </row>
    <row r="44" spans="1:7" x14ac:dyDescent="0.25">
      <c r="A44" s="72">
        <v>43</v>
      </c>
      <c r="B44" s="28" t="s">
        <v>54</v>
      </c>
      <c r="C44" s="100"/>
      <c r="D44" s="78"/>
      <c r="E44" s="79"/>
      <c r="F44" s="222"/>
      <c r="G44" s="222"/>
    </row>
    <row r="45" spans="1:7" x14ac:dyDescent="0.25">
      <c r="A45" s="72">
        <v>44</v>
      </c>
      <c r="B45" s="28" t="s">
        <v>55</v>
      </c>
      <c r="C45" s="100"/>
      <c r="D45" s="78"/>
      <c r="E45" s="79"/>
      <c r="F45" s="222"/>
      <c r="G45" s="222"/>
    </row>
    <row r="46" spans="1:7" x14ac:dyDescent="0.25">
      <c r="A46" s="72">
        <v>45</v>
      </c>
      <c r="B46" s="28" t="s">
        <v>56</v>
      </c>
      <c r="C46" s="100"/>
      <c r="D46" s="78"/>
      <c r="E46" s="79"/>
      <c r="F46" s="222"/>
      <c r="G46" s="222"/>
    </row>
    <row r="47" spans="1:7" x14ac:dyDescent="0.25">
      <c r="A47" s="72">
        <v>46</v>
      </c>
      <c r="B47" s="28" t="s">
        <v>57</v>
      </c>
      <c r="C47" s="100"/>
      <c r="D47" s="78"/>
      <c r="E47" s="79"/>
      <c r="F47" s="222"/>
      <c r="G47" s="222"/>
    </row>
    <row r="48" spans="1:7" x14ac:dyDescent="0.25">
      <c r="A48" s="72">
        <v>47</v>
      </c>
      <c r="B48" s="28" t="s">
        <v>58</v>
      </c>
      <c r="C48" s="100"/>
      <c r="D48" s="78"/>
      <c r="E48" s="79"/>
      <c r="F48" s="222"/>
      <c r="G48" s="222"/>
    </row>
    <row r="49" spans="1:7" ht="15.75" thickBot="1" x14ac:dyDescent="0.3">
      <c r="A49" s="73">
        <v>48</v>
      </c>
      <c r="B49" s="29" t="s">
        <v>59</v>
      </c>
      <c r="C49" s="101"/>
      <c r="D49" s="95"/>
      <c r="E49" s="95"/>
      <c r="F49" s="224"/>
      <c r="G49" s="224"/>
    </row>
    <row r="50" spans="1:7" x14ac:dyDescent="0.25">
      <c r="A50" s="70">
        <v>49</v>
      </c>
      <c r="B50" s="71" t="s">
        <v>60</v>
      </c>
      <c r="C50" s="102"/>
      <c r="D50" s="94"/>
      <c r="E50" s="220"/>
      <c r="F50" s="221"/>
      <c r="G50" s="221"/>
    </row>
    <row r="51" spans="1:7" x14ac:dyDescent="0.25">
      <c r="A51" s="72">
        <v>50</v>
      </c>
      <c r="B51" s="28" t="s">
        <v>61</v>
      </c>
      <c r="C51" s="100"/>
      <c r="D51" s="78"/>
      <c r="E51" s="79"/>
      <c r="F51" s="222"/>
      <c r="G51" s="222"/>
    </row>
    <row r="52" spans="1:7" x14ac:dyDescent="0.25">
      <c r="A52" s="72">
        <v>51</v>
      </c>
      <c r="B52" s="28" t="s">
        <v>62</v>
      </c>
      <c r="C52" s="100"/>
      <c r="D52" s="78"/>
      <c r="E52" s="79"/>
      <c r="F52" s="222"/>
      <c r="G52" s="222"/>
    </row>
    <row r="53" spans="1:7" x14ac:dyDescent="0.25">
      <c r="A53" s="72">
        <v>52</v>
      </c>
      <c r="B53" s="28" t="s">
        <v>63</v>
      </c>
      <c r="C53" s="100"/>
      <c r="D53" s="78"/>
      <c r="E53" s="79"/>
      <c r="F53" s="222"/>
      <c r="G53" s="222"/>
    </row>
    <row r="54" spans="1:7" x14ac:dyDescent="0.25">
      <c r="A54" s="72">
        <v>53</v>
      </c>
      <c r="B54" s="28" t="s">
        <v>64</v>
      </c>
      <c r="C54" s="100"/>
      <c r="D54" s="78"/>
      <c r="E54" s="79"/>
      <c r="F54" s="222"/>
      <c r="G54" s="222"/>
    </row>
    <row r="55" spans="1:7" x14ac:dyDescent="0.25">
      <c r="A55" s="72">
        <v>54</v>
      </c>
      <c r="B55" s="28" t="s">
        <v>65</v>
      </c>
      <c r="C55" s="100"/>
      <c r="D55" s="78"/>
      <c r="E55" s="79"/>
      <c r="F55" s="222"/>
      <c r="G55" s="222"/>
    </row>
    <row r="56" spans="1:7" x14ac:dyDescent="0.25">
      <c r="A56" s="72">
        <v>55</v>
      </c>
      <c r="B56" s="28" t="s">
        <v>66</v>
      </c>
      <c r="C56" s="100"/>
      <c r="D56" s="78"/>
      <c r="E56" s="79"/>
      <c r="F56" s="222"/>
      <c r="G56" s="222"/>
    </row>
    <row r="57" spans="1:7" ht="15.75" thickBot="1" x14ac:dyDescent="0.3">
      <c r="A57" s="73">
        <v>56</v>
      </c>
      <c r="B57" s="29" t="s">
        <v>67</v>
      </c>
      <c r="C57" s="101"/>
      <c r="D57" s="95"/>
      <c r="E57" s="223"/>
      <c r="F57" s="224"/>
      <c r="G57" s="224"/>
    </row>
    <row r="58" spans="1:7" x14ac:dyDescent="0.25">
      <c r="A58" s="70">
        <v>57</v>
      </c>
      <c r="B58" s="71" t="s">
        <v>71</v>
      </c>
      <c r="C58" s="102"/>
      <c r="D58" s="94"/>
      <c r="E58" s="220"/>
      <c r="F58" s="221"/>
      <c r="G58" s="221"/>
    </row>
    <row r="59" spans="1:7" x14ac:dyDescent="0.25">
      <c r="A59" s="72">
        <v>58</v>
      </c>
      <c r="B59" s="28" t="s">
        <v>72</v>
      </c>
      <c r="C59" s="100"/>
      <c r="D59" s="78"/>
      <c r="E59" s="79"/>
      <c r="F59" s="222"/>
      <c r="G59" s="222"/>
    </row>
    <row r="60" spans="1:7" x14ac:dyDescent="0.25">
      <c r="A60" s="72">
        <v>59</v>
      </c>
      <c r="B60" s="28" t="s">
        <v>73</v>
      </c>
      <c r="C60" s="100"/>
      <c r="D60" s="78"/>
      <c r="E60" s="79"/>
      <c r="F60" s="222"/>
      <c r="G60" s="222"/>
    </row>
    <row r="61" spans="1:7" x14ac:dyDescent="0.25">
      <c r="A61" s="72">
        <v>60</v>
      </c>
      <c r="B61" s="28" t="s">
        <v>74</v>
      </c>
      <c r="C61" s="100"/>
      <c r="D61" s="78"/>
      <c r="E61" s="79"/>
      <c r="F61" s="222"/>
      <c r="G61" s="222"/>
    </row>
    <row r="62" spans="1:7" x14ac:dyDescent="0.25">
      <c r="A62" s="72">
        <v>61</v>
      </c>
      <c r="B62" s="28" t="s">
        <v>75</v>
      </c>
      <c r="C62" s="100"/>
      <c r="D62" s="78"/>
      <c r="E62" s="79"/>
      <c r="F62" s="222"/>
      <c r="G62" s="222"/>
    </row>
    <row r="63" spans="1:7" x14ac:dyDescent="0.25">
      <c r="A63" s="72">
        <v>62</v>
      </c>
      <c r="B63" s="28" t="s">
        <v>76</v>
      </c>
      <c r="C63" s="100"/>
      <c r="D63" s="78"/>
      <c r="E63" s="79"/>
      <c r="F63" s="222"/>
      <c r="G63" s="222"/>
    </row>
    <row r="64" spans="1:7" x14ac:dyDescent="0.25">
      <c r="A64" s="72">
        <v>63</v>
      </c>
      <c r="B64" s="28" t="s">
        <v>77</v>
      </c>
      <c r="C64" s="100"/>
      <c r="D64" s="78"/>
      <c r="E64" s="79"/>
      <c r="F64" s="222"/>
      <c r="G64" s="222"/>
    </row>
    <row r="65" spans="1:7" ht="15.75" thickBot="1" x14ac:dyDescent="0.3">
      <c r="A65" s="73">
        <v>64</v>
      </c>
      <c r="B65" s="29" t="s">
        <v>78</v>
      </c>
      <c r="C65" s="101"/>
      <c r="D65" s="95"/>
      <c r="E65" s="223"/>
      <c r="F65" s="224"/>
      <c r="G65" s="224"/>
    </row>
    <row r="66" spans="1:7" x14ac:dyDescent="0.25">
      <c r="A66" s="70">
        <v>65</v>
      </c>
      <c r="B66" s="71" t="s">
        <v>79</v>
      </c>
      <c r="C66" s="102"/>
      <c r="D66" s="94"/>
      <c r="E66" s="220"/>
      <c r="F66" s="221"/>
      <c r="G66" s="221"/>
    </row>
    <row r="67" spans="1:7" x14ac:dyDescent="0.25">
      <c r="A67" s="72">
        <v>66</v>
      </c>
      <c r="B67" s="28" t="s">
        <v>80</v>
      </c>
      <c r="C67" s="100"/>
      <c r="D67" s="78"/>
      <c r="E67" s="79"/>
      <c r="F67" s="222"/>
      <c r="G67" s="222"/>
    </row>
    <row r="68" spans="1:7" x14ac:dyDescent="0.25">
      <c r="A68" s="72">
        <v>67</v>
      </c>
      <c r="B68" s="28" t="s">
        <v>81</v>
      </c>
      <c r="C68" s="100"/>
      <c r="D68" s="78"/>
      <c r="E68" s="79"/>
      <c r="F68" s="222"/>
      <c r="G68" s="222"/>
    </row>
    <row r="69" spans="1:7" x14ac:dyDescent="0.25">
      <c r="A69" s="72">
        <v>68</v>
      </c>
      <c r="B69" s="28" t="s">
        <v>82</v>
      </c>
      <c r="C69" s="100"/>
      <c r="D69" s="78"/>
      <c r="E69" s="79"/>
      <c r="F69" s="222"/>
      <c r="G69" s="222"/>
    </row>
    <row r="70" spans="1:7" x14ac:dyDescent="0.25">
      <c r="A70" s="72">
        <v>69</v>
      </c>
      <c r="B70" s="28" t="s">
        <v>83</v>
      </c>
      <c r="C70" s="100"/>
      <c r="D70" s="78"/>
      <c r="E70" s="79"/>
      <c r="F70" s="222"/>
      <c r="G70" s="222"/>
    </row>
    <row r="71" spans="1:7" x14ac:dyDescent="0.25">
      <c r="A71" s="72">
        <v>70</v>
      </c>
      <c r="B71" s="28" t="s">
        <v>84</v>
      </c>
      <c r="C71" s="100"/>
      <c r="D71" s="78"/>
      <c r="E71" s="79"/>
      <c r="F71" s="222"/>
      <c r="G71" s="222"/>
    </row>
    <row r="72" spans="1:7" x14ac:dyDescent="0.25">
      <c r="A72" s="72">
        <v>71</v>
      </c>
      <c r="B72" s="28" t="s">
        <v>85</v>
      </c>
      <c r="C72" s="100"/>
      <c r="D72" s="78"/>
      <c r="E72" s="79"/>
      <c r="F72" s="222"/>
      <c r="G72" s="222"/>
    </row>
    <row r="73" spans="1:7" ht="15.75" thickBot="1" x14ac:dyDescent="0.3">
      <c r="A73" s="73">
        <v>72</v>
      </c>
      <c r="B73" s="29" t="s">
        <v>86</v>
      </c>
      <c r="C73" s="101"/>
      <c r="D73" s="95"/>
      <c r="E73" s="223"/>
      <c r="F73" s="224"/>
      <c r="G73" s="224"/>
    </row>
    <row r="74" spans="1:7" x14ac:dyDescent="0.25">
      <c r="A74" s="70">
        <v>73</v>
      </c>
      <c r="B74" s="71" t="s">
        <v>87</v>
      </c>
      <c r="C74" s="102"/>
      <c r="D74" s="94"/>
      <c r="E74" s="220"/>
      <c r="F74" s="221"/>
      <c r="G74" s="221"/>
    </row>
    <row r="75" spans="1:7" x14ac:dyDescent="0.25">
      <c r="A75" s="72">
        <v>74</v>
      </c>
      <c r="B75" s="28" t="s">
        <v>88</v>
      </c>
      <c r="C75" s="100"/>
      <c r="D75" s="78"/>
      <c r="E75" s="79"/>
      <c r="F75" s="222"/>
      <c r="G75" s="222"/>
    </row>
    <row r="76" spans="1:7" x14ac:dyDescent="0.25">
      <c r="A76" s="72">
        <v>75</v>
      </c>
      <c r="B76" s="28" t="s">
        <v>89</v>
      </c>
      <c r="C76" s="100"/>
      <c r="D76" s="78"/>
      <c r="E76" s="79"/>
      <c r="F76" s="222"/>
      <c r="G76" s="222"/>
    </row>
    <row r="77" spans="1:7" x14ac:dyDescent="0.25">
      <c r="A77" s="72">
        <v>76</v>
      </c>
      <c r="B77" s="28" t="s">
        <v>90</v>
      </c>
      <c r="C77" s="100"/>
      <c r="D77" s="78"/>
      <c r="E77" s="79"/>
      <c r="F77" s="222"/>
      <c r="G77" s="222"/>
    </row>
    <row r="78" spans="1:7" x14ac:dyDescent="0.25">
      <c r="A78" s="72">
        <v>77</v>
      </c>
      <c r="B78" s="28" t="s">
        <v>91</v>
      </c>
      <c r="C78" s="100"/>
      <c r="D78" s="78"/>
      <c r="E78" s="79"/>
      <c r="F78" s="222"/>
      <c r="G78" s="222"/>
    </row>
    <row r="79" spans="1:7" x14ac:dyDescent="0.25">
      <c r="A79" s="72">
        <v>78</v>
      </c>
      <c r="B79" s="28" t="s">
        <v>92</v>
      </c>
      <c r="C79" s="100"/>
      <c r="D79" s="78"/>
      <c r="E79" s="79"/>
      <c r="F79" s="222"/>
      <c r="G79" s="222"/>
    </row>
    <row r="80" spans="1:7" x14ac:dyDescent="0.25">
      <c r="A80" s="72">
        <v>79</v>
      </c>
      <c r="B80" s="28" t="s">
        <v>93</v>
      </c>
      <c r="C80" s="100"/>
      <c r="D80" s="78"/>
      <c r="E80" s="79"/>
      <c r="F80" s="222"/>
      <c r="G80" s="222"/>
    </row>
    <row r="81" spans="1:7" ht="15.75" thickBot="1" x14ac:dyDescent="0.3">
      <c r="A81" s="73">
        <v>80</v>
      </c>
      <c r="B81" s="29" t="s">
        <v>94</v>
      </c>
      <c r="C81" s="101"/>
      <c r="D81" s="95"/>
      <c r="E81" s="223"/>
      <c r="F81" s="224"/>
      <c r="G81" s="224"/>
    </row>
    <row r="82" spans="1:7" x14ac:dyDescent="0.25">
      <c r="A82" s="70">
        <v>81</v>
      </c>
      <c r="B82" s="71" t="s">
        <v>95</v>
      </c>
      <c r="C82" s="102"/>
      <c r="D82" s="94"/>
      <c r="E82" s="220"/>
      <c r="F82" s="221"/>
      <c r="G82" s="221"/>
    </row>
    <row r="83" spans="1:7" x14ac:dyDescent="0.25">
      <c r="A83" s="72">
        <v>82</v>
      </c>
      <c r="B83" s="28" t="s">
        <v>96</v>
      </c>
      <c r="C83" s="100"/>
      <c r="D83" s="78"/>
      <c r="E83" s="79"/>
      <c r="F83" s="222"/>
      <c r="G83" s="222"/>
    </row>
    <row r="84" spans="1:7" x14ac:dyDescent="0.25">
      <c r="A84" s="72">
        <v>83</v>
      </c>
      <c r="B84" s="28" t="s">
        <v>97</v>
      </c>
      <c r="C84" s="100"/>
      <c r="D84" s="78"/>
      <c r="E84" s="79"/>
      <c r="F84" s="222"/>
      <c r="G84" s="222"/>
    </row>
    <row r="85" spans="1:7" x14ac:dyDescent="0.25">
      <c r="A85" s="72">
        <v>84</v>
      </c>
      <c r="B85" s="28" t="s">
        <v>98</v>
      </c>
      <c r="C85" s="100"/>
      <c r="D85" s="78"/>
      <c r="E85" s="79"/>
      <c r="F85" s="222"/>
      <c r="G85" s="222"/>
    </row>
    <row r="86" spans="1:7" x14ac:dyDescent="0.25">
      <c r="A86" s="72">
        <v>85</v>
      </c>
      <c r="B86" s="28" t="s">
        <v>99</v>
      </c>
      <c r="C86" s="100"/>
      <c r="D86" s="78"/>
      <c r="E86" s="79"/>
      <c r="F86" s="222"/>
      <c r="G86" s="222"/>
    </row>
    <row r="87" spans="1:7" x14ac:dyDescent="0.25">
      <c r="A87" s="72">
        <v>86</v>
      </c>
      <c r="B87" s="28" t="s">
        <v>100</v>
      </c>
      <c r="C87" s="100"/>
      <c r="D87" s="78"/>
      <c r="E87" s="79"/>
      <c r="F87" s="222"/>
      <c r="G87" s="222"/>
    </row>
    <row r="88" spans="1:7" x14ac:dyDescent="0.25">
      <c r="A88" s="72">
        <v>87</v>
      </c>
      <c r="B88" s="28" t="s">
        <v>101</v>
      </c>
      <c r="C88" s="100"/>
      <c r="D88" s="78"/>
      <c r="E88" s="79"/>
      <c r="F88" s="222"/>
      <c r="G88" s="222"/>
    </row>
    <row r="89" spans="1:7" ht="15.75" thickBot="1" x14ac:dyDescent="0.3">
      <c r="A89" s="73">
        <v>88</v>
      </c>
      <c r="B89" s="29" t="s">
        <v>102</v>
      </c>
      <c r="C89" s="101"/>
      <c r="D89" s="95"/>
      <c r="E89" s="223"/>
      <c r="F89" s="224"/>
      <c r="G89" s="224"/>
    </row>
    <row r="90" spans="1:7" x14ac:dyDescent="0.25">
      <c r="A90" s="70">
        <v>89</v>
      </c>
      <c r="B90" s="71" t="s">
        <v>103</v>
      </c>
      <c r="C90" s="102"/>
      <c r="D90" s="94"/>
      <c r="E90" s="220"/>
      <c r="F90" s="225"/>
      <c r="G90" s="225"/>
    </row>
    <row r="91" spans="1:7" x14ac:dyDescent="0.25">
      <c r="A91" s="72">
        <v>90</v>
      </c>
      <c r="B91" s="28" t="s">
        <v>104</v>
      </c>
      <c r="C91" s="100"/>
      <c r="D91" s="78"/>
      <c r="E91" s="79"/>
      <c r="F91" s="226"/>
      <c r="G91" s="226"/>
    </row>
    <row r="92" spans="1:7" x14ac:dyDescent="0.25">
      <c r="A92" s="72">
        <v>91</v>
      </c>
      <c r="B92" s="28" t="s">
        <v>105</v>
      </c>
      <c r="C92" s="100"/>
      <c r="D92" s="78"/>
      <c r="E92" s="79"/>
      <c r="F92" s="226"/>
      <c r="G92" s="226"/>
    </row>
    <row r="93" spans="1:7" x14ac:dyDescent="0.25">
      <c r="A93" s="72">
        <v>92</v>
      </c>
      <c r="B93" s="28" t="s">
        <v>106</v>
      </c>
      <c r="C93" s="100"/>
      <c r="D93" s="78"/>
      <c r="E93" s="79"/>
      <c r="F93" s="226"/>
      <c r="G93" s="226"/>
    </row>
    <row r="94" spans="1:7" x14ac:dyDescent="0.25">
      <c r="A94" s="72">
        <v>93</v>
      </c>
      <c r="B94" s="28" t="s">
        <v>107</v>
      </c>
      <c r="C94" s="100"/>
      <c r="D94" s="78"/>
      <c r="E94" s="79"/>
      <c r="F94" s="226"/>
      <c r="G94" s="226"/>
    </row>
    <row r="95" spans="1:7" x14ac:dyDescent="0.25">
      <c r="A95" s="72">
        <v>94</v>
      </c>
      <c r="B95" s="28" t="s">
        <v>108</v>
      </c>
      <c r="C95" s="100"/>
      <c r="D95" s="78"/>
      <c r="E95" s="79"/>
      <c r="F95" s="226"/>
      <c r="G95" s="226"/>
    </row>
    <row r="96" spans="1:7" x14ac:dyDescent="0.25">
      <c r="A96" s="72">
        <v>95</v>
      </c>
      <c r="B96" s="28" t="s">
        <v>109</v>
      </c>
      <c r="C96" s="100"/>
      <c r="D96" s="78"/>
      <c r="E96" s="79"/>
      <c r="F96" s="226"/>
      <c r="G96" s="226"/>
    </row>
    <row r="97" spans="1:7" ht="15.75" thickBot="1" x14ac:dyDescent="0.3">
      <c r="A97" s="116">
        <v>96</v>
      </c>
      <c r="B97" s="27" t="s">
        <v>110</v>
      </c>
      <c r="C97" s="117"/>
      <c r="D97" s="95"/>
      <c r="E97" s="223"/>
      <c r="F97" s="227"/>
      <c r="G97" s="227"/>
    </row>
    <row r="98" spans="1:7" x14ac:dyDescent="0.25">
      <c r="A98" s="3"/>
      <c r="D98" s="96"/>
      <c r="E98" s="45"/>
      <c r="F98" s="115"/>
      <c r="G98" s="115"/>
    </row>
    <row r="99" spans="1:7" x14ac:dyDescent="0.25">
      <c r="A99" s="3"/>
      <c r="D99" s="96"/>
      <c r="E99" s="45"/>
      <c r="F99" s="115"/>
      <c r="G99" s="115"/>
    </row>
    <row r="100" spans="1:7" x14ac:dyDescent="0.25">
      <c r="A100" s="3"/>
      <c r="D100" s="96"/>
      <c r="E100" s="45"/>
      <c r="F100" s="115"/>
      <c r="G100" s="115"/>
    </row>
    <row r="101" spans="1:7" x14ac:dyDescent="0.25">
      <c r="A101" s="3"/>
      <c r="D101" s="96"/>
      <c r="E101" s="45"/>
      <c r="F101" s="115"/>
      <c r="G101" s="115"/>
    </row>
    <row r="102" spans="1:7" x14ac:dyDescent="0.25">
      <c r="A102" s="3"/>
      <c r="D102" s="96"/>
      <c r="E102" s="45"/>
      <c r="F102" s="115"/>
      <c r="G102" s="115"/>
    </row>
    <row r="103" spans="1:7" x14ac:dyDescent="0.25">
      <c r="A103" s="3"/>
      <c r="D103" s="96"/>
      <c r="E103" s="45"/>
      <c r="F103" s="115"/>
      <c r="G103" s="115"/>
    </row>
    <row r="104" spans="1:7" x14ac:dyDescent="0.25">
      <c r="A104" s="3"/>
      <c r="D104" s="96"/>
      <c r="E104" s="45"/>
      <c r="F104" s="115"/>
      <c r="G104" s="115"/>
    </row>
    <row r="105" spans="1:7" x14ac:dyDescent="0.25">
      <c r="A105" s="3"/>
      <c r="D105" s="96"/>
      <c r="E105" s="45"/>
      <c r="F105" s="115"/>
      <c r="G105" s="115"/>
    </row>
    <row r="106" spans="1:7" x14ac:dyDescent="0.25">
      <c r="A106" s="3"/>
      <c r="D106" s="96"/>
      <c r="E106" s="45"/>
      <c r="F106" s="115"/>
      <c r="G106" s="115"/>
    </row>
    <row r="107" spans="1:7" x14ac:dyDescent="0.25">
      <c r="A107" s="3"/>
      <c r="D107" s="96"/>
      <c r="E107" s="45"/>
      <c r="F107" s="115"/>
      <c r="G107" s="115"/>
    </row>
    <row r="108" spans="1:7" x14ac:dyDescent="0.25">
      <c r="A108" s="3"/>
      <c r="D108" s="96"/>
      <c r="E108" s="45"/>
      <c r="F108" s="115"/>
      <c r="G108" s="115"/>
    </row>
    <row r="109" spans="1:7" x14ac:dyDescent="0.25">
      <c r="A109" s="3"/>
      <c r="D109" s="96"/>
      <c r="E109" s="45"/>
      <c r="F109" s="115"/>
      <c r="G109" s="115"/>
    </row>
    <row r="110" spans="1:7" x14ac:dyDescent="0.25">
      <c r="A110" s="3"/>
      <c r="D110" s="96"/>
      <c r="E110" s="45"/>
      <c r="F110" s="115"/>
      <c r="G110" s="115"/>
    </row>
    <row r="111" spans="1:7" x14ac:dyDescent="0.25">
      <c r="A111" s="3"/>
      <c r="D111" s="96"/>
      <c r="E111" s="45"/>
      <c r="F111" s="115"/>
      <c r="G111" s="115"/>
    </row>
    <row r="112" spans="1:7" x14ac:dyDescent="0.25">
      <c r="A112" s="3"/>
      <c r="D112" s="96"/>
      <c r="E112" s="45"/>
      <c r="F112" s="115"/>
      <c r="G112" s="115"/>
    </row>
    <row r="113" spans="1:7" x14ac:dyDescent="0.25">
      <c r="A113" s="3"/>
      <c r="D113" s="96"/>
      <c r="E113" s="45"/>
      <c r="F113" s="115"/>
      <c r="G113" s="115"/>
    </row>
    <row r="114" spans="1:7" x14ac:dyDescent="0.25">
      <c r="A114" s="3"/>
      <c r="D114" s="96"/>
      <c r="E114" s="45"/>
      <c r="F114" s="115"/>
      <c r="G114" s="115"/>
    </row>
    <row r="115" spans="1:7" x14ac:dyDescent="0.25">
      <c r="A115" s="3"/>
      <c r="D115" s="96"/>
      <c r="E115" s="45"/>
      <c r="F115" s="115"/>
      <c r="G115" s="115"/>
    </row>
    <row r="116" spans="1:7" x14ac:dyDescent="0.25">
      <c r="A116" s="3"/>
      <c r="D116" s="96"/>
      <c r="E116" s="45"/>
      <c r="F116" s="115"/>
      <c r="G116" s="115"/>
    </row>
    <row r="117" spans="1:7" x14ac:dyDescent="0.25">
      <c r="A117" s="3"/>
      <c r="D117" s="96"/>
      <c r="E117" s="45"/>
      <c r="F117" s="115"/>
      <c r="G117" s="115"/>
    </row>
    <row r="118" spans="1:7" x14ac:dyDescent="0.25">
      <c r="A118" s="3"/>
      <c r="D118" s="96"/>
      <c r="E118" s="45"/>
      <c r="F118" s="115"/>
      <c r="G118" s="115"/>
    </row>
    <row r="119" spans="1:7" x14ac:dyDescent="0.25">
      <c r="A119" s="3"/>
      <c r="D119" s="96"/>
      <c r="E119" s="45"/>
      <c r="F119" s="115"/>
      <c r="G119" s="115"/>
    </row>
    <row r="120" spans="1:7" x14ac:dyDescent="0.25">
      <c r="A120" s="3"/>
      <c r="D120" s="96"/>
      <c r="E120" s="45"/>
      <c r="F120" s="115"/>
      <c r="G120" s="115"/>
    </row>
    <row r="121" spans="1:7" x14ac:dyDescent="0.25">
      <c r="A121" s="3"/>
      <c r="D121" s="96"/>
      <c r="E121" s="45"/>
      <c r="F121" s="115"/>
      <c r="G121" s="115"/>
    </row>
    <row r="122" spans="1:7" x14ac:dyDescent="0.25">
      <c r="A122" s="3"/>
      <c r="D122" s="96"/>
      <c r="E122" s="45"/>
      <c r="F122" s="115"/>
      <c r="G122" s="115"/>
    </row>
    <row r="123" spans="1:7" x14ac:dyDescent="0.25">
      <c r="A123" s="3"/>
      <c r="D123" s="96"/>
      <c r="E123" s="45"/>
      <c r="F123" s="115"/>
      <c r="G123" s="115"/>
    </row>
    <row r="124" spans="1:7" x14ac:dyDescent="0.25">
      <c r="A124" s="3"/>
      <c r="D124" s="96"/>
      <c r="E124" s="45"/>
      <c r="F124" s="115"/>
      <c r="G124" s="115"/>
    </row>
    <row r="125" spans="1:7" x14ac:dyDescent="0.25">
      <c r="A125" s="3"/>
      <c r="D125" s="96"/>
      <c r="E125" s="45"/>
      <c r="F125" s="115"/>
      <c r="G125" s="115"/>
    </row>
    <row r="126" spans="1:7" x14ac:dyDescent="0.25">
      <c r="A126" s="3"/>
      <c r="D126" s="96"/>
      <c r="E126" s="45"/>
      <c r="F126" s="115"/>
      <c r="G126" s="115"/>
    </row>
    <row r="127" spans="1:7" x14ac:dyDescent="0.25">
      <c r="A127" s="3"/>
      <c r="D127" s="96"/>
      <c r="E127" s="45"/>
      <c r="F127" s="115"/>
      <c r="G127" s="115"/>
    </row>
    <row r="128" spans="1:7" x14ac:dyDescent="0.25">
      <c r="A128" s="3"/>
      <c r="D128" s="96"/>
      <c r="E128" s="45"/>
      <c r="F128" s="115"/>
      <c r="G128" s="115"/>
    </row>
    <row r="129" spans="1:7" x14ac:dyDescent="0.25">
      <c r="A129" s="3"/>
      <c r="D129" s="96"/>
      <c r="E129" s="45"/>
      <c r="F129" s="115"/>
      <c r="G129" s="115"/>
    </row>
    <row r="130" spans="1:7" x14ac:dyDescent="0.25">
      <c r="A130" s="3"/>
      <c r="D130" s="96"/>
      <c r="E130" s="45"/>
      <c r="F130" s="115"/>
      <c r="G130" s="115"/>
    </row>
    <row r="131" spans="1:7" x14ac:dyDescent="0.25">
      <c r="A131" s="3"/>
      <c r="D131" s="96"/>
      <c r="E131" s="45"/>
      <c r="F131" s="115"/>
      <c r="G131" s="115"/>
    </row>
    <row r="132" spans="1:7" x14ac:dyDescent="0.25">
      <c r="A132" s="3"/>
      <c r="D132" s="96"/>
      <c r="E132" s="45"/>
      <c r="F132" s="115"/>
      <c r="G132" s="115"/>
    </row>
    <row r="133" spans="1:7" x14ac:dyDescent="0.25">
      <c r="A133" s="3"/>
      <c r="D133" s="96"/>
      <c r="E133" s="45"/>
      <c r="F133" s="115"/>
      <c r="G133" s="115"/>
    </row>
    <row r="134" spans="1:7" x14ac:dyDescent="0.25">
      <c r="A134" s="3"/>
      <c r="D134" s="96"/>
      <c r="E134" s="45"/>
      <c r="F134" s="115"/>
      <c r="G134" s="115"/>
    </row>
    <row r="135" spans="1:7" x14ac:dyDescent="0.25">
      <c r="A135" s="3"/>
      <c r="D135" s="96"/>
      <c r="E135" s="45"/>
      <c r="F135" s="115"/>
      <c r="G135" s="115"/>
    </row>
    <row r="136" spans="1:7" x14ac:dyDescent="0.25">
      <c r="A136" s="3"/>
      <c r="D136" s="96"/>
      <c r="E136" s="45"/>
      <c r="F136" s="115"/>
      <c r="G136" s="115"/>
    </row>
    <row r="137" spans="1:7" x14ac:dyDescent="0.25">
      <c r="A137" s="3"/>
      <c r="D137" s="96"/>
      <c r="E137" s="45"/>
      <c r="F137" s="115"/>
      <c r="G137" s="115"/>
    </row>
    <row r="138" spans="1:7" x14ac:dyDescent="0.25">
      <c r="A138" s="3"/>
      <c r="D138" s="96"/>
      <c r="E138" s="45"/>
      <c r="F138" s="115"/>
      <c r="G138" s="115"/>
    </row>
    <row r="139" spans="1:7" x14ac:dyDescent="0.25">
      <c r="A139" s="3"/>
      <c r="D139" s="96"/>
      <c r="E139" s="45"/>
      <c r="F139" s="115"/>
      <c r="G139" s="115"/>
    </row>
    <row r="140" spans="1:7" x14ac:dyDescent="0.25">
      <c r="A140" s="3"/>
      <c r="D140" s="96"/>
      <c r="E140" s="45"/>
      <c r="F140" s="115"/>
      <c r="G140" s="115"/>
    </row>
    <row r="141" spans="1:7" x14ac:dyDescent="0.25">
      <c r="A141" s="3"/>
      <c r="D141" s="96"/>
      <c r="E141" s="45"/>
      <c r="F141" s="115"/>
      <c r="G141" s="115"/>
    </row>
    <row r="142" spans="1:7" x14ac:dyDescent="0.25">
      <c r="A142" s="3"/>
      <c r="D142" s="96"/>
      <c r="E142" s="45"/>
      <c r="F142" s="115"/>
      <c r="G142" s="115"/>
    </row>
    <row r="143" spans="1:7" x14ac:dyDescent="0.25">
      <c r="A143" s="3"/>
      <c r="D143" s="96"/>
      <c r="E143" s="45"/>
      <c r="F143" s="115"/>
      <c r="G143" s="115"/>
    </row>
    <row r="144" spans="1:7" x14ac:dyDescent="0.25">
      <c r="A144" s="3"/>
      <c r="D144" s="96"/>
      <c r="E144" s="45"/>
      <c r="F144" s="115"/>
      <c r="G144" s="115"/>
    </row>
    <row r="145" spans="1:7" x14ac:dyDescent="0.25">
      <c r="A145" s="3"/>
      <c r="D145" s="96"/>
      <c r="E145" s="45"/>
      <c r="F145" s="115"/>
      <c r="G145" s="115"/>
    </row>
    <row r="146" spans="1:7" x14ac:dyDescent="0.25">
      <c r="A146" s="3"/>
      <c r="D146" s="96"/>
      <c r="E146" s="45"/>
      <c r="F146" s="115"/>
      <c r="G146" s="115"/>
    </row>
    <row r="147" spans="1:7" x14ac:dyDescent="0.25">
      <c r="A147" s="3"/>
      <c r="D147" s="96"/>
      <c r="E147" s="45"/>
      <c r="F147" s="115"/>
      <c r="G147" s="115"/>
    </row>
    <row r="148" spans="1:7" x14ac:dyDescent="0.25">
      <c r="A148" s="3"/>
      <c r="D148" s="96"/>
      <c r="E148" s="45"/>
      <c r="F148" s="115"/>
      <c r="G148" s="115"/>
    </row>
    <row r="149" spans="1:7" x14ac:dyDescent="0.25">
      <c r="A149" s="3"/>
      <c r="D149" s="96"/>
      <c r="E149" s="45"/>
      <c r="F149" s="115"/>
      <c r="G149" s="115"/>
    </row>
    <row r="150" spans="1:7" x14ac:dyDescent="0.25">
      <c r="A150" s="3"/>
      <c r="D150" s="96"/>
      <c r="E150" s="45"/>
      <c r="F150" s="115"/>
      <c r="G150" s="115"/>
    </row>
    <row r="151" spans="1:7" x14ac:dyDescent="0.25">
      <c r="A151" s="3"/>
      <c r="D151" s="96"/>
      <c r="E151" s="45"/>
      <c r="F151" s="115"/>
      <c r="G151" s="115"/>
    </row>
    <row r="152" spans="1:7" x14ac:dyDescent="0.25">
      <c r="A152" s="3"/>
      <c r="D152" s="96"/>
      <c r="E152" s="45"/>
      <c r="F152" s="115"/>
      <c r="G152" s="115"/>
    </row>
    <row r="153" spans="1:7" x14ac:dyDescent="0.25">
      <c r="A153" s="3"/>
      <c r="D153" s="96"/>
      <c r="E153" s="45"/>
      <c r="F153" s="115"/>
      <c r="G153" s="115"/>
    </row>
    <row r="154" spans="1:7" x14ac:dyDescent="0.25">
      <c r="A154" s="3"/>
      <c r="D154" s="96"/>
      <c r="E154" s="45"/>
      <c r="F154" s="115"/>
      <c r="G154" s="115"/>
    </row>
    <row r="155" spans="1:7" x14ac:dyDescent="0.25">
      <c r="A155" s="3"/>
      <c r="D155" s="96"/>
      <c r="E155" s="45"/>
      <c r="F155" s="115"/>
      <c r="G155" s="115"/>
    </row>
    <row r="156" spans="1:7" x14ac:dyDescent="0.25">
      <c r="A156" s="3"/>
      <c r="D156" s="96"/>
      <c r="E156" s="45"/>
      <c r="F156" s="115"/>
      <c r="G156" s="115"/>
    </row>
    <row r="157" spans="1:7" x14ac:dyDescent="0.25">
      <c r="A157" s="3"/>
      <c r="D157" s="96"/>
      <c r="E157" s="45"/>
      <c r="F157" s="115"/>
      <c r="G157" s="115"/>
    </row>
    <row r="158" spans="1:7" x14ac:dyDescent="0.25">
      <c r="A158" s="3"/>
      <c r="D158" s="96"/>
      <c r="E158" s="45"/>
      <c r="F158" s="115"/>
      <c r="G158" s="115"/>
    </row>
    <row r="159" spans="1:7" x14ac:dyDescent="0.25">
      <c r="A159" s="3"/>
      <c r="D159" s="96"/>
      <c r="E159" s="45"/>
      <c r="F159" s="115"/>
      <c r="G159" s="115"/>
    </row>
    <row r="160" spans="1:7" x14ac:dyDescent="0.25">
      <c r="A160" s="3"/>
      <c r="D160" s="96"/>
      <c r="E160" s="45"/>
      <c r="F160" s="115"/>
      <c r="G160" s="115"/>
    </row>
    <row r="161" spans="1:7" x14ac:dyDescent="0.25">
      <c r="A161" s="3"/>
      <c r="D161" s="96"/>
      <c r="E161" s="45"/>
      <c r="F161" s="115"/>
      <c r="G161" s="115"/>
    </row>
    <row r="162" spans="1:7" x14ac:dyDescent="0.25">
      <c r="A162" s="3"/>
      <c r="D162" s="96"/>
      <c r="E162" s="45"/>
      <c r="F162" s="115"/>
      <c r="G162" s="115"/>
    </row>
    <row r="163" spans="1:7" x14ac:dyDescent="0.25">
      <c r="A163" s="3"/>
      <c r="D163" s="96"/>
      <c r="E163" s="45"/>
      <c r="F163" s="115"/>
      <c r="G163" s="115"/>
    </row>
    <row r="164" spans="1:7" x14ac:dyDescent="0.25">
      <c r="A164" s="3"/>
      <c r="D164" s="96"/>
      <c r="E164" s="45"/>
      <c r="F164" s="115"/>
      <c r="G164" s="115"/>
    </row>
    <row r="165" spans="1:7" x14ac:dyDescent="0.25">
      <c r="A165" s="3"/>
      <c r="D165" s="96"/>
      <c r="E165" s="45"/>
      <c r="F165" s="115"/>
      <c r="G165" s="115"/>
    </row>
    <row r="166" spans="1:7" x14ac:dyDescent="0.25">
      <c r="A166" s="3"/>
      <c r="D166" s="96"/>
      <c r="E166" s="45"/>
      <c r="F166" s="115"/>
      <c r="G166" s="115"/>
    </row>
    <row r="167" spans="1:7" x14ac:dyDescent="0.25">
      <c r="A167" s="3"/>
      <c r="D167" s="96"/>
      <c r="E167" s="45"/>
      <c r="F167" s="115"/>
      <c r="G167" s="115"/>
    </row>
    <row r="168" spans="1:7" x14ac:dyDescent="0.25">
      <c r="A168" s="3"/>
      <c r="D168" s="96"/>
      <c r="E168" s="45"/>
      <c r="F168" s="115"/>
      <c r="G168" s="115"/>
    </row>
    <row r="169" spans="1:7" x14ac:dyDescent="0.25">
      <c r="A169" s="3"/>
      <c r="D169" s="96"/>
      <c r="E169" s="45"/>
      <c r="F169" s="115"/>
      <c r="G169" s="115"/>
    </row>
    <row r="170" spans="1:7" x14ac:dyDescent="0.25">
      <c r="A170" s="3"/>
      <c r="D170" s="96"/>
      <c r="E170" s="45"/>
      <c r="F170" s="115"/>
      <c r="G170" s="115"/>
    </row>
    <row r="171" spans="1:7" x14ac:dyDescent="0.25">
      <c r="A171" s="3"/>
      <c r="D171" s="96"/>
      <c r="E171" s="45"/>
      <c r="F171" s="115"/>
      <c r="G171" s="115"/>
    </row>
    <row r="172" spans="1:7" x14ac:dyDescent="0.25">
      <c r="A172" s="3"/>
      <c r="D172" s="96"/>
      <c r="E172" s="45"/>
      <c r="F172" s="115"/>
      <c r="G172" s="115"/>
    </row>
    <row r="173" spans="1:7" x14ac:dyDescent="0.25">
      <c r="A173" s="3"/>
      <c r="D173" s="96"/>
      <c r="E173" s="45"/>
      <c r="F173" s="115"/>
      <c r="G173" s="115"/>
    </row>
    <row r="174" spans="1:7" x14ac:dyDescent="0.25">
      <c r="A174" s="3"/>
      <c r="D174" s="96"/>
      <c r="E174" s="45"/>
      <c r="F174" s="115"/>
      <c r="G174" s="115"/>
    </row>
    <row r="175" spans="1:7" x14ac:dyDescent="0.25">
      <c r="A175" s="3"/>
      <c r="D175" s="96"/>
      <c r="E175" s="45"/>
      <c r="F175" s="115"/>
      <c r="G175" s="115"/>
    </row>
    <row r="176" spans="1:7" x14ac:dyDescent="0.25">
      <c r="A176" s="3"/>
      <c r="D176" s="96"/>
      <c r="E176" s="45"/>
      <c r="F176" s="115"/>
      <c r="G176" s="115"/>
    </row>
    <row r="177" spans="1:7" x14ac:dyDescent="0.25">
      <c r="A177" s="3"/>
      <c r="D177" s="96"/>
      <c r="E177" s="45"/>
      <c r="F177" s="115"/>
      <c r="G177" s="115"/>
    </row>
    <row r="178" spans="1:7" x14ac:dyDescent="0.25">
      <c r="A178" s="3"/>
      <c r="D178" s="96"/>
      <c r="E178" s="45"/>
      <c r="F178" s="115"/>
      <c r="G178" s="115"/>
    </row>
    <row r="179" spans="1:7" x14ac:dyDescent="0.25">
      <c r="A179" s="3"/>
      <c r="D179" s="96"/>
      <c r="E179" s="45"/>
      <c r="F179" s="115"/>
      <c r="G179" s="115"/>
    </row>
    <row r="180" spans="1:7" x14ac:dyDescent="0.25">
      <c r="A180" s="3"/>
      <c r="D180" s="96"/>
      <c r="E180" s="45"/>
      <c r="F180" s="115"/>
      <c r="G180" s="115"/>
    </row>
    <row r="181" spans="1:7" x14ac:dyDescent="0.25">
      <c r="A181" s="3"/>
      <c r="D181" s="96"/>
      <c r="E181" s="45"/>
      <c r="F181" s="115"/>
      <c r="G181" s="115"/>
    </row>
    <row r="182" spans="1:7" x14ac:dyDescent="0.25">
      <c r="A182" s="3"/>
      <c r="D182" s="96"/>
      <c r="E182" s="45"/>
      <c r="F182" s="115"/>
      <c r="G182" s="115"/>
    </row>
    <row r="183" spans="1:7" x14ac:dyDescent="0.25">
      <c r="A183" s="3"/>
      <c r="D183" s="96"/>
      <c r="E183" s="45"/>
      <c r="F183" s="115"/>
      <c r="G183" s="115"/>
    </row>
    <row r="184" spans="1:7" x14ac:dyDescent="0.25">
      <c r="A184" s="3"/>
      <c r="D184" s="96"/>
      <c r="E184" s="45"/>
      <c r="F184" s="115"/>
      <c r="G184" s="115"/>
    </row>
    <row r="185" spans="1:7" x14ac:dyDescent="0.25">
      <c r="A185" s="3"/>
      <c r="D185" s="96"/>
      <c r="E185" s="45"/>
      <c r="F185" s="115"/>
      <c r="G185" s="115"/>
    </row>
    <row r="186" spans="1:7" x14ac:dyDescent="0.25">
      <c r="A186" s="3"/>
      <c r="D186" s="96"/>
      <c r="E186" s="45"/>
      <c r="F186" s="115"/>
      <c r="G186" s="115"/>
    </row>
    <row r="187" spans="1:7" x14ac:dyDescent="0.25">
      <c r="A187" s="3"/>
      <c r="D187" s="96"/>
      <c r="E187" s="45"/>
      <c r="F187" s="115"/>
      <c r="G187" s="115"/>
    </row>
    <row r="188" spans="1:7" x14ac:dyDescent="0.25">
      <c r="A188" s="3"/>
      <c r="D188" s="96"/>
      <c r="E188" s="45"/>
      <c r="F188" s="115"/>
      <c r="G188" s="115"/>
    </row>
    <row r="189" spans="1:7" x14ac:dyDescent="0.25">
      <c r="A189" s="3"/>
      <c r="D189" s="96"/>
      <c r="E189" s="45"/>
      <c r="F189" s="115"/>
      <c r="G189" s="115"/>
    </row>
    <row r="190" spans="1:7" x14ac:dyDescent="0.25">
      <c r="A190" s="3"/>
      <c r="D190" s="96"/>
      <c r="E190" s="45"/>
      <c r="F190" s="115"/>
      <c r="G190" s="115"/>
    </row>
    <row r="191" spans="1:7" x14ac:dyDescent="0.25">
      <c r="A191" s="3"/>
      <c r="D191" s="96"/>
      <c r="E191" s="45"/>
      <c r="F191" s="115"/>
      <c r="G191" s="115"/>
    </row>
    <row r="192" spans="1:7" x14ac:dyDescent="0.25">
      <c r="A192" s="3"/>
      <c r="D192" s="96"/>
      <c r="E192" s="45"/>
      <c r="F192" s="115"/>
      <c r="G192" s="115"/>
    </row>
    <row r="193" spans="1:7" x14ac:dyDescent="0.25">
      <c r="A193" s="3"/>
      <c r="D193" s="96"/>
      <c r="E193" s="45"/>
      <c r="F193" s="115"/>
      <c r="G193" s="115"/>
    </row>
    <row r="194" spans="1:7" x14ac:dyDescent="0.25">
      <c r="A194" s="3"/>
      <c r="D194" s="96"/>
      <c r="E194" s="45"/>
      <c r="F194" s="115"/>
      <c r="G194" s="115"/>
    </row>
    <row r="195" spans="1:7" x14ac:dyDescent="0.25">
      <c r="A195" s="3"/>
      <c r="D195" s="96"/>
      <c r="E195" s="45"/>
      <c r="F195" s="115"/>
      <c r="G195" s="115"/>
    </row>
    <row r="196" spans="1:7" x14ac:dyDescent="0.25">
      <c r="A196" s="3"/>
      <c r="D196" s="96"/>
      <c r="E196" s="45"/>
      <c r="F196" s="115"/>
      <c r="G196" s="115"/>
    </row>
    <row r="197" spans="1:7" x14ac:dyDescent="0.25">
      <c r="A197" s="3"/>
      <c r="D197" s="96"/>
      <c r="E197" s="45"/>
      <c r="F197" s="115"/>
      <c r="G197" s="115"/>
    </row>
    <row r="198" spans="1:7" x14ac:dyDescent="0.25">
      <c r="A198" s="3"/>
      <c r="D198" s="96"/>
      <c r="E198" s="45"/>
      <c r="F198" s="115"/>
      <c r="G198" s="115"/>
    </row>
    <row r="199" spans="1:7" x14ac:dyDescent="0.25">
      <c r="A199" s="3"/>
      <c r="D199" s="96"/>
      <c r="E199" s="45"/>
      <c r="F199" s="115"/>
      <c r="G199" s="115"/>
    </row>
    <row r="200" spans="1:7" x14ac:dyDescent="0.25">
      <c r="A200" s="3"/>
      <c r="D200" s="96"/>
      <c r="E200" s="45"/>
      <c r="F200" s="115"/>
      <c r="G200" s="115"/>
    </row>
    <row r="201" spans="1:7" x14ac:dyDescent="0.25">
      <c r="A201" s="3"/>
      <c r="D201" s="96"/>
      <c r="E201" s="45"/>
      <c r="F201" s="115"/>
      <c r="G201" s="115"/>
    </row>
    <row r="202" spans="1:7" x14ac:dyDescent="0.25">
      <c r="A202" s="3"/>
      <c r="D202" s="96"/>
      <c r="E202" s="45"/>
      <c r="F202" s="115"/>
      <c r="G202" s="115"/>
    </row>
    <row r="203" spans="1:7" x14ac:dyDescent="0.25">
      <c r="A203" s="3"/>
      <c r="D203" s="96"/>
      <c r="E203" s="45"/>
      <c r="F203" s="115"/>
      <c r="G203" s="115"/>
    </row>
    <row r="204" spans="1:7" x14ac:dyDescent="0.25">
      <c r="A204" s="3"/>
      <c r="D204" s="96"/>
      <c r="E204" s="45"/>
      <c r="F204" s="115"/>
      <c r="G204" s="115"/>
    </row>
    <row r="205" spans="1:7" x14ac:dyDescent="0.25">
      <c r="A205" s="3"/>
      <c r="D205" s="96"/>
      <c r="E205" s="45"/>
      <c r="F205" s="115"/>
      <c r="G205" s="115"/>
    </row>
    <row r="206" spans="1:7" x14ac:dyDescent="0.25">
      <c r="A206" s="3"/>
      <c r="D206" s="96"/>
      <c r="E206" s="45"/>
      <c r="F206" s="115"/>
      <c r="G206" s="115"/>
    </row>
    <row r="207" spans="1:7" x14ac:dyDescent="0.25">
      <c r="A207" s="3"/>
      <c r="D207" s="96"/>
      <c r="E207" s="45"/>
      <c r="F207" s="115"/>
      <c r="G207" s="115"/>
    </row>
    <row r="208" spans="1:7" x14ac:dyDescent="0.25">
      <c r="A208" s="3"/>
      <c r="D208" s="96"/>
      <c r="E208" s="45"/>
      <c r="F208" s="115"/>
      <c r="G208" s="115"/>
    </row>
    <row r="209" spans="1:7" x14ac:dyDescent="0.25">
      <c r="A209" s="3"/>
      <c r="D209" s="96"/>
      <c r="E209" s="45"/>
      <c r="F209" s="115"/>
      <c r="G209" s="115"/>
    </row>
    <row r="210" spans="1:7" x14ac:dyDescent="0.25">
      <c r="A210" s="3"/>
      <c r="D210" s="96"/>
      <c r="E210" s="45"/>
      <c r="F210" s="115"/>
      <c r="G210" s="115"/>
    </row>
    <row r="211" spans="1:7" x14ac:dyDescent="0.25">
      <c r="A211" s="3"/>
      <c r="D211" s="96"/>
      <c r="E211" s="45"/>
      <c r="F211" s="115"/>
      <c r="G211" s="115"/>
    </row>
    <row r="212" spans="1:7" x14ac:dyDescent="0.25">
      <c r="A212" s="3"/>
      <c r="D212" s="96"/>
      <c r="E212" s="45"/>
      <c r="F212" s="115"/>
      <c r="G212" s="115"/>
    </row>
    <row r="213" spans="1:7" x14ac:dyDescent="0.25">
      <c r="A213" s="3"/>
      <c r="D213" s="96"/>
      <c r="E213" s="45"/>
      <c r="F213" s="115"/>
      <c r="G213" s="115"/>
    </row>
    <row r="214" spans="1:7" x14ac:dyDescent="0.25">
      <c r="A214" s="3"/>
      <c r="D214" s="96"/>
      <c r="E214" s="45"/>
      <c r="F214" s="115"/>
      <c r="G214" s="115"/>
    </row>
    <row r="215" spans="1:7" x14ac:dyDescent="0.25">
      <c r="A215" s="3"/>
      <c r="D215" s="96"/>
      <c r="E215" s="45"/>
      <c r="F215" s="115"/>
      <c r="G215" s="115"/>
    </row>
    <row r="216" spans="1:7" x14ac:dyDescent="0.25">
      <c r="A216" s="3"/>
      <c r="D216" s="96"/>
      <c r="E216" s="45"/>
      <c r="F216" s="115"/>
      <c r="G216" s="115"/>
    </row>
    <row r="217" spans="1:7" x14ac:dyDescent="0.25">
      <c r="A217" s="3"/>
      <c r="D217" s="96"/>
      <c r="E217" s="45"/>
      <c r="F217" s="115"/>
      <c r="G217" s="115"/>
    </row>
    <row r="218" spans="1:7" x14ac:dyDescent="0.25">
      <c r="A218" s="3"/>
      <c r="D218" s="96"/>
      <c r="E218" s="45"/>
      <c r="F218" s="115"/>
      <c r="G218" s="115"/>
    </row>
    <row r="219" spans="1:7" x14ac:dyDescent="0.25">
      <c r="A219" s="3"/>
      <c r="D219" s="96"/>
      <c r="E219" s="45"/>
      <c r="F219" s="115"/>
      <c r="G219" s="115"/>
    </row>
    <row r="220" spans="1:7" x14ac:dyDescent="0.25">
      <c r="A220" s="3"/>
      <c r="D220" s="96"/>
      <c r="E220" s="45"/>
      <c r="F220" s="115"/>
      <c r="G220" s="115"/>
    </row>
    <row r="221" spans="1:7" x14ac:dyDescent="0.25">
      <c r="A221" s="3"/>
      <c r="D221" s="96"/>
      <c r="E221" s="45"/>
      <c r="F221" s="115"/>
      <c r="G221" s="115"/>
    </row>
    <row r="222" spans="1:7" x14ac:dyDescent="0.25">
      <c r="A222" s="3"/>
      <c r="D222" s="96"/>
      <c r="E222" s="45"/>
      <c r="F222" s="115"/>
      <c r="G222" s="115"/>
    </row>
    <row r="223" spans="1:7" x14ac:dyDescent="0.25">
      <c r="A223" s="3"/>
      <c r="D223" s="96"/>
      <c r="E223" s="45"/>
      <c r="F223" s="115"/>
      <c r="G223" s="115"/>
    </row>
    <row r="224" spans="1:7" x14ac:dyDescent="0.25">
      <c r="A224" s="3"/>
      <c r="D224" s="96"/>
      <c r="E224" s="45"/>
      <c r="F224" s="115"/>
      <c r="G224" s="115"/>
    </row>
    <row r="225" spans="1:7" x14ac:dyDescent="0.25">
      <c r="A225" s="3"/>
      <c r="D225" s="96"/>
      <c r="E225" s="45"/>
      <c r="F225" s="115"/>
      <c r="G225" s="115"/>
    </row>
    <row r="226" spans="1:7" x14ac:dyDescent="0.25">
      <c r="A226" s="3"/>
      <c r="D226" s="96"/>
      <c r="E226" s="45"/>
      <c r="F226" s="115"/>
      <c r="G226" s="115"/>
    </row>
    <row r="227" spans="1:7" x14ac:dyDescent="0.25">
      <c r="A227" s="3"/>
      <c r="D227" s="96"/>
      <c r="E227" s="45"/>
      <c r="F227" s="115"/>
      <c r="G227" s="115"/>
    </row>
    <row r="228" spans="1:7" x14ac:dyDescent="0.25">
      <c r="A228" s="3"/>
      <c r="D228" s="96"/>
      <c r="E228" s="45"/>
      <c r="F228" s="115"/>
      <c r="G228" s="115"/>
    </row>
    <row r="229" spans="1:7" x14ac:dyDescent="0.25">
      <c r="A229" s="3"/>
      <c r="D229" s="96"/>
      <c r="E229" s="45"/>
      <c r="F229" s="115"/>
      <c r="G229" s="115"/>
    </row>
    <row r="230" spans="1:7" x14ac:dyDescent="0.25">
      <c r="A230" s="3"/>
      <c r="D230" s="96"/>
      <c r="E230" s="45"/>
      <c r="F230" s="115"/>
      <c r="G230" s="115"/>
    </row>
    <row r="231" spans="1:7" x14ac:dyDescent="0.25">
      <c r="A231" s="3"/>
      <c r="D231" s="96"/>
      <c r="E231" s="45"/>
      <c r="F231" s="115"/>
      <c r="G231" s="115"/>
    </row>
    <row r="232" spans="1:7" x14ac:dyDescent="0.25">
      <c r="A232" s="3"/>
      <c r="D232" s="96"/>
      <c r="E232" s="45"/>
      <c r="F232" s="115"/>
      <c r="G232" s="115"/>
    </row>
    <row r="233" spans="1:7" x14ac:dyDescent="0.25">
      <c r="A233" s="3"/>
      <c r="D233" s="96"/>
      <c r="E233" s="45"/>
      <c r="F233" s="115"/>
      <c r="G233" s="115"/>
    </row>
    <row r="234" spans="1:7" x14ac:dyDescent="0.25">
      <c r="A234" s="3"/>
      <c r="D234" s="96"/>
      <c r="E234" s="45"/>
      <c r="F234" s="115"/>
      <c r="G234" s="115"/>
    </row>
    <row r="235" spans="1:7" x14ac:dyDescent="0.25">
      <c r="A235" s="3"/>
      <c r="D235" s="96"/>
      <c r="E235" s="45"/>
      <c r="F235" s="115"/>
      <c r="G235" s="115"/>
    </row>
    <row r="236" spans="1:7" x14ac:dyDescent="0.25">
      <c r="A236" s="3"/>
      <c r="D236" s="96"/>
      <c r="E236" s="45"/>
      <c r="F236" s="115"/>
      <c r="G236" s="115"/>
    </row>
    <row r="237" spans="1:7" x14ac:dyDescent="0.25">
      <c r="A237" s="3"/>
      <c r="D237" s="96"/>
      <c r="E237" s="45"/>
      <c r="F237" s="115"/>
      <c r="G237" s="115"/>
    </row>
    <row r="238" spans="1:7" x14ac:dyDescent="0.25">
      <c r="A238" s="3"/>
      <c r="D238" s="96"/>
      <c r="E238" s="45"/>
      <c r="F238" s="115"/>
      <c r="G238" s="115"/>
    </row>
    <row r="239" spans="1:7" x14ac:dyDescent="0.25">
      <c r="A239" s="3"/>
      <c r="D239" s="96"/>
      <c r="E239" s="45"/>
      <c r="F239" s="115"/>
      <c r="G239" s="115"/>
    </row>
    <row r="240" spans="1:7" x14ac:dyDescent="0.25">
      <c r="A240" s="3"/>
      <c r="D240" s="96"/>
      <c r="E240" s="45"/>
      <c r="F240" s="115"/>
      <c r="G240" s="115"/>
    </row>
    <row r="241" spans="1:7" x14ac:dyDescent="0.25">
      <c r="A241" s="3"/>
      <c r="D241" s="96"/>
      <c r="E241" s="45"/>
      <c r="F241" s="115"/>
      <c r="G241" s="115"/>
    </row>
    <row r="242" spans="1:7" x14ac:dyDescent="0.25">
      <c r="A242" s="3"/>
      <c r="D242" s="96"/>
      <c r="E242" s="45"/>
      <c r="F242" s="115"/>
      <c r="G242" s="115"/>
    </row>
    <row r="243" spans="1:7" x14ac:dyDescent="0.25">
      <c r="A243" s="3"/>
      <c r="D243" s="96"/>
      <c r="E243" s="45"/>
      <c r="F243" s="115"/>
      <c r="G243" s="115"/>
    </row>
    <row r="244" spans="1:7" x14ac:dyDescent="0.25">
      <c r="A244" s="3"/>
      <c r="D244" s="96"/>
      <c r="E244" s="45"/>
      <c r="F244" s="115"/>
      <c r="G244" s="115"/>
    </row>
    <row r="245" spans="1:7" x14ac:dyDescent="0.25">
      <c r="A245" s="3"/>
      <c r="D245" s="96"/>
      <c r="E245" s="45"/>
      <c r="F245" s="115"/>
      <c r="G245" s="115"/>
    </row>
    <row r="246" spans="1:7" x14ac:dyDescent="0.25">
      <c r="A246" s="3"/>
      <c r="D246" s="96"/>
      <c r="E246" s="45"/>
      <c r="F246" s="115"/>
      <c r="G246" s="115"/>
    </row>
    <row r="247" spans="1:7" x14ac:dyDescent="0.25">
      <c r="A247" s="3"/>
      <c r="D247" s="96"/>
      <c r="E247" s="45"/>
      <c r="F247" s="115"/>
      <c r="G247" s="115"/>
    </row>
    <row r="248" spans="1:7" x14ac:dyDescent="0.25">
      <c r="A248" s="3"/>
      <c r="D248" s="96"/>
      <c r="E248" s="45"/>
      <c r="F248" s="115"/>
      <c r="G248" s="115"/>
    </row>
    <row r="249" spans="1:7" x14ac:dyDescent="0.25">
      <c r="A249" s="3"/>
      <c r="D249" s="96"/>
      <c r="E249" s="45"/>
      <c r="F249" s="115"/>
      <c r="G249" s="115"/>
    </row>
    <row r="250" spans="1:7" x14ac:dyDescent="0.25">
      <c r="A250" s="3"/>
      <c r="D250" s="96"/>
      <c r="E250" s="45"/>
      <c r="F250" s="115"/>
      <c r="G250" s="115"/>
    </row>
    <row r="251" spans="1:7" x14ac:dyDescent="0.25">
      <c r="A251" s="3"/>
      <c r="D251" s="96"/>
      <c r="E251" s="45"/>
      <c r="F251" s="115"/>
      <c r="G251" s="115"/>
    </row>
    <row r="252" spans="1:7" x14ac:dyDescent="0.25">
      <c r="A252" s="3"/>
      <c r="D252" s="96"/>
      <c r="E252" s="45"/>
      <c r="F252" s="115"/>
      <c r="G252" s="115"/>
    </row>
    <row r="253" spans="1:7" x14ac:dyDescent="0.25">
      <c r="A253" s="3"/>
      <c r="D253" s="96"/>
      <c r="E253" s="45"/>
      <c r="F253" s="115"/>
      <c r="G253" s="115"/>
    </row>
    <row r="254" spans="1:7" x14ac:dyDescent="0.25">
      <c r="A254" s="3"/>
      <c r="D254" s="96"/>
      <c r="E254" s="45"/>
      <c r="F254" s="115"/>
      <c r="G254" s="115"/>
    </row>
    <row r="255" spans="1:7" x14ac:dyDescent="0.25">
      <c r="A255" s="3"/>
      <c r="D255" s="96"/>
      <c r="E255" s="45"/>
      <c r="F255" s="115"/>
      <c r="G255" s="115"/>
    </row>
    <row r="256" spans="1:7" x14ac:dyDescent="0.25">
      <c r="A256" s="3"/>
      <c r="D256" s="96"/>
      <c r="E256" s="45"/>
      <c r="F256" s="115"/>
      <c r="G256" s="115"/>
    </row>
    <row r="257" spans="1:7" x14ac:dyDescent="0.25">
      <c r="A257" s="3"/>
      <c r="D257" s="96"/>
      <c r="E257" s="45"/>
      <c r="F257" s="115"/>
      <c r="G257" s="115"/>
    </row>
    <row r="258" spans="1:7" x14ac:dyDescent="0.25">
      <c r="A258" s="3"/>
      <c r="D258" s="96"/>
      <c r="E258" s="45"/>
      <c r="F258" s="115"/>
      <c r="G258" s="115"/>
    </row>
    <row r="259" spans="1:7" x14ac:dyDescent="0.25">
      <c r="A259" s="3"/>
      <c r="D259" s="96"/>
      <c r="E259" s="45"/>
      <c r="F259" s="115"/>
      <c r="G259" s="115"/>
    </row>
    <row r="260" spans="1:7" x14ac:dyDescent="0.25">
      <c r="A260" s="3"/>
      <c r="D260" s="96"/>
      <c r="E260" s="45"/>
      <c r="F260" s="115"/>
      <c r="G260" s="115"/>
    </row>
    <row r="261" spans="1:7" x14ac:dyDescent="0.25">
      <c r="A261" s="3"/>
      <c r="D261" s="96"/>
      <c r="E261" s="45"/>
      <c r="F261" s="115"/>
      <c r="G261" s="115"/>
    </row>
    <row r="262" spans="1:7" x14ac:dyDescent="0.25">
      <c r="A262" s="3"/>
      <c r="D262" s="96"/>
      <c r="E262" s="45"/>
      <c r="F262" s="115"/>
      <c r="G262" s="115"/>
    </row>
    <row r="263" spans="1:7" x14ac:dyDescent="0.25">
      <c r="A263" s="3"/>
      <c r="D263" s="96"/>
      <c r="E263" s="45"/>
      <c r="F263" s="115"/>
      <c r="G263" s="115"/>
    </row>
    <row r="264" spans="1:7" x14ac:dyDescent="0.25">
      <c r="A264" s="3"/>
      <c r="D264" s="96"/>
      <c r="E264" s="45"/>
      <c r="F264" s="115"/>
      <c r="G264" s="115"/>
    </row>
    <row r="265" spans="1:7" x14ac:dyDescent="0.25">
      <c r="A265" s="3"/>
      <c r="D265" s="96"/>
      <c r="E265" s="45"/>
      <c r="F265" s="115"/>
      <c r="G265" s="115"/>
    </row>
    <row r="266" spans="1:7" x14ac:dyDescent="0.25">
      <c r="A266" s="3"/>
      <c r="D266" s="96"/>
      <c r="E266" s="45"/>
      <c r="F266" s="115"/>
      <c r="G266" s="115"/>
    </row>
    <row r="267" spans="1:7" x14ac:dyDescent="0.25">
      <c r="A267" s="3"/>
      <c r="D267" s="96"/>
      <c r="E267" s="45"/>
      <c r="F267" s="115"/>
      <c r="G267" s="115"/>
    </row>
    <row r="268" spans="1:7" x14ac:dyDescent="0.25">
      <c r="A268" s="3"/>
      <c r="D268" s="96"/>
      <c r="E268" s="45"/>
      <c r="F268" s="115"/>
      <c r="G268" s="115"/>
    </row>
    <row r="269" spans="1:7" x14ac:dyDescent="0.25">
      <c r="A269" s="3"/>
      <c r="D269" s="96"/>
      <c r="E269" s="45"/>
      <c r="F269" s="115"/>
      <c r="G269" s="115"/>
    </row>
    <row r="270" spans="1:7" x14ac:dyDescent="0.25">
      <c r="A270" s="3"/>
      <c r="D270" s="96"/>
      <c r="E270" s="45"/>
      <c r="F270" s="115"/>
      <c r="G270" s="115"/>
    </row>
    <row r="271" spans="1:7" x14ac:dyDescent="0.25">
      <c r="A271" s="3"/>
      <c r="D271" s="96"/>
      <c r="E271" s="45"/>
      <c r="F271" s="115"/>
      <c r="G271" s="115"/>
    </row>
    <row r="272" spans="1:7" x14ac:dyDescent="0.25">
      <c r="A272" s="3"/>
      <c r="D272" s="96"/>
      <c r="E272" s="45"/>
      <c r="F272" s="115"/>
      <c r="G272" s="115"/>
    </row>
    <row r="273" spans="1:7" x14ac:dyDescent="0.25">
      <c r="A273" s="3"/>
      <c r="D273" s="96"/>
      <c r="E273" s="45"/>
      <c r="F273" s="115"/>
      <c r="G273" s="115"/>
    </row>
    <row r="274" spans="1:7" x14ac:dyDescent="0.25">
      <c r="A274" s="3"/>
      <c r="D274" s="96"/>
      <c r="E274" s="45"/>
      <c r="F274" s="115"/>
      <c r="G274" s="115"/>
    </row>
    <row r="275" spans="1:7" x14ac:dyDescent="0.25">
      <c r="A275" s="3"/>
      <c r="D275" s="96"/>
      <c r="E275" s="45"/>
      <c r="F275" s="115"/>
      <c r="G275" s="115"/>
    </row>
    <row r="276" spans="1:7" x14ac:dyDescent="0.25">
      <c r="A276" s="3"/>
      <c r="D276" s="96"/>
      <c r="E276" s="45"/>
      <c r="F276" s="115"/>
      <c r="G276" s="115"/>
    </row>
    <row r="277" spans="1:7" x14ac:dyDescent="0.25">
      <c r="A277" s="3"/>
      <c r="D277" s="96"/>
      <c r="E277" s="45"/>
      <c r="F277" s="115"/>
      <c r="G277" s="115"/>
    </row>
    <row r="278" spans="1:7" x14ac:dyDescent="0.25">
      <c r="A278" s="3"/>
      <c r="D278" s="96"/>
      <c r="E278" s="45"/>
      <c r="F278" s="115"/>
      <c r="G278" s="115"/>
    </row>
    <row r="279" spans="1:7" x14ac:dyDescent="0.25">
      <c r="A279" s="3"/>
      <c r="D279" s="96"/>
      <c r="E279" s="45"/>
      <c r="F279" s="115"/>
      <c r="G279" s="115"/>
    </row>
    <row r="280" spans="1:7" x14ac:dyDescent="0.25">
      <c r="A280" s="3"/>
      <c r="D280" s="96"/>
      <c r="E280" s="45"/>
      <c r="F280" s="115"/>
      <c r="G280" s="115"/>
    </row>
    <row r="281" spans="1:7" x14ac:dyDescent="0.25">
      <c r="A281" s="3"/>
      <c r="D281" s="96"/>
      <c r="E281" s="45"/>
      <c r="F281" s="115"/>
      <c r="G281" s="115"/>
    </row>
    <row r="282" spans="1:7" x14ac:dyDescent="0.25">
      <c r="A282" s="3"/>
      <c r="D282" s="96"/>
      <c r="E282" s="45"/>
      <c r="F282" s="115"/>
      <c r="G282" s="115"/>
    </row>
    <row r="283" spans="1:7" x14ac:dyDescent="0.25">
      <c r="A283" s="3"/>
      <c r="D283" s="96"/>
      <c r="E283" s="45"/>
      <c r="F283" s="115"/>
      <c r="G283" s="115"/>
    </row>
    <row r="284" spans="1:7" x14ac:dyDescent="0.25">
      <c r="A284" s="3"/>
      <c r="D284" s="96"/>
      <c r="E284" s="45"/>
      <c r="F284" s="115"/>
      <c r="G284" s="115"/>
    </row>
    <row r="285" spans="1:7" x14ac:dyDescent="0.25">
      <c r="A285" s="3"/>
      <c r="D285" s="96"/>
      <c r="E285" s="45"/>
      <c r="F285" s="115"/>
      <c r="G285" s="115"/>
    </row>
    <row r="286" spans="1:7" x14ac:dyDescent="0.25">
      <c r="A286" s="3"/>
      <c r="D286" s="96"/>
      <c r="E286" s="45"/>
      <c r="F286" s="115"/>
      <c r="G286" s="115"/>
    </row>
    <row r="287" spans="1:7" x14ac:dyDescent="0.25">
      <c r="A287" s="3"/>
      <c r="D287" s="96"/>
      <c r="E287" s="45"/>
      <c r="F287" s="115"/>
      <c r="G287" s="115"/>
    </row>
    <row r="288" spans="1:7" x14ac:dyDescent="0.25">
      <c r="A288" s="3"/>
      <c r="D288" s="96"/>
      <c r="E288" s="45"/>
      <c r="F288" s="115"/>
      <c r="G288" s="115"/>
    </row>
    <row r="289" spans="1:7" x14ac:dyDescent="0.25">
      <c r="A289" s="3"/>
      <c r="D289" s="96"/>
      <c r="E289" s="45"/>
      <c r="F289" s="115"/>
      <c r="G289" s="115"/>
    </row>
    <row r="290" spans="1:7" x14ac:dyDescent="0.25">
      <c r="A290" s="3"/>
      <c r="D290" s="96"/>
      <c r="E290" s="45"/>
      <c r="F290" s="115"/>
      <c r="G290" s="115"/>
    </row>
    <row r="291" spans="1:7" x14ac:dyDescent="0.25">
      <c r="A291" s="3"/>
      <c r="D291" s="96"/>
      <c r="E291" s="45"/>
      <c r="F291" s="115"/>
      <c r="G291" s="115"/>
    </row>
    <row r="292" spans="1:7" x14ac:dyDescent="0.25">
      <c r="A292" s="3"/>
      <c r="D292" s="96"/>
      <c r="E292" s="45"/>
      <c r="F292" s="115"/>
      <c r="G292" s="115"/>
    </row>
    <row r="293" spans="1:7" x14ac:dyDescent="0.25">
      <c r="A293" s="3"/>
      <c r="D293" s="96"/>
      <c r="E293" s="45"/>
      <c r="F293" s="115"/>
      <c r="G293" s="115"/>
    </row>
    <row r="294" spans="1:7" x14ac:dyDescent="0.25">
      <c r="A294" s="3"/>
      <c r="D294" s="96"/>
      <c r="E294" s="45"/>
      <c r="F294" s="115"/>
      <c r="G294" s="115"/>
    </row>
    <row r="295" spans="1:7" x14ac:dyDescent="0.25">
      <c r="A295" s="3"/>
      <c r="D295" s="96"/>
      <c r="E295" s="45"/>
      <c r="F295" s="115"/>
      <c r="G295" s="115"/>
    </row>
    <row r="296" spans="1:7" x14ac:dyDescent="0.25">
      <c r="A296" s="3"/>
      <c r="D296" s="96"/>
      <c r="E296" s="45"/>
      <c r="F296" s="115"/>
      <c r="G296" s="115"/>
    </row>
    <row r="297" spans="1:7" x14ac:dyDescent="0.25">
      <c r="A297" s="3"/>
      <c r="D297" s="96"/>
      <c r="E297" s="45"/>
      <c r="F297" s="115"/>
      <c r="G297" s="115"/>
    </row>
    <row r="298" spans="1:7" x14ac:dyDescent="0.25">
      <c r="A298" s="3"/>
      <c r="D298" s="96"/>
      <c r="E298" s="45"/>
      <c r="F298" s="115"/>
      <c r="G298" s="115"/>
    </row>
    <row r="299" spans="1:7" x14ac:dyDescent="0.25">
      <c r="A299" s="3"/>
      <c r="D299" s="96"/>
      <c r="E299" s="45"/>
      <c r="F299" s="115"/>
      <c r="G299" s="115"/>
    </row>
    <row r="300" spans="1:7" x14ac:dyDescent="0.25">
      <c r="A300" s="3"/>
      <c r="D300" s="96"/>
      <c r="E300" s="45"/>
      <c r="F300" s="115"/>
      <c r="G300" s="115"/>
    </row>
    <row r="301" spans="1:7" x14ac:dyDescent="0.25">
      <c r="A301" s="3"/>
      <c r="D301" s="96"/>
      <c r="E301" s="45"/>
      <c r="F301" s="115"/>
      <c r="G301" s="115"/>
    </row>
    <row r="302" spans="1:7" x14ac:dyDescent="0.25">
      <c r="A302" s="3"/>
      <c r="D302" s="96"/>
      <c r="E302" s="45"/>
      <c r="F302" s="115"/>
      <c r="G302" s="115"/>
    </row>
    <row r="303" spans="1:7" x14ac:dyDescent="0.25">
      <c r="A303" s="3"/>
      <c r="D303" s="96"/>
      <c r="E303" s="45"/>
      <c r="F303" s="115"/>
      <c r="G303" s="115"/>
    </row>
    <row r="304" spans="1:7" x14ac:dyDescent="0.25">
      <c r="A304" s="3"/>
      <c r="D304" s="96"/>
      <c r="E304" s="45"/>
      <c r="F304" s="115"/>
      <c r="G304" s="115"/>
    </row>
    <row r="305" spans="1:7" x14ac:dyDescent="0.25">
      <c r="A305" s="3"/>
      <c r="D305" s="96"/>
      <c r="E305" s="45"/>
      <c r="F305" s="115"/>
      <c r="G305" s="115"/>
    </row>
    <row r="306" spans="1:7" x14ac:dyDescent="0.25">
      <c r="A306" s="3"/>
      <c r="D306" s="96"/>
      <c r="E306" s="45"/>
      <c r="F306" s="115"/>
      <c r="G306" s="115"/>
    </row>
    <row r="307" spans="1:7" x14ac:dyDescent="0.25">
      <c r="A307" s="3"/>
      <c r="D307" s="96"/>
      <c r="E307" s="45"/>
      <c r="F307" s="115"/>
      <c r="G307" s="115"/>
    </row>
    <row r="308" spans="1:7" x14ac:dyDescent="0.25">
      <c r="A308" s="3"/>
      <c r="D308" s="96"/>
      <c r="E308" s="45"/>
      <c r="F308" s="115"/>
      <c r="G308" s="115"/>
    </row>
    <row r="309" spans="1:7" x14ac:dyDescent="0.25">
      <c r="A309" s="3"/>
      <c r="D309" s="96"/>
      <c r="E309" s="45"/>
      <c r="F309" s="115"/>
      <c r="G309" s="115"/>
    </row>
    <row r="310" spans="1:7" x14ac:dyDescent="0.25">
      <c r="A310" s="3"/>
      <c r="D310" s="96"/>
      <c r="E310" s="45"/>
      <c r="F310" s="115"/>
      <c r="G310" s="115"/>
    </row>
    <row r="311" spans="1:7" x14ac:dyDescent="0.25">
      <c r="A311" s="3"/>
      <c r="D311" s="96"/>
      <c r="E311" s="45"/>
      <c r="F311" s="115"/>
      <c r="G311" s="115"/>
    </row>
    <row r="312" spans="1:7" x14ac:dyDescent="0.25">
      <c r="A312" s="3"/>
      <c r="D312" s="96"/>
      <c r="E312" s="45"/>
      <c r="F312" s="115"/>
      <c r="G312" s="115"/>
    </row>
    <row r="313" spans="1:7" x14ac:dyDescent="0.25">
      <c r="A313" s="3"/>
      <c r="D313" s="96"/>
      <c r="E313" s="45"/>
      <c r="F313" s="115"/>
      <c r="G313" s="115"/>
    </row>
    <row r="314" spans="1:7" x14ac:dyDescent="0.25">
      <c r="A314" s="3"/>
      <c r="D314" s="96"/>
      <c r="E314" s="45"/>
      <c r="F314" s="115"/>
      <c r="G314" s="115"/>
    </row>
    <row r="315" spans="1:7" x14ac:dyDescent="0.25">
      <c r="A315" s="3"/>
      <c r="D315" s="96"/>
      <c r="E315" s="45"/>
      <c r="F315" s="115"/>
      <c r="G315" s="115"/>
    </row>
    <row r="316" spans="1:7" x14ac:dyDescent="0.25">
      <c r="A316" s="3"/>
      <c r="D316" s="96"/>
      <c r="E316" s="45"/>
      <c r="F316" s="115"/>
      <c r="G316" s="115"/>
    </row>
    <row r="317" spans="1:7" x14ac:dyDescent="0.25">
      <c r="A317" s="3"/>
      <c r="D317" s="96"/>
      <c r="E317" s="45"/>
      <c r="F317" s="115"/>
      <c r="G317" s="115"/>
    </row>
    <row r="318" spans="1:7" x14ac:dyDescent="0.25">
      <c r="A318" s="3"/>
      <c r="D318" s="96"/>
      <c r="E318" s="45"/>
      <c r="F318" s="115"/>
      <c r="G318" s="115"/>
    </row>
    <row r="319" spans="1:7" x14ac:dyDescent="0.25">
      <c r="A319" s="3"/>
      <c r="D319" s="96"/>
      <c r="E319" s="45"/>
      <c r="F319" s="115"/>
      <c r="G319" s="115"/>
    </row>
    <row r="320" spans="1:7" x14ac:dyDescent="0.25">
      <c r="A320" s="3"/>
      <c r="D320" s="96"/>
      <c r="E320" s="45"/>
      <c r="F320" s="115"/>
      <c r="G320" s="115"/>
    </row>
    <row r="321" spans="1:7" x14ac:dyDescent="0.25">
      <c r="A321" s="3"/>
      <c r="D321" s="96"/>
      <c r="E321" s="45"/>
      <c r="F321" s="115"/>
      <c r="G321" s="115"/>
    </row>
    <row r="322" spans="1:7" x14ac:dyDescent="0.25">
      <c r="A322" s="3"/>
      <c r="D322" s="96"/>
      <c r="E322" s="45"/>
      <c r="F322" s="115"/>
      <c r="G322" s="115"/>
    </row>
    <row r="323" spans="1:7" x14ac:dyDescent="0.25">
      <c r="A323" s="3"/>
      <c r="D323" s="96"/>
      <c r="E323" s="45"/>
      <c r="F323" s="115"/>
      <c r="G323" s="115"/>
    </row>
    <row r="324" spans="1:7" x14ac:dyDescent="0.25">
      <c r="A324" s="3"/>
      <c r="D324" s="96"/>
      <c r="E324" s="45"/>
      <c r="F324" s="115"/>
      <c r="G324" s="115"/>
    </row>
    <row r="325" spans="1:7" x14ac:dyDescent="0.25">
      <c r="A325" s="3"/>
      <c r="D325" s="96"/>
      <c r="E325" s="45"/>
      <c r="F325" s="115"/>
      <c r="G325" s="115"/>
    </row>
    <row r="326" spans="1:7" x14ac:dyDescent="0.25">
      <c r="A326" s="3"/>
      <c r="D326" s="96"/>
      <c r="E326" s="45"/>
      <c r="F326" s="115"/>
      <c r="G326" s="115"/>
    </row>
    <row r="327" spans="1:7" x14ac:dyDescent="0.25">
      <c r="A327" s="3"/>
      <c r="D327" s="96"/>
      <c r="E327" s="45"/>
      <c r="F327" s="115"/>
      <c r="G327" s="115"/>
    </row>
    <row r="328" spans="1:7" x14ac:dyDescent="0.25">
      <c r="A328" s="3"/>
      <c r="D328" s="96"/>
      <c r="E328" s="45"/>
      <c r="F328" s="115"/>
      <c r="G328" s="115"/>
    </row>
    <row r="329" spans="1:7" x14ac:dyDescent="0.25">
      <c r="A329" s="3"/>
      <c r="D329" s="96"/>
      <c r="E329" s="45"/>
      <c r="F329" s="115"/>
      <c r="G329" s="115"/>
    </row>
    <row r="330" spans="1:7" x14ac:dyDescent="0.25">
      <c r="A330" s="3"/>
      <c r="D330" s="96"/>
      <c r="E330" s="45"/>
      <c r="F330" s="115"/>
      <c r="G330" s="115"/>
    </row>
    <row r="331" spans="1:7" x14ac:dyDescent="0.25">
      <c r="A331" s="3"/>
      <c r="D331" s="96"/>
      <c r="E331" s="45"/>
      <c r="F331" s="115"/>
      <c r="G331" s="115"/>
    </row>
    <row r="332" spans="1:7" x14ac:dyDescent="0.25">
      <c r="A332" s="3"/>
      <c r="D332" s="96"/>
      <c r="E332" s="45"/>
      <c r="F332" s="115"/>
      <c r="G332" s="115"/>
    </row>
    <row r="333" spans="1:7" x14ac:dyDescent="0.25">
      <c r="A333" s="3"/>
      <c r="D333" s="96"/>
      <c r="E333" s="45"/>
      <c r="F333" s="115"/>
      <c r="G333" s="115"/>
    </row>
    <row r="334" spans="1:7" x14ac:dyDescent="0.25">
      <c r="A334" s="3"/>
      <c r="D334" s="96"/>
      <c r="E334" s="45"/>
      <c r="F334" s="115"/>
      <c r="G334" s="115"/>
    </row>
    <row r="335" spans="1:7" x14ac:dyDescent="0.25">
      <c r="A335" s="3"/>
      <c r="D335" s="96"/>
      <c r="E335" s="45"/>
      <c r="F335" s="115"/>
      <c r="G335" s="115"/>
    </row>
    <row r="336" spans="1:7" x14ac:dyDescent="0.25">
      <c r="A336" s="3"/>
      <c r="D336" s="96"/>
      <c r="E336" s="45"/>
      <c r="F336" s="115"/>
      <c r="G336" s="115"/>
    </row>
    <row r="337" spans="1:7" x14ac:dyDescent="0.25">
      <c r="A337" s="3"/>
      <c r="D337" s="96"/>
      <c r="E337" s="45"/>
      <c r="F337" s="115"/>
      <c r="G337" s="115"/>
    </row>
    <row r="338" spans="1:7" x14ac:dyDescent="0.25">
      <c r="A338" s="3"/>
      <c r="D338" s="96"/>
      <c r="E338" s="45"/>
      <c r="F338" s="115"/>
      <c r="G338" s="115"/>
    </row>
    <row r="339" spans="1:7" x14ac:dyDescent="0.25">
      <c r="A339" s="3"/>
      <c r="D339" s="96"/>
      <c r="E339" s="45"/>
      <c r="F339" s="115"/>
      <c r="G339" s="115"/>
    </row>
    <row r="340" spans="1:7" x14ac:dyDescent="0.25">
      <c r="A340" s="3"/>
      <c r="D340" s="96"/>
      <c r="E340" s="45"/>
      <c r="F340" s="115"/>
      <c r="G340" s="115"/>
    </row>
    <row r="341" spans="1:7" x14ac:dyDescent="0.25">
      <c r="A341" s="3"/>
      <c r="D341" s="96"/>
      <c r="E341" s="45"/>
      <c r="F341" s="115"/>
      <c r="G341" s="115"/>
    </row>
    <row r="342" spans="1:7" x14ac:dyDescent="0.25">
      <c r="A342" s="3"/>
      <c r="D342" s="96"/>
      <c r="E342" s="45"/>
      <c r="F342" s="115"/>
      <c r="G342" s="115"/>
    </row>
    <row r="343" spans="1:7" x14ac:dyDescent="0.25">
      <c r="A343" s="3"/>
      <c r="D343" s="96"/>
      <c r="E343" s="45"/>
      <c r="F343" s="115"/>
      <c r="G343" s="115"/>
    </row>
    <row r="344" spans="1:7" x14ac:dyDescent="0.25">
      <c r="A344" s="3"/>
      <c r="D344" s="96"/>
      <c r="E344" s="45"/>
      <c r="F344" s="115"/>
      <c r="G344" s="115"/>
    </row>
    <row r="345" spans="1:7" x14ac:dyDescent="0.25">
      <c r="A345" s="3"/>
      <c r="D345" s="96"/>
      <c r="E345" s="45"/>
      <c r="F345" s="115"/>
      <c r="G345" s="115"/>
    </row>
    <row r="346" spans="1:7" x14ac:dyDescent="0.25">
      <c r="A346" s="3"/>
      <c r="D346" s="96"/>
      <c r="E346" s="45"/>
      <c r="F346" s="115"/>
      <c r="G346" s="115"/>
    </row>
    <row r="347" spans="1:7" x14ac:dyDescent="0.25">
      <c r="A347" s="3"/>
      <c r="D347" s="96"/>
      <c r="E347" s="45"/>
      <c r="F347" s="115"/>
      <c r="G347" s="115"/>
    </row>
    <row r="348" spans="1:7" x14ac:dyDescent="0.25">
      <c r="A348" s="3"/>
      <c r="D348" s="96"/>
      <c r="E348" s="45"/>
      <c r="F348" s="115"/>
      <c r="G348" s="115"/>
    </row>
    <row r="349" spans="1:7" x14ac:dyDescent="0.25">
      <c r="A349" s="3"/>
      <c r="D349" s="96"/>
      <c r="E349" s="45"/>
      <c r="F349" s="115"/>
      <c r="G349" s="115"/>
    </row>
    <row r="350" spans="1:7" x14ac:dyDescent="0.25">
      <c r="A350" s="3"/>
      <c r="D350" s="96"/>
      <c r="E350" s="45"/>
      <c r="F350" s="115"/>
      <c r="G350" s="115"/>
    </row>
    <row r="351" spans="1:7" x14ac:dyDescent="0.25">
      <c r="A351" s="3"/>
      <c r="D351" s="96"/>
      <c r="E351" s="45"/>
      <c r="F351" s="115"/>
      <c r="G351" s="115"/>
    </row>
    <row r="352" spans="1:7" x14ac:dyDescent="0.25">
      <c r="A352" s="3"/>
      <c r="D352" s="96"/>
      <c r="E352" s="45"/>
      <c r="F352" s="115"/>
      <c r="G352" s="115"/>
    </row>
    <row r="353" spans="1:7" x14ac:dyDescent="0.25">
      <c r="A353" s="3"/>
      <c r="D353" s="96"/>
      <c r="E353" s="45"/>
      <c r="F353" s="115"/>
      <c r="G353" s="115"/>
    </row>
    <row r="354" spans="1:7" x14ac:dyDescent="0.25">
      <c r="A354" s="3"/>
      <c r="D354" s="96"/>
      <c r="E354" s="45"/>
      <c r="F354" s="115"/>
      <c r="G354" s="115"/>
    </row>
    <row r="355" spans="1:7" x14ac:dyDescent="0.25">
      <c r="A355" s="3"/>
      <c r="D355" s="96"/>
      <c r="E355" s="45"/>
      <c r="F355" s="115"/>
      <c r="G355" s="115"/>
    </row>
    <row r="356" spans="1:7" x14ac:dyDescent="0.25">
      <c r="A356" s="3"/>
      <c r="D356" s="96"/>
      <c r="E356" s="45"/>
      <c r="F356" s="115"/>
      <c r="G356" s="115"/>
    </row>
    <row r="357" spans="1:7" x14ac:dyDescent="0.25">
      <c r="A357" s="3"/>
      <c r="D357" s="96"/>
      <c r="E357" s="45"/>
      <c r="F357" s="115"/>
      <c r="G357" s="115"/>
    </row>
    <row r="358" spans="1:7" x14ac:dyDescent="0.25">
      <c r="A358" s="3"/>
      <c r="D358" s="96"/>
      <c r="E358" s="45"/>
      <c r="F358" s="115"/>
      <c r="G358" s="115"/>
    </row>
    <row r="359" spans="1:7" x14ac:dyDescent="0.25">
      <c r="A359" s="3"/>
      <c r="D359" s="96"/>
      <c r="E359" s="45"/>
      <c r="F359" s="115"/>
      <c r="G359" s="115"/>
    </row>
    <row r="360" spans="1:7" x14ac:dyDescent="0.25">
      <c r="A360" s="3"/>
      <c r="D360" s="96"/>
      <c r="E360" s="45"/>
      <c r="F360" s="115"/>
      <c r="G360" s="115"/>
    </row>
    <row r="361" spans="1:7" x14ac:dyDescent="0.25">
      <c r="A361" s="3"/>
      <c r="D361" s="96"/>
      <c r="E361" s="45"/>
      <c r="F361" s="115"/>
      <c r="G361" s="115"/>
    </row>
    <row r="362" spans="1:7" x14ac:dyDescent="0.25">
      <c r="A362" s="3"/>
      <c r="D362" s="96"/>
      <c r="E362" s="45"/>
      <c r="F362" s="115"/>
      <c r="G362" s="115"/>
    </row>
    <row r="363" spans="1:7" x14ac:dyDescent="0.25">
      <c r="A363" s="3"/>
      <c r="D363" s="96"/>
      <c r="E363" s="45"/>
      <c r="F363" s="115"/>
      <c r="G363" s="115"/>
    </row>
    <row r="364" spans="1:7" x14ac:dyDescent="0.25">
      <c r="A364" s="3"/>
      <c r="D364" s="96"/>
      <c r="E364" s="45"/>
      <c r="F364" s="115"/>
      <c r="G364" s="115"/>
    </row>
    <row r="365" spans="1:7" x14ac:dyDescent="0.25">
      <c r="A365" s="3"/>
      <c r="D365" s="96"/>
      <c r="E365" s="45"/>
      <c r="F365" s="115"/>
      <c r="G365" s="115"/>
    </row>
    <row r="366" spans="1:7" x14ac:dyDescent="0.25">
      <c r="A366" s="3"/>
      <c r="D366" s="96"/>
      <c r="E366" s="45"/>
      <c r="F366" s="115"/>
      <c r="G366" s="115"/>
    </row>
    <row r="367" spans="1:7" x14ac:dyDescent="0.25">
      <c r="A367" s="3"/>
      <c r="D367" s="96"/>
      <c r="E367" s="45"/>
      <c r="F367" s="115"/>
      <c r="G367" s="115"/>
    </row>
    <row r="368" spans="1:7" x14ac:dyDescent="0.25">
      <c r="A368" s="3"/>
      <c r="D368" s="96"/>
      <c r="E368" s="45"/>
      <c r="F368" s="115"/>
      <c r="G368" s="115"/>
    </row>
    <row r="369" spans="1:7" x14ac:dyDescent="0.25">
      <c r="A369" s="3"/>
      <c r="D369" s="96"/>
      <c r="E369" s="45"/>
      <c r="F369" s="115"/>
      <c r="G369" s="115"/>
    </row>
    <row r="370" spans="1:7" x14ac:dyDescent="0.25">
      <c r="A370" s="111"/>
      <c r="D370" s="112"/>
      <c r="E370" s="113"/>
      <c r="F370" s="114"/>
      <c r="G370" s="11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9B44DE9-A655-44C4-AC1C-52CDCD92618E}">
            <xm:f>AND(D2&lt;&gt;"",SUMPRODUCT(--EXACT(D2,'Plate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D2:G97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S98"/>
  <sheetViews>
    <sheetView tabSelected="1" zoomScale="90" zoomScaleNormal="90" workbookViewId="0">
      <selection activeCell="O4" sqref="O4"/>
    </sheetView>
  </sheetViews>
  <sheetFormatPr baseColWidth="10" defaultColWidth="11.42578125" defaultRowHeight="15" x14ac:dyDescent="0.25"/>
  <cols>
    <col min="1" max="1" width="8.7109375" customWidth="1"/>
    <col min="2" max="4" width="8.140625" hidden="1" customWidth="1"/>
    <col min="5" max="6" width="6" hidden="1" customWidth="1"/>
    <col min="7" max="7" width="7.5703125" hidden="1" customWidth="1"/>
    <col min="8" max="8" width="24" bestFit="1" customWidth="1"/>
    <col min="9" max="9" width="9" bestFit="1" customWidth="1"/>
    <col min="10" max="10" width="9.140625" style="3"/>
    <col min="11" max="11" width="27.85546875" style="3" customWidth="1"/>
    <col min="12" max="12" width="16.7109375" style="3" bestFit="1" customWidth="1"/>
    <col min="13" max="13" width="22.85546875" style="3" customWidth="1"/>
    <col min="14" max="14" width="23" style="3" customWidth="1"/>
    <col min="15" max="15" width="18.7109375" style="9" bestFit="1" customWidth="1"/>
    <col min="16" max="16" width="11" style="3" bestFit="1" customWidth="1"/>
    <col min="17" max="17" width="11.5703125" style="3" bestFit="1" customWidth="1"/>
    <col min="18" max="18" width="50.85546875" style="3" bestFit="1" customWidth="1"/>
    <col min="22" max="22" width="4.42578125" customWidth="1"/>
    <col min="23" max="23" width="24" bestFit="1" customWidth="1"/>
    <col min="24" max="24" width="18.140625" bestFit="1" customWidth="1"/>
    <col min="25" max="25" width="23.5703125" bestFit="1" customWidth="1"/>
    <col min="26" max="26" width="17.7109375" bestFit="1" customWidth="1"/>
    <col min="28" max="28" width="12.28515625" bestFit="1" customWidth="1"/>
  </cols>
  <sheetData>
    <row r="1" spans="1:19" ht="15.75" thickBot="1" x14ac:dyDescent="0.3">
      <c r="A1" s="20" t="s">
        <v>117</v>
      </c>
      <c r="B1" s="21" t="s">
        <v>118</v>
      </c>
      <c r="C1" s="21" t="s">
        <v>119</v>
      </c>
      <c r="D1" s="21" t="s">
        <v>120</v>
      </c>
      <c r="E1" s="21">
        <v>260</v>
      </c>
      <c r="F1" s="21">
        <v>280</v>
      </c>
      <c r="G1" s="21" t="s">
        <v>121</v>
      </c>
      <c r="H1" s="23" t="s">
        <v>142</v>
      </c>
      <c r="I1" s="208" t="s">
        <v>122</v>
      </c>
      <c r="J1" s="216" t="s">
        <v>123</v>
      </c>
      <c r="K1" s="217" t="s">
        <v>130</v>
      </c>
      <c r="L1" s="218" t="s">
        <v>199</v>
      </c>
      <c r="M1" s="219" t="s">
        <v>198</v>
      </c>
      <c r="N1" s="217" t="s">
        <v>140</v>
      </c>
      <c r="O1" s="217" t="s">
        <v>124</v>
      </c>
      <c r="P1" s="214" t="s">
        <v>125</v>
      </c>
      <c r="Q1" s="214" t="s">
        <v>126</v>
      </c>
      <c r="R1" s="22" t="s">
        <v>127</v>
      </c>
      <c r="S1" s="23" t="s">
        <v>11</v>
      </c>
    </row>
    <row r="2" spans="1:19" ht="15" customHeight="1" x14ac:dyDescent="0.25">
      <c r="A2" s="32" t="str">
        <f>IF(I2="","",S2)</f>
        <v>A01</v>
      </c>
      <c r="B2" s="33">
        <v>0.39800000000000002</v>
      </c>
      <c r="C2" s="33">
        <v>0.221</v>
      </c>
      <c r="D2" s="33">
        <v>3.9E-2</v>
      </c>
      <c r="E2" s="33">
        <v>0.35499999999999998</v>
      </c>
      <c r="F2" s="33">
        <v>0.17899999999999999</v>
      </c>
      <c r="G2" s="33">
        <v>1.978</v>
      </c>
      <c r="H2" s="47" t="str">
        <f>Source_Plate!A2</f>
        <v>Psyn</v>
      </c>
      <c r="I2" s="215">
        <v>75</v>
      </c>
      <c r="J2" s="209">
        <v>2142</v>
      </c>
      <c r="K2" s="210">
        <f>(N2*1000)*(617.96*J2+36.04)/1000000000</f>
        <v>13.237063600000003</v>
      </c>
      <c r="L2" s="211">
        <f>IFERROR((K2/I2)*M2," ")</f>
        <v>17.649418133333334</v>
      </c>
      <c r="M2" s="186">
        <v>100</v>
      </c>
      <c r="N2" s="212">
        <v>10</v>
      </c>
      <c r="O2" s="213"/>
      <c r="P2" s="111"/>
      <c r="Q2" s="111"/>
      <c r="R2" s="56"/>
      <c r="S2" s="24" t="s">
        <v>12</v>
      </c>
    </row>
    <row r="3" spans="1:19" x14ac:dyDescent="0.25">
      <c r="A3" s="36" t="str">
        <f t="shared" ref="A3:A33" si="0">IF(I3="","",S3)</f>
        <v>B01</v>
      </c>
      <c r="B3" s="37">
        <v>0.53400000000000003</v>
      </c>
      <c r="C3" s="37">
        <v>0.28000000000000003</v>
      </c>
      <c r="D3" s="37">
        <v>4.2000000000000003E-2</v>
      </c>
      <c r="E3" s="37">
        <v>0.49199999999999999</v>
      </c>
      <c r="F3" s="37">
        <v>0.23699999999999999</v>
      </c>
      <c r="G3" s="37">
        <v>2.0790000000000002</v>
      </c>
      <c r="H3" s="48" t="str">
        <f>Source_Plate!A3</f>
        <v>RBS</v>
      </c>
      <c r="I3" s="52">
        <v>143</v>
      </c>
      <c r="J3" s="53">
        <v>2142</v>
      </c>
      <c r="K3" s="38">
        <f t="shared" ref="K3:K66" si="1">(N3*1000)*(617.96*J3+36.04)/1000000000</f>
        <v>13.237063600000003</v>
      </c>
      <c r="L3" s="177">
        <f t="shared" ref="L3:L66" si="2">IFERROR((K3/I3)*M3," ")</f>
        <v>9.2566878321678345</v>
      </c>
      <c r="M3" s="185">
        <v>100</v>
      </c>
      <c r="N3" s="182">
        <v>10</v>
      </c>
      <c r="O3" s="39"/>
      <c r="P3" s="1"/>
      <c r="Q3" s="1"/>
      <c r="R3" s="57"/>
      <c r="S3" s="25" t="s">
        <v>13</v>
      </c>
    </row>
    <row r="4" spans="1:19" x14ac:dyDescent="0.25">
      <c r="A4" s="36" t="str">
        <f t="shared" si="0"/>
        <v>C01</v>
      </c>
      <c r="B4" s="37">
        <v>0.38500000000000001</v>
      </c>
      <c r="C4" s="37">
        <v>0.221</v>
      </c>
      <c r="D4" s="37">
        <v>0.05</v>
      </c>
      <c r="E4" s="37">
        <v>0.33100000000000002</v>
      </c>
      <c r="F4" s="37">
        <v>0.16800000000000001</v>
      </c>
      <c r="G4" s="37">
        <v>1.9710000000000001</v>
      </c>
      <c r="H4" s="48" t="str">
        <f>Source_Plate!A4</f>
        <v>aroF_S188C</v>
      </c>
      <c r="I4" s="52">
        <v>179</v>
      </c>
      <c r="J4" s="53">
        <v>3206</v>
      </c>
      <c r="K4" s="38">
        <f t="shared" si="1"/>
        <v>19.812158</v>
      </c>
      <c r="L4" s="177">
        <f t="shared" si="2"/>
        <v>11.06824469273743</v>
      </c>
      <c r="M4" s="185">
        <v>100</v>
      </c>
      <c r="N4" s="182">
        <v>10</v>
      </c>
      <c r="O4" s="39"/>
      <c r="P4" s="1"/>
      <c r="Q4" s="1"/>
      <c r="R4" s="57"/>
      <c r="S4" s="25" t="s">
        <v>14</v>
      </c>
    </row>
    <row r="5" spans="1:19" x14ac:dyDescent="0.25">
      <c r="A5" s="36" t="str">
        <f t="shared" si="0"/>
        <v>D01</v>
      </c>
      <c r="B5" s="40">
        <v>0.47599999999999998</v>
      </c>
      <c r="C5" s="40">
        <v>0.36599999999999999</v>
      </c>
      <c r="D5" s="40">
        <v>0.15</v>
      </c>
      <c r="E5" s="40">
        <v>0.32200000000000001</v>
      </c>
      <c r="F5" s="40">
        <v>0.214</v>
      </c>
      <c r="G5" s="40">
        <v>1.508</v>
      </c>
      <c r="H5" s="48" t="str">
        <f>Source_Plate!A5</f>
        <v>TrrnB</v>
      </c>
      <c r="I5" s="52">
        <v>63</v>
      </c>
      <c r="J5" s="53">
        <v>2341</v>
      </c>
      <c r="K5" s="38">
        <f t="shared" si="1"/>
        <v>14.466804000000002</v>
      </c>
      <c r="L5" s="177">
        <f t="shared" si="2"/>
        <v>22.963180952380956</v>
      </c>
      <c r="M5" s="185">
        <v>100</v>
      </c>
      <c r="N5" s="182">
        <v>10</v>
      </c>
      <c r="O5" s="39"/>
      <c r="P5" s="1"/>
      <c r="Q5" s="1"/>
      <c r="R5" s="57"/>
      <c r="S5" s="25" t="s">
        <v>15</v>
      </c>
    </row>
    <row r="6" spans="1:19" x14ac:dyDescent="0.25">
      <c r="A6" s="36" t="str">
        <f t="shared" si="0"/>
        <v>E01</v>
      </c>
      <c r="B6" s="37">
        <v>0.58699999999999997</v>
      </c>
      <c r="C6" s="37">
        <v>0.32400000000000001</v>
      </c>
      <c r="D6" s="37">
        <v>7.2999999999999995E-2</v>
      </c>
      <c r="E6" s="37">
        <v>0.50900000000000001</v>
      </c>
      <c r="F6" s="37">
        <v>0.248</v>
      </c>
      <c r="G6" s="37">
        <v>2.0550000000000002</v>
      </c>
      <c r="H6" s="48" t="str">
        <f>Source_Plate!A6</f>
        <v>DVK_AE</v>
      </c>
      <c r="I6" s="52">
        <v>120</v>
      </c>
      <c r="J6" s="53">
        <v>40</v>
      </c>
      <c r="K6" s="38">
        <f t="shared" si="1"/>
        <v>0.24754440000000003</v>
      </c>
      <c r="L6" s="177">
        <f>IFERROR((K6/I6)*M6," ")</f>
        <v>0.206287</v>
      </c>
      <c r="M6" s="185">
        <v>100</v>
      </c>
      <c r="N6" s="182">
        <v>10</v>
      </c>
      <c r="O6" s="39"/>
      <c r="P6" s="1"/>
      <c r="Q6" s="1"/>
      <c r="R6" s="57"/>
      <c r="S6" s="25" t="s">
        <v>16</v>
      </c>
    </row>
    <row r="7" spans="1:19" x14ac:dyDescent="0.25">
      <c r="A7" s="36" t="str">
        <f t="shared" si="0"/>
        <v/>
      </c>
      <c r="B7" s="37">
        <v>0.29199999999999998</v>
      </c>
      <c r="C7" s="37">
        <v>0.16700000000000001</v>
      </c>
      <c r="D7" s="37">
        <v>3.9E-2</v>
      </c>
      <c r="E7" s="37">
        <v>0.248</v>
      </c>
      <c r="F7" s="37">
        <v>0.125</v>
      </c>
      <c r="G7" s="37">
        <v>1.982</v>
      </c>
      <c r="H7" s="48" t="str">
        <f>Source_Plate!A7</f>
        <v/>
      </c>
      <c r="I7" s="52"/>
      <c r="J7" s="53"/>
      <c r="K7" s="38">
        <f t="shared" si="1"/>
        <v>3.6039999999999998E-4</v>
      </c>
      <c r="L7" s="177" t="str">
        <f t="shared" si="2"/>
        <v xml:space="preserve"> </v>
      </c>
      <c r="M7" s="185">
        <v>100</v>
      </c>
      <c r="N7" s="182">
        <v>10</v>
      </c>
      <c r="O7" s="39"/>
      <c r="P7" s="1"/>
      <c r="Q7" s="1"/>
      <c r="R7" s="57"/>
      <c r="S7" s="25" t="s">
        <v>17</v>
      </c>
    </row>
    <row r="8" spans="1:19" x14ac:dyDescent="0.25">
      <c r="A8" s="36" t="str">
        <f t="shared" si="0"/>
        <v/>
      </c>
      <c r="B8" s="37">
        <v>4.9000000000000002E-2</v>
      </c>
      <c r="C8" s="37">
        <v>4.4999999999999998E-2</v>
      </c>
      <c r="D8" s="37">
        <v>3.9E-2</v>
      </c>
      <c r="E8" s="37">
        <v>6.0000000000000001E-3</v>
      </c>
      <c r="F8" s="37">
        <v>4.0000000000000001E-3</v>
      </c>
      <c r="G8" s="37">
        <v>1.645</v>
      </c>
      <c r="H8" s="48" t="str">
        <f>Source_Plate!A8</f>
        <v/>
      </c>
      <c r="I8" s="52"/>
      <c r="J8" s="53"/>
      <c r="K8" s="38">
        <f t="shared" si="1"/>
        <v>3.6039999999999998E-4</v>
      </c>
      <c r="L8" s="177" t="str">
        <f t="shared" si="2"/>
        <v xml:space="preserve"> </v>
      </c>
      <c r="M8" s="185">
        <v>100</v>
      </c>
      <c r="N8" s="182">
        <v>10</v>
      </c>
      <c r="O8" s="39"/>
      <c r="P8" s="30"/>
      <c r="Q8" s="30"/>
      <c r="R8" s="57"/>
      <c r="S8" s="25" t="s">
        <v>18</v>
      </c>
    </row>
    <row r="9" spans="1:19" ht="15.75" thickBot="1" x14ac:dyDescent="0.3">
      <c r="A9" s="41" t="str">
        <f t="shared" si="0"/>
        <v/>
      </c>
      <c r="B9" s="42">
        <v>0.14199999999999999</v>
      </c>
      <c r="C9" s="42">
        <v>9.0999999999999998E-2</v>
      </c>
      <c r="D9" s="42">
        <v>3.7999999999999999E-2</v>
      </c>
      <c r="E9" s="42">
        <v>0.1</v>
      </c>
      <c r="F9" s="42">
        <v>0.05</v>
      </c>
      <c r="G9" s="42">
        <v>1.9830000000000001</v>
      </c>
      <c r="H9" s="49" t="str">
        <f>Source_Plate!A9</f>
        <v/>
      </c>
      <c r="I9" s="54"/>
      <c r="J9" s="55"/>
      <c r="K9" s="43">
        <f t="shared" si="1"/>
        <v>3.6039999999999998E-4</v>
      </c>
      <c r="L9" s="178" t="str">
        <f t="shared" si="2"/>
        <v xml:space="preserve"> </v>
      </c>
      <c r="M9" s="187">
        <v>100</v>
      </c>
      <c r="N9" s="183">
        <v>10</v>
      </c>
      <c r="O9" s="44"/>
      <c r="P9" s="27"/>
      <c r="Q9" s="27"/>
      <c r="R9" s="58"/>
      <c r="S9" s="26" t="s">
        <v>19</v>
      </c>
    </row>
    <row r="10" spans="1:19" x14ac:dyDescent="0.25">
      <c r="A10" s="32" t="str">
        <f t="shared" si="0"/>
        <v>A02</v>
      </c>
      <c r="B10" s="33">
        <v>0.39</v>
      </c>
      <c r="C10" s="33">
        <v>0.20899999999999999</v>
      </c>
      <c r="D10" s="33">
        <v>3.9E-2</v>
      </c>
      <c r="E10" s="33">
        <v>0.34100000000000003</v>
      </c>
      <c r="F10" s="33">
        <v>0.16400000000000001</v>
      </c>
      <c r="G10" s="33">
        <v>2.0739999999999998</v>
      </c>
      <c r="H10" s="47" t="str">
        <f>Source_Plate!A10</f>
        <v>PH36</v>
      </c>
      <c r="I10" s="50">
        <v>86</v>
      </c>
      <c r="J10" s="51">
        <v>2197</v>
      </c>
      <c r="K10" s="34">
        <f t="shared" si="1"/>
        <v>13.576941600000001</v>
      </c>
      <c r="L10" s="176">
        <f t="shared" si="2"/>
        <v>15.787141395348838</v>
      </c>
      <c r="M10" s="186">
        <v>100</v>
      </c>
      <c r="N10" s="181">
        <v>10</v>
      </c>
      <c r="O10" s="35"/>
      <c r="P10" s="31"/>
      <c r="Q10" s="31"/>
      <c r="R10" s="56"/>
      <c r="S10" s="24" t="s">
        <v>20</v>
      </c>
    </row>
    <row r="11" spans="1:19" x14ac:dyDescent="0.25">
      <c r="A11" s="36" t="str">
        <f t="shared" si="0"/>
        <v/>
      </c>
      <c r="B11" s="37">
        <v>0.28899999999999998</v>
      </c>
      <c r="C11" s="37">
        <v>0.17899999999999999</v>
      </c>
      <c r="D11" s="37">
        <v>6.9000000000000006E-2</v>
      </c>
      <c r="E11" s="37">
        <v>0.21</v>
      </c>
      <c r="F11" s="37">
        <v>0.105</v>
      </c>
      <c r="G11" s="37">
        <v>2.0089999999999999</v>
      </c>
      <c r="H11" s="48" t="str">
        <f>Source_Plate!A11</f>
        <v/>
      </c>
      <c r="I11" s="52"/>
      <c r="J11" s="53"/>
      <c r="K11" s="38">
        <f t="shared" si="1"/>
        <v>3.6039999999999998E-4</v>
      </c>
      <c r="L11" s="177" t="str">
        <f t="shared" si="2"/>
        <v xml:space="preserve"> </v>
      </c>
      <c r="M11" s="185">
        <v>100</v>
      </c>
      <c r="N11" s="182">
        <v>10</v>
      </c>
      <c r="O11" s="39"/>
      <c r="P11" s="1"/>
      <c r="Q11" s="1"/>
      <c r="R11" s="57"/>
      <c r="S11" s="25" t="s">
        <v>21</v>
      </c>
    </row>
    <row r="12" spans="1:19" x14ac:dyDescent="0.25">
      <c r="A12" s="36" t="str">
        <f t="shared" si="0"/>
        <v>C02</v>
      </c>
      <c r="B12" s="37">
        <v>0.26</v>
      </c>
      <c r="C12" s="37">
        <v>0.16200000000000001</v>
      </c>
      <c r="D12" s="37">
        <v>4.5999999999999999E-2</v>
      </c>
      <c r="E12" s="37">
        <v>0.20399999999999999</v>
      </c>
      <c r="F12" s="37">
        <v>0.11</v>
      </c>
      <c r="G12" s="37">
        <v>1.855</v>
      </c>
      <c r="H12" s="48" t="str">
        <f>Source_Plate!A12</f>
        <v>aroC</v>
      </c>
      <c r="I12" s="52">
        <v>308</v>
      </c>
      <c r="J12" s="53">
        <v>3329</v>
      </c>
      <c r="K12" s="38">
        <f t="shared" si="1"/>
        <v>20.572248800000001</v>
      </c>
      <c r="L12" s="177">
        <f t="shared" si="2"/>
        <v>6.6793015584415585</v>
      </c>
      <c r="M12" s="185">
        <v>100</v>
      </c>
      <c r="N12" s="182">
        <v>10</v>
      </c>
      <c r="O12" s="39"/>
      <c r="P12" s="1"/>
      <c r="Q12" s="1"/>
      <c r="R12" s="57"/>
      <c r="S12" s="25" t="s">
        <v>22</v>
      </c>
    </row>
    <row r="13" spans="1:19" x14ac:dyDescent="0.25">
      <c r="A13" s="36" t="str">
        <f t="shared" si="0"/>
        <v/>
      </c>
      <c r="B13" s="40">
        <v>0.25700000000000001</v>
      </c>
      <c r="C13" s="40">
        <v>0.14899999999999999</v>
      </c>
      <c r="D13" s="40">
        <v>3.9E-2</v>
      </c>
      <c r="E13" s="40">
        <v>0.20799999999999999</v>
      </c>
      <c r="F13" s="40">
        <v>0.104</v>
      </c>
      <c r="G13" s="40">
        <v>1.9890000000000001</v>
      </c>
      <c r="H13" s="48" t="str">
        <f>Source_Plate!A13</f>
        <v/>
      </c>
      <c r="I13" s="52"/>
      <c r="J13" s="53"/>
      <c r="K13" s="38">
        <f t="shared" si="1"/>
        <v>3.6039999999999998E-4</v>
      </c>
      <c r="L13" s="177" t="str">
        <f t="shared" si="2"/>
        <v xml:space="preserve"> </v>
      </c>
      <c r="M13" s="185">
        <v>100</v>
      </c>
      <c r="N13" s="182">
        <v>10</v>
      </c>
      <c r="O13" s="39"/>
      <c r="P13" s="1"/>
      <c r="Q13" s="1"/>
      <c r="R13" s="57"/>
      <c r="S13" s="25" t="s">
        <v>23</v>
      </c>
    </row>
    <row r="14" spans="1:19" x14ac:dyDescent="0.25">
      <c r="A14" s="36" t="str">
        <f t="shared" si="0"/>
        <v/>
      </c>
      <c r="B14" s="37">
        <v>0.41299999999999998</v>
      </c>
      <c r="C14" s="37">
        <v>0.255</v>
      </c>
      <c r="D14" s="37">
        <v>7.6999999999999999E-2</v>
      </c>
      <c r="E14" s="37">
        <v>0.32</v>
      </c>
      <c r="F14" s="37">
        <v>0.16900000000000001</v>
      </c>
      <c r="G14" s="37">
        <v>1.893</v>
      </c>
      <c r="H14" s="48" t="str">
        <f>Source_Plate!A14</f>
        <v/>
      </c>
      <c r="I14" s="52"/>
      <c r="J14" s="53"/>
      <c r="K14" s="38">
        <f t="shared" si="1"/>
        <v>3.6039999999999998E-4</v>
      </c>
      <c r="L14" s="177" t="str">
        <f t="shared" si="2"/>
        <v xml:space="preserve"> </v>
      </c>
      <c r="M14" s="185">
        <v>100</v>
      </c>
      <c r="N14" s="182">
        <v>10</v>
      </c>
      <c r="O14" s="39"/>
      <c r="P14" s="1"/>
      <c r="Q14" s="1"/>
      <c r="R14" s="57"/>
      <c r="S14" s="25" t="s">
        <v>24</v>
      </c>
    </row>
    <row r="15" spans="1:19" x14ac:dyDescent="0.25">
      <c r="A15" s="36" t="str">
        <f t="shared" si="0"/>
        <v/>
      </c>
      <c r="B15" s="37">
        <v>0.41099999999999998</v>
      </c>
      <c r="C15" s="37">
        <v>0.317</v>
      </c>
      <c r="D15" s="37">
        <v>0.222</v>
      </c>
      <c r="E15" s="37">
        <v>0.17899999999999999</v>
      </c>
      <c r="F15" s="37">
        <v>8.8999999999999996E-2</v>
      </c>
      <c r="G15" s="37">
        <v>2.0030000000000001</v>
      </c>
      <c r="H15" s="48" t="str">
        <f>Source_Plate!A15</f>
        <v/>
      </c>
      <c r="I15" s="52"/>
      <c r="J15" s="53"/>
      <c r="K15" s="38">
        <f t="shared" si="1"/>
        <v>3.6039999999999998E-4</v>
      </c>
      <c r="L15" s="177" t="str">
        <f t="shared" si="2"/>
        <v xml:space="preserve"> </v>
      </c>
      <c r="M15" s="185">
        <v>100</v>
      </c>
      <c r="N15" s="182">
        <v>10</v>
      </c>
      <c r="O15" s="39"/>
      <c r="P15" s="1"/>
      <c r="Q15" s="1"/>
      <c r="R15" s="57"/>
      <c r="S15" s="25" t="s">
        <v>25</v>
      </c>
    </row>
    <row r="16" spans="1:19" x14ac:dyDescent="0.25">
      <c r="A16" s="36" t="str">
        <f t="shared" si="0"/>
        <v/>
      </c>
      <c r="B16" s="37">
        <v>0.317</v>
      </c>
      <c r="C16" s="37">
        <v>0.26400000000000001</v>
      </c>
      <c r="D16" s="37">
        <v>0.192</v>
      </c>
      <c r="E16" s="37">
        <v>0.11700000000000001</v>
      </c>
      <c r="F16" s="37">
        <v>6.7000000000000004E-2</v>
      </c>
      <c r="G16" s="37">
        <v>1.74</v>
      </c>
      <c r="H16" s="48" t="str">
        <f>Source_Plate!A16</f>
        <v/>
      </c>
      <c r="I16" s="52"/>
      <c r="J16" s="53"/>
      <c r="K16" s="38">
        <f t="shared" si="1"/>
        <v>3.6039999999999998E-4</v>
      </c>
      <c r="L16" s="177" t="str">
        <f t="shared" si="2"/>
        <v xml:space="preserve"> </v>
      </c>
      <c r="M16" s="185">
        <v>100</v>
      </c>
      <c r="N16" s="182">
        <v>10</v>
      </c>
      <c r="O16" s="39"/>
      <c r="P16" s="30"/>
      <c r="Q16" s="30"/>
      <c r="R16" s="57"/>
      <c r="S16" s="25" t="s">
        <v>26</v>
      </c>
    </row>
    <row r="17" spans="1:19" ht="15.75" thickBot="1" x14ac:dyDescent="0.3">
      <c r="A17" s="41" t="str">
        <f t="shared" si="0"/>
        <v/>
      </c>
      <c r="B17" s="42">
        <v>0.48299999999999998</v>
      </c>
      <c r="C17" s="42">
        <v>0.33800000000000002</v>
      </c>
      <c r="D17" s="42">
        <v>0.151</v>
      </c>
      <c r="E17" s="42">
        <v>0.31900000000000001</v>
      </c>
      <c r="F17" s="42">
        <v>0.18</v>
      </c>
      <c r="G17" s="42">
        <v>1.7789999999999999</v>
      </c>
      <c r="H17" s="49" t="str">
        <f>Source_Plate!A17</f>
        <v/>
      </c>
      <c r="I17" s="54"/>
      <c r="J17" s="55"/>
      <c r="K17" s="43">
        <f t="shared" si="1"/>
        <v>3.6039999999999998E-4</v>
      </c>
      <c r="L17" s="178" t="str">
        <f t="shared" si="2"/>
        <v xml:space="preserve"> </v>
      </c>
      <c r="M17" s="187">
        <v>100</v>
      </c>
      <c r="N17" s="183">
        <v>10</v>
      </c>
      <c r="O17" s="44"/>
      <c r="P17" s="27"/>
      <c r="Q17" s="27"/>
      <c r="R17" s="58"/>
      <c r="S17" s="26" t="s">
        <v>27</v>
      </c>
    </row>
    <row r="18" spans="1:19" x14ac:dyDescent="0.25">
      <c r="A18" s="32" t="str">
        <f t="shared" si="0"/>
        <v/>
      </c>
      <c r="B18" s="33">
        <v>0.375</v>
      </c>
      <c r="C18" s="33">
        <v>0.20200000000000001</v>
      </c>
      <c r="D18" s="33">
        <v>4.1000000000000002E-2</v>
      </c>
      <c r="E18" s="33">
        <v>0.32400000000000001</v>
      </c>
      <c r="F18" s="33">
        <v>0.155</v>
      </c>
      <c r="G18" s="33">
        <v>2.089</v>
      </c>
      <c r="H18" s="47" t="str">
        <f>Source_Plate!A18</f>
        <v/>
      </c>
      <c r="I18" s="50"/>
      <c r="J18" s="51"/>
      <c r="K18" s="34">
        <f t="shared" si="1"/>
        <v>3.6039999999999998E-4</v>
      </c>
      <c r="L18" s="176" t="str">
        <f t="shared" si="2"/>
        <v xml:space="preserve"> </v>
      </c>
      <c r="M18" s="186">
        <v>100</v>
      </c>
      <c r="N18" s="181">
        <v>10</v>
      </c>
      <c r="O18" s="35"/>
      <c r="P18" s="31"/>
      <c r="Q18" s="31"/>
      <c r="R18" s="56"/>
      <c r="S18" s="24" t="s">
        <v>28</v>
      </c>
    </row>
    <row r="19" spans="1:19" x14ac:dyDescent="0.25">
      <c r="A19" s="36" t="str">
        <f t="shared" si="0"/>
        <v/>
      </c>
      <c r="B19" s="37">
        <v>0.153</v>
      </c>
      <c r="C19" s="37">
        <v>9.7000000000000003E-2</v>
      </c>
      <c r="D19" s="37">
        <v>3.7999999999999999E-2</v>
      </c>
      <c r="E19" s="37">
        <v>0.108</v>
      </c>
      <c r="F19" s="37">
        <v>5.5E-2</v>
      </c>
      <c r="G19" s="37">
        <v>1.98</v>
      </c>
      <c r="H19" s="48" t="str">
        <f>Source_Plate!A19</f>
        <v/>
      </c>
      <c r="I19" s="52"/>
      <c r="J19" s="53"/>
      <c r="K19" s="38">
        <f t="shared" si="1"/>
        <v>3.6039999999999998E-4</v>
      </c>
      <c r="L19" s="177" t="str">
        <f t="shared" si="2"/>
        <v xml:space="preserve"> </v>
      </c>
      <c r="M19" s="185">
        <v>100</v>
      </c>
      <c r="N19" s="182">
        <v>10</v>
      </c>
      <c r="O19" s="39"/>
      <c r="P19" s="1"/>
      <c r="Q19" s="1"/>
      <c r="R19" s="57"/>
      <c r="S19" s="25" t="s">
        <v>29</v>
      </c>
    </row>
    <row r="20" spans="1:19" x14ac:dyDescent="0.25">
      <c r="A20" s="36" t="str">
        <f t="shared" si="0"/>
        <v/>
      </c>
      <c r="B20" s="37">
        <v>0.53500000000000003</v>
      </c>
      <c r="C20" s="37">
        <v>0.29199999999999998</v>
      </c>
      <c r="D20" s="37">
        <v>5.8000000000000003E-2</v>
      </c>
      <c r="E20" s="37">
        <v>0.45800000000000002</v>
      </c>
      <c r="F20" s="37">
        <v>0.224</v>
      </c>
      <c r="G20" s="37">
        <v>2.0419999999999998</v>
      </c>
      <c r="H20" s="48" t="str">
        <f>Source_Plate!A20</f>
        <v/>
      </c>
      <c r="I20" s="52"/>
      <c r="J20" s="53"/>
      <c r="K20" s="38">
        <f t="shared" si="1"/>
        <v>3.6039999999999998E-4</v>
      </c>
      <c r="L20" s="177" t="str">
        <f t="shared" si="2"/>
        <v xml:space="preserve"> </v>
      </c>
      <c r="M20" s="185">
        <v>100</v>
      </c>
      <c r="N20" s="182">
        <v>10</v>
      </c>
      <c r="O20" s="39"/>
      <c r="P20" s="1"/>
      <c r="Q20" s="1"/>
      <c r="R20" s="57"/>
      <c r="S20" s="25" t="s">
        <v>30</v>
      </c>
    </row>
    <row r="21" spans="1:19" x14ac:dyDescent="0.25">
      <c r="A21" s="36" t="str">
        <f t="shared" si="0"/>
        <v/>
      </c>
      <c r="B21" s="40">
        <v>0.22700000000000001</v>
      </c>
      <c r="C21" s="40">
        <v>0.14099999999999999</v>
      </c>
      <c r="D21" s="40">
        <v>5.1999999999999998E-2</v>
      </c>
      <c r="E21" s="40">
        <v>0.16500000000000001</v>
      </c>
      <c r="F21" s="40">
        <v>8.3000000000000004E-2</v>
      </c>
      <c r="G21" s="40">
        <v>1.9790000000000001</v>
      </c>
      <c r="H21" s="48" t="str">
        <f>Source_Plate!A21</f>
        <v/>
      </c>
      <c r="I21" s="52"/>
      <c r="J21" s="53"/>
      <c r="K21" s="38">
        <f t="shared" si="1"/>
        <v>3.6039999999999998E-4</v>
      </c>
      <c r="L21" s="177" t="str">
        <f t="shared" si="2"/>
        <v xml:space="preserve"> </v>
      </c>
      <c r="M21" s="185">
        <v>100</v>
      </c>
      <c r="N21" s="182">
        <v>10</v>
      </c>
      <c r="O21" s="39"/>
      <c r="P21" s="1"/>
      <c r="Q21" s="1"/>
      <c r="R21" s="57"/>
      <c r="S21" s="25" t="s">
        <v>31</v>
      </c>
    </row>
    <row r="22" spans="1:19" x14ac:dyDescent="0.25">
      <c r="A22" s="36" t="str">
        <f t="shared" si="0"/>
        <v/>
      </c>
      <c r="B22" s="37">
        <v>0.23799999999999999</v>
      </c>
      <c r="C22" s="37">
        <v>0.14000000000000001</v>
      </c>
      <c r="D22" s="37">
        <v>4.2999999999999997E-2</v>
      </c>
      <c r="E22" s="37">
        <v>0.185</v>
      </c>
      <c r="F22" s="37">
        <v>9.0999999999999998E-2</v>
      </c>
      <c r="G22" s="37">
        <v>2.0230000000000001</v>
      </c>
      <c r="H22" s="48" t="str">
        <f>Source_Plate!A22</f>
        <v/>
      </c>
      <c r="I22" s="52"/>
      <c r="J22" s="53"/>
      <c r="K22" s="38">
        <f t="shared" si="1"/>
        <v>3.6039999999999998E-4</v>
      </c>
      <c r="L22" s="177" t="str">
        <f t="shared" si="2"/>
        <v xml:space="preserve"> </v>
      </c>
      <c r="M22" s="185">
        <v>100</v>
      </c>
      <c r="N22" s="182">
        <v>10</v>
      </c>
      <c r="O22" s="39"/>
      <c r="P22" s="1"/>
      <c r="Q22" s="1"/>
      <c r="R22" s="57"/>
      <c r="S22" s="25" t="s">
        <v>32</v>
      </c>
    </row>
    <row r="23" spans="1:19" x14ac:dyDescent="0.25">
      <c r="A23" s="36" t="str">
        <f t="shared" si="0"/>
        <v/>
      </c>
      <c r="B23" s="37">
        <v>0.44500000000000001</v>
      </c>
      <c r="C23" s="37">
        <v>0.23899999999999999</v>
      </c>
      <c r="D23" s="37">
        <v>3.7999999999999999E-2</v>
      </c>
      <c r="E23" s="37">
        <v>0.38800000000000001</v>
      </c>
      <c r="F23" s="37">
        <v>0.191</v>
      </c>
      <c r="G23" s="37">
        <v>2.0350000000000001</v>
      </c>
      <c r="H23" s="48" t="str">
        <f>Source_Plate!A23</f>
        <v/>
      </c>
      <c r="I23" s="52"/>
      <c r="J23" s="53"/>
      <c r="K23" s="38">
        <f t="shared" si="1"/>
        <v>3.6039999999999998E-4</v>
      </c>
      <c r="L23" s="177" t="str">
        <f t="shared" si="2"/>
        <v xml:space="preserve"> </v>
      </c>
      <c r="M23" s="185">
        <v>100</v>
      </c>
      <c r="N23" s="182">
        <v>10</v>
      </c>
      <c r="O23" s="39"/>
      <c r="P23" s="1"/>
      <c r="Q23" s="1"/>
      <c r="R23" s="57"/>
      <c r="S23" s="25" t="s">
        <v>33</v>
      </c>
    </row>
    <row r="24" spans="1:19" x14ac:dyDescent="0.25">
      <c r="A24" s="36" t="str">
        <f t="shared" si="0"/>
        <v/>
      </c>
      <c r="B24" s="37">
        <v>0.495</v>
      </c>
      <c r="C24" s="37">
        <v>0.25900000000000001</v>
      </c>
      <c r="D24" s="37">
        <v>3.9E-2</v>
      </c>
      <c r="E24" s="37">
        <v>0.436</v>
      </c>
      <c r="F24" s="37">
        <v>0.21</v>
      </c>
      <c r="G24" s="37">
        <v>2.0790000000000002</v>
      </c>
      <c r="H24" s="48" t="str">
        <f>Source_Plate!A24</f>
        <v/>
      </c>
      <c r="I24" s="52"/>
      <c r="J24" s="53"/>
      <c r="K24" s="38">
        <f t="shared" si="1"/>
        <v>3.6039999999999998E-4</v>
      </c>
      <c r="L24" s="177" t="str">
        <f t="shared" si="2"/>
        <v xml:space="preserve"> </v>
      </c>
      <c r="M24" s="185">
        <v>100</v>
      </c>
      <c r="N24" s="182">
        <v>10</v>
      </c>
      <c r="O24" s="39"/>
      <c r="P24" s="30"/>
      <c r="Q24" s="30"/>
      <c r="R24" s="57"/>
      <c r="S24" s="25" t="s">
        <v>34</v>
      </c>
    </row>
    <row r="25" spans="1:19" ht="15.75" thickBot="1" x14ac:dyDescent="0.3">
      <c r="A25" s="41" t="str">
        <f t="shared" si="0"/>
        <v/>
      </c>
      <c r="B25" s="42">
        <v>0.30399999999999999</v>
      </c>
      <c r="C25" s="42">
        <v>0.16900000000000001</v>
      </c>
      <c r="D25" s="42">
        <v>3.7999999999999999E-2</v>
      </c>
      <c r="E25" s="42">
        <v>0.254</v>
      </c>
      <c r="F25" s="42">
        <v>0.124</v>
      </c>
      <c r="G25" s="42">
        <v>2.0459999999999998</v>
      </c>
      <c r="H25" s="49" t="str">
        <f>Source_Plate!A25</f>
        <v/>
      </c>
      <c r="I25" s="54"/>
      <c r="J25" s="55"/>
      <c r="K25" s="43">
        <f t="shared" si="1"/>
        <v>3.6039999999999998E-4</v>
      </c>
      <c r="L25" s="178" t="str">
        <f t="shared" si="2"/>
        <v xml:space="preserve"> </v>
      </c>
      <c r="M25" s="187">
        <v>100</v>
      </c>
      <c r="N25" s="183">
        <v>10</v>
      </c>
      <c r="O25" s="44"/>
      <c r="P25" s="27"/>
      <c r="Q25" s="27"/>
      <c r="R25" s="58"/>
      <c r="S25" s="25" t="s">
        <v>35</v>
      </c>
    </row>
    <row r="26" spans="1:19" x14ac:dyDescent="0.25">
      <c r="A26" s="32" t="str">
        <f t="shared" si="0"/>
        <v/>
      </c>
      <c r="B26" s="33">
        <v>0.255</v>
      </c>
      <c r="C26" s="33">
        <v>0.14899999999999999</v>
      </c>
      <c r="D26" s="33">
        <v>3.9E-2</v>
      </c>
      <c r="E26" s="33">
        <v>0.219</v>
      </c>
      <c r="F26" s="33">
        <v>0.11</v>
      </c>
      <c r="G26" s="33">
        <v>1.9870000000000001</v>
      </c>
      <c r="H26" s="47" t="str">
        <f>Source_Plate!A26</f>
        <v/>
      </c>
      <c r="I26" s="50"/>
      <c r="J26" s="51"/>
      <c r="K26" s="34">
        <f t="shared" si="1"/>
        <v>3.6039999999999998E-4</v>
      </c>
      <c r="L26" s="176" t="str">
        <f t="shared" si="2"/>
        <v xml:space="preserve"> </v>
      </c>
      <c r="M26" s="186">
        <v>100</v>
      </c>
      <c r="N26" s="181">
        <v>10</v>
      </c>
      <c r="O26" s="35"/>
      <c r="P26" s="31"/>
      <c r="Q26" s="31"/>
      <c r="R26" s="56"/>
      <c r="S26" s="24" t="s">
        <v>36</v>
      </c>
    </row>
    <row r="27" spans="1:19" x14ac:dyDescent="0.25">
      <c r="A27" s="36" t="str">
        <f t="shared" si="0"/>
        <v/>
      </c>
      <c r="B27" s="37">
        <v>0.22</v>
      </c>
      <c r="C27" s="37">
        <v>0.13300000000000001</v>
      </c>
      <c r="D27" s="37">
        <v>4.1000000000000002E-2</v>
      </c>
      <c r="E27" s="37">
        <v>0.17699999999999999</v>
      </c>
      <c r="F27" s="37">
        <v>0.09</v>
      </c>
      <c r="G27" s="37">
        <v>1.9630000000000001</v>
      </c>
      <c r="H27" s="48" t="str">
        <f>Source_Plate!A27</f>
        <v/>
      </c>
      <c r="I27" s="52"/>
      <c r="J27" s="53"/>
      <c r="K27" s="38">
        <f t="shared" si="1"/>
        <v>3.6039999999999998E-4</v>
      </c>
      <c r="L27" s="177" t="str">
        <f t="shared" si="2"/>
        <v xml:space="preserve"> </v>
      </c>
      <c r="M27" s="185">
        <v>100</v>
      </c>
      <c r="N27" s="182">
        <v>10</v>
      </c>
      <c r="O27" s="39"/>
      <c r="P27" s="1"/>
      <c r="Q27" s="1"/>
      <c r="R27" s="57"/>
      <c r="S27" s="25" t="s">
        <v>37</v>
      </c>
    </row>
    <row r="28" spans="1:19" x14ac:dyDescent="0.25">
      <c r="A28" s="36" t="str">
        <f t="shared" si="0"/>
        <v/>
      </c>
      <c r="B28" s="37">
        <v>0.26600000000000001</v>
      </c>
      <c r="C28" s="37">
        <v>0.14899999999999999</v>
      </c>
      <c r="D28" s="37">
        <v>3.9E-2</v>
      </c>
      <c r="E28" s="37">
        <v>0.221</v>
      </c>
      <c r="F28" s="37">
        <v>0.107</v>
      </c>
      <c r="G28" s="37">
        <v>2.0630000000000002</v>
      </c>
      <c r="H28" s="48" t="str">
        <f>Source_Plate!A28</f>
        <v/>
      </c>
      <c r="I28" s="52"/>
      <c r="J28" s="53"/>
      <c r="K28" s="38">
        <f t="shared" si="1"/>
        <v>3.6039999999999998E-4</v>
      </c>
      <c r="L28" s="177" t="str">
        <f t="shared" si="2"/>
        <v xml:space="preserve"> </v>
      </c>
      <c r="M28" s="185">
        <v>100</v>
      </c>
      <c r="N28" s="182">
        <v>10</v>
      </c>
      <c r="O28" s="39"/>
      <c r="P28" s="1"/>
      <c r="Q28" s="1"/>
      <c r="R28" s="57"/>
      <c r="S28" s="25" t="s">
        <v>38</v>
      </c>
    </row>
    <row r="29" spans="1:19" x14ac:dyDescent="0.25">
      <c r="A29" s="36" t="str">
        <f t="shared" si="0"/>
        <v/>
      </c>
      <c r="B29" s="40">
        <v>0.249</v>
      </c>
      <c r="C29" s="40">
        <v>0.14299999999999999</v>
      </c>
      <c r="D29" s="40">
        <v>3.9E-2</v>
      </c>
      <c r="E29" s="40">
        <v>0.20300000000000001</v>
      </c>
      <c r="F29" s="40">
        <v>0.1</v>
      </c>
      <c r="G29" s="40">
        <v>2.0339999999999998</v>
      </c>
      <c r="H29" s="48" t="str">
        <f>Source_Plate!A29</f>
        <v/>
      </c>
      <c r="I29" s="52"/>
      <c r="J29" s="53"/>
      <c r="K29" s="38">
        <f t="shared" si="1"/>
        <v>3.6039999999999998E-4</v>
      </c>
      <c r="L29" s="177" t="str">
        <f t="shared" si="2"/>
        <v xml:space="preserve"> </v>
      </c>
      <c r="M29" s="185">
        <v>100</v>
      </c>
      <c r="N29" s="182">
        <v>10</v>
      </c>
      <c r="O29" s="39"/>
      <c r="P29" s="1"/>
      <c r="Q29" s="1"/>
      <c r="R29" s="57"/>
      <c r="S29" s="25" t="s">
        <v>39</v>
      </c>
    </row>
    <row r="30" spans="1:19" x14ac:dyDescent="0.25">
      <c r="A30" s="36" t="str">
        <f t="shared" si="0"/>
        <v/>
      </c>
      <c r="B30" s="37">
        <v>0.443</v>
      </c>
      <c r="C30" s="37">
        <v>0.30599999999999999</v>
      </c>
      <c r="D30" s="37">
        <v>0.16900000000000001</v>
      </c>
      <c r="E30" s="37">
        <v>0.26300000000000001</v>
      </c>
      <c r="F30" s="37">
        <v>0.13100000000000001</v>
      </c>
      <c r="G30" s="37">
        <v>2.008</v>
      </c>
      <c r="H30" s="48" t="str">
        <f>Source_Plate!A30</f>
        <v/>
      </c>
      <c r="I30" s="52"/>
      <c r="J30" s="53"/>
      <c r="K30" s="38">
        <f t="shared" si="1"/>
        <v>3.6039999999999998E-4</v>
      </c>
      <c r="L30" s="177" t="str">
        <f t="shared" si="2"/>
        <v xml:space="preserve"> </v>
      </c>
      <c r="M30" s="185">
        <v>100</v>
      </c>
      <c r="N30" s="182">
        <v>10</v>
      </c>
      <c r="O30" s="39"/>
      <c r="P30" s="1"/>
      <c r="Q30" s="1"/>
      <c r="R30" s="57"/>
      <c r="S30" s="25" t="s">
        <v>40</v>
      </c>
    </row>
    <row r="31" spans="1:19" x14ac:dyDescent="0.25">
      <c r="A31" s="36" t="str">
        <f t="shared" si="0"/>
        <v/>
      </c>
      <c r="B31" s="37">
        <v>0.23300000000000001</v>
      </c>
      <c r="C31" s="37">
        <v>0.14399999999999999</v>
      </c>
      <c r="D31" s="37">
        <v>5.2999999999999999E-2</v>
      </c>
      <c r="E31" s="37">
        <v>0.17199999999999999</v>
      </c>
      <c r="F31" s="37">
        <v>8.5999999999999993E-2</v>
      </c>
      <c r="G31" s="37">
        <v>1.988</v>
      </c>
      <c r="H31" s="48" t="str">
        <f>Source_Plate!A31</f>
        <v/>
      </c>
      <c r="I31" s="52"/>
      <c r="J31" s="53"/>
      <c r="K31" s="38">
        <f t="shared" si="1"/>
        <v>3.6039999999999998E-4</v>
      </c>
      <c r="L31" s="177" t="str">
        <f t="shared" si="2"/>
        <v xml:space="preserve"> </v>
      </c>
      <c r="M31" s="185">
        <v>100</v>
      </c>
      <c r="N31" s="182">
        <v>10</v>
      </c>
      <c r="O31" s="39"/>
      <c r="P31" s="1"/>
      <c r="Q31" s="1"/>
      <c r="R31" s="57"/>
      <c r="S31" s="25" t="s">
        <v>41</v>
      </c>
    </row>
    <row r="32" spans="1:19" x14ac:dyDescent="0.25">
      <c r="A32" s="36" t="str">
        <f t="shared" si="0"/>
        <v/>
      </c>
      <c r="B32" s="37">
        <v>0.25600000000000001</v>
      </c>
      <c r="C32" s="37">
        <v>0.14899999999999999</v>
      </c>
      <c r="D32" s="37">
        <v>3.9E-2</v>
      </c>
      <c r="E32" s="37">
        <v>0.20899999999999999</v>
      </c>
      <c r="F32" s="37">
        <v>0.105</v>
      </c>
      <c r="G32" s="37">
        <v>1.9890000000000001</v>
      </c>
      <c r="H32" s="48" t="str">
        <f>Source_Plate!A32</f>
        <v/>
      </c>
      <c r="I32" s="52"/>
      <c r="J32" s="53"/>
      <c r="K32" s="38">
        <f t="shared" si="1"/>
        <v>3.6039999999999998E-4</v>
      </c>
      <c r="L32" s="177" t="str">
        <f t="shared" si="2"/>
        <v xml:space="preserve"> </v>
      </c>
      <c r="M32" s="185">
        <v>100</v>
      </c>
      <c r="N32" s="182">
        <v>10</v>
      </c>
      <c r="O32" s="39"/>
      <c r="P32" s="30"/>
      <c r="Q32" s="30"/>
      <c r="R32" s="57"/>
      <c r="S32" s="25" t="s">
        <v>42</v>
      </c>
    </row>
    <row r="33" spans="1:19" ht="15.75" thickBot="1" x14ac:dyDescent="0.3">
      <c r="A33" s="41" t="str">
        <f t="shared" si="0"/>
        <v/>
      </c>
      <c r="B33" s="42">
        <v>8.6999999999999994E-2</v>
      </c>
      <c r="C33" s="42">
        <v>6.7000000000000004E-2</v>
      </c>
      <c r="D33" s="42">
        <v>4.4999999999999998E-2</v>
      </c>
      <c r="E33" s="42">
        <v>3.7999999999999999E-2</v>
      </c>
      <c r="F33" s="42">
        <v>1.9E-2</v>
      </c>
      <c r="G33" s="42">
        <v>1.9770000000000001</v>
      </c>
      <c r="H33" s="49" t="str">
        <f>Source_Plate!A33</f>
        <v/>
      </c>
      <c r="I33" s="52"/>
      <c r="J33" s="55"/>
      <c r="K33" s="43">
        <f t="shared" si="1"/>
        <v>3.6039999999999998E-4</v>
      </c>
      <c r="L33" s="178" t="str">
        <f t="shared" si="2"/>
        <v xml:space="preserve"> </v>
      </c>
      <c r="M33" s="187">
        <v>100</v>
      </c>
      <c r="N33" s="183">
        <v>10</v>
      </c>
      <c r="O33" s="44"/>
      <c r="P33" s="27"/>
      <c r="Q33" s="27"/>
      <c r="R33" s="58"/>
      <c r="S33" s="26" t="s">
        <v>43</v>
      </c>
    </row>
    <row r="34" spans="1:19" ht="15" customHeight="1" x14ac:dyDescent="0.25">
      <c r="A34" s="32" t="str">
        <f t="shared" ref="A34:A65" si="3">IF(I34="","",S34)</f>
        <v/>
      </c>
      <c r="B34" s="33">
        <v>0.255</v>
      </c>
      <c r="C34" s="33">
        <v>0.14899999999999999</v>
      </c>
      <c r="D34" s="33">
        <v>3.9E-2</v>
      </c>
      <c r="E34" s="33">
        <v>0.219</v>
      </c>
      <c r="F34" s="33">
        <v>0.11</v>
      </c>
      <c r="G34" s="33">
        <v>1.9870000000000001</v>
      </c>
      <c r="H34" s="47" t="str">
        <f>Source_Plate!A34</f>
        <v/>
      </c>
      <c r="I34" s="50"/>
      <c r="J34" s="51"/>
      <c r="K34" s="34">
        <f t="shared" si="1"/>
        <v>3.6039999999999998E-4</v>
      </c>
      <c r="L34" s="176" t="str">
        <f t="shared" si="2"/>
        <v xml:space="preserve"> </v>
      </c>
      <c r="M34" s="186">
        <v>100</v>
      </c>
      <c r="N34" s="181">
        <v>10</v>
      </c>
      <c r="O34" s="35"/>
      <c r="P34" s="31"/>
      <c r="Q34" s="31"/>
      <c r="R34" s="56"/>
      <c r="S34" s="25" t="s">
        <v>44</v>
      </c>
    </row>
    <row r="35" spans="1:19" x14ac:dyDescent="0.25">
      <c r="A35" s="36" t="str">
        <f t="shared" si="3"/>
        <v/>
      </c>
      <c r="B35" s="37">
        <v>0.22</v>
      </c>
      <c r="C35" s="37">
        <v>0.13300000000000001</v>
      </c>
      <c r="D35" s="37">
        <v>4.1000000000000002E-2</v>
      </c>
      <c r="E35" s="37">
        <v>0.17699999999999999</v>
      </c>
      <c r="F35" s="37">
        <v>0.09</v>
      </c>
      <c r="G35" s="37">
        <v>1.9630000000000001</v>
      </c>
      <c r="H35" s="48" t="str">
        <f>Source_Plate!A35</f>
        <v/>
      </c>
      <c r="I35" s="52"/>
      <c r="J35" s="53"/>
      <c r="K35" s="38">
        <f t="shared" si="1"/>
        <v>3.6039999999999998E-4</v>
      </c>
      <c r="L35" s="177" t="str">
        <f t="shared" si="2"/>
        <v xml:space="preserve"> </v>
      </c>
      <c r="M35" s="185">
        <v>100</v>
      </c>
      <c r="N35" s="182">
        <v>10</v>
      </c>
      <c r="O35" s="39"/>
      <c r="P35" s="1"/>
      <c r="Q35" s="1"/>
      <c r="R35" s="57"/>
      <c r="S35" s="25" t="s">
        <v>45</v>
      </c>
    </row>
    <row r="36" spans="1:19" x14ac:dyDescent="0.25">
      <c r="A36" s="36" t="str">
        <f t="shared" si="3"/>
        <v/>
      </c>
      <c r="B36" s="37">
        <v>0.26600000000000001</v>
      </c>
      <c r="C36" s="37">
        <v>0.14899999999999999</v>
      </c>
      <c r="D36" s="37">
        <v>3.9E-2</v>
      </c>
      <c r="E36" s="37">
        <v>0.221</v>
      </c>
      <c r="F36" s="37">
        <v>0.107</v>
      </c>
      <c r="G36" s="37">
        <v>2.0630000000000002</v>
      </c>
      <c r="H36" s="48" t="str">
        <f>Source_Plate!A36</f>
        <v/>
      </c>
      <c r="I36" s="52"/>
      <c r="J36" s="53"/>
      <c r="K36" s="38">
        <f t="shared" si="1"/>
        <v>3.6039999999999998E-4</v>
      </c>
      <c r="L36" s="177" t="str">
        <f t="shared" si="2"/>
        <v xml:space="preserve"> </v>
      </c>
      <c r="M36" s="185">
        <v>100</v>
      </c>
      <c r="N36" s="182">
        <v>10</v>
      </c>
      <c r="O36" s="39"/>
      <c r="P36" s="1"/>
      <c r="Q36" s="1"/>
      <c r="R36" s="57"/>
      <c r="S36" s="25" t="s">
        <v>46</v>
      </c>
    </row>
    <row r="37" spans="1:19" x14ac:dyDescent="0.25">
      <c r="A37" s="36" t="str">
        <f t="shared" si="3"/>
        <v/>
      </c>
      <c r="B37" s="40">
        <v>0.249</v>
      </c>
      <c r="C37" s="40">
        <v>0.14299999999999999</v>
      </c>
      <c r="D37" s="40">
        <v>3.9E-2</v>
      </c>
      <c r="E37" s="40">
        <v>0.20300000000000001</v>
      </c>
      <c r="F37" s="40">
        <v>0.1</v>
      </c>
      <c r="G37" s="40">
        <v>2.0339999999999998</v>
      </c>
      <c r="H37" s="48" t="str">
        <f>Source_Plate!A37</f>
        <v/>
      </c>
      <c r="I37" s="52"/>
      <c r="J37" s="53"/>
      <c r="K37" s="38">
        <f t="shared" si="1"/>
        <v>3.6039999999999998E-4</v>
      </c>
      <c r="L37" s="179" t="str">
        <f t="shared" si="2"/>
        <v xml:space="preserve"> </v>
      </c>
      <c r="M37" s="185">
        <v>100</v>
      </c>
      <c r="N37" s="182">
        <v>10</v>
      </c>
      <c r="O37" s="39"/>
      <c r="P37" s="1"/>
      <c r="Q37" s="1"/>
      <c r="R37" s="57"/>
      <c r="S37" s="25" t="s">
        <v>47</v>
      </c>
    </row>
    <row r="38" spans="1:19" x14ac:dyDescent="0.25">
      <c r="A38" s="36" t="str">
        <f t="shared" si="3"/>
        <v/>
      </c>
      <c r="B38" s="37">
        <v>0.443</v>
      </c>
      <c r="C38" s="37">
        <v>0.30599999999999999</v>
      </c>
      <c r="D38" s="37">
        <v>0.16900000000000001</v>
      </c>
      <c r="E38" s="37">
        <v>0.26300000000000001</v>
      </c>
      <c r="F38" s="37">
        <v>0.13100000000000001</v>
      </c>
      <c r="G38" s="37">
        <v>2.008</v>
      </c>
      <c r="H38" s="48" t="str">
        <f>Source_Plate!A38</f>
        <v/>
      </c>
      <c r="I38" s="52"/>
      <c r="J38" s="53"/>
      <c r="K38" s="38">
        <f t="shared" si="1"/>
        <v>3.6039999999999998E-4</v>
      </c>
      <c r="L38" s="179" t="str">
        <f t="shared" si="2"/>
        <v xml:space="preserve"> </v>
      </c>
      <c r="M38" s="185">
        <v>100</v>
      </c>
      <c r="N38" s="182">
        <v>10</v>
      </c>
      <c r="O38" s="39"/>
      <c r="P38" s="1"/>
      <c r="Q38" s="1"/>
      <c r="R38" s="57"/>
      <c r="S38" s="25" t="s">
        <v>48</v>
      </c>
    </row>
    <row r="39" spans="1:19" x14ac:dyDescent="0.25">
      <c r="A39" s="36" t="str">
        <f t="shared" si="3"/>
        <v/>
      </c>
      <c r="B39" s="37">
        <v>0.23300000000000001</v>
      </c>
      <c r="C39" s="37">
        <v>0.14399999999999999</v>
      </c>
      <c r="D39" s="37">
        <v>5.2999999999999999E-2</v>
      </c>
      <c r="E39" s="37">
        <v>0.17199999999999999</v>
      </c>
      <c r="F39" s="37">
        <v>8.5999999999999993E-2</v>
      </c>
      <c r="G39" s="37">
        <v>1.988</v>
      </c>
      <c r="H39" s="48" t="str">
        <f>Source_Plate!A39</f>
        <v/>
      </c>
      <c r="I39" s="52"/>
      <c r="J39" s="53"/>
      <c r="K39" s="38">
        <f t="shared" si="1"/>
        <v>3.6039999999999998E-4</v>
      </c>
      <c r="L39" s="179" t="str">
        <f t="shared" si="2"/>
        <v xml:space="preserve"> </v>
      </c>
      <c r="M39" s="185">
        <v>100</v>
      </c>
      <c r="N39" s="182">
        <v>10</v>
      </c>
      <c r="O39" s="39"/>
      <c r="P39" s="1"/>
      <c r="Q39" s="1"/>
      <c r="R39" s="57"/>
      <c r="S39" s="25" t="s">
        <v>49</v>
      </c>
    </row>
    <row r="40" spans="1:19" x14ac:dyDescent="0.25">
      <c r="A40" s="36" t="str">
        <f t="shared" si="3"/>
        <v/>
      </c>
      <c r="B40" s="37">
        <v>0.25600000000000001</v>
      </c>
      <c r="C40" s="37">
        <v>0.14899999999999999</v>
      </c>
      <c r="D40" s="37">
        <v>3.9E-2</v>
      </c>
      <c r="E40" s="37">
        <v>0.20899999999999999</v>
      </c>
      <c r="F40" s="37">
        <v>0.105</v>
      </c>
      <c r="G40" s="37">
        <v>1.9890000000000001</v>
      </c>
      <c r="H40" s="48" t="str">
        <f>Source_Plate!A40</f>
        <v/>
      </c>
      <c r="I40" s="52"/>
      <c r="J40" s="53"/>
      <c r="K40" s="38">
        <f t="shared" si="1"/>
        <v>3.6039999999999998E-4</v>
      </c>
      <c r="L40" s="179" t="str">
        <f>IFERROR((K40/I40)*M40," ")</f>
        <v xml:space="preserve"> </v>
      </c>
      <c r="M40" s="185">
        <v>100</v>
      </c>
      <c r="N40" s="182">
        <v>10</v>
      </c>
      <c r="O40" s="39"/>
      <c r="P40" s="30"/>
      <c r="Q40" s="30"/>
      <c r="R40" s="57"/>
      <c r="S40" s="25" t="s">
        <v>50</v>
      </c>
    </row>
    <row r="41" spans="1:19" ht="15.75" thickBot="1" x14ac:dyDescent="0.3">
      <c r="A41" s="41" t="str">
        <f t="shared" si="3"/>
        <v/>
      </c>
      <c r="B41" s="42">
        <v>8.6999999999999994E-2</v>
      </c>
      <c r="C41" s="42">
        <v>6.7000000000000004E-2</v>
      </c>
      <c r="D41" s="42">
        <v>4.4999999999999998E-2</v>
      </c>
      <c r="E41" s="42">
        <v>3.7999999999999999E-2</v>
      </c>
      <c r="F41" s="42">
        <v>1.9E-2</v>
      </c>
      <c r="G41" s="42">
        <v>1.9770000000000001</v>
      </c>
      <c r="H41" s="49" t="str">
        <f>Source_Plate!A41</f>
        <v/>
      </c>
      <c r="I41" s="54"/>
      <c r="J41" s="55"/>
      <c r="K41" s="43">
        <f t="shared" si="1"/>
        <v>3.6039999999999998E-4</v>
      </c>
      <c r="L41" s="180" t="str">
        <f t="shared" si="2"/>
        <v xml:space="preserve"> </v>
      </c>
      <c r="M41" s="187">
        <v>100</v>
      </c>
      <c r="N41" s="183">
        <v>10</v>
      </c>
      <c r="O41" s="44"/>
      <c r="P41" s="27"/>
      <c r="Q41" s="27"/>
      <c r="R41" s="58"/>
      <c r="S41" s="26" t="s">
        <v>51</v>
      </c>
    </row>
    <row r="42" spans="1:19" x14ac:dyDescent="0.25">
      <c r="A42" s="32" t="str">
        <f t="shared" si="3"/>
        <v/>
      </c>
      <c r="B42" s="33">
        <v>0.40799999999999997</v>
      </c>
      <c r="C42" s="33">
        <v>0.221</v>
      </c>
      <c r="D42" s="33">
        <v>4.1000000000000002E-2</v>
      </c>
      <c r="E42" s="33">
        <v>0.372</v>
      </c>
      <c r="F42" s="33">
        <v>0.182</v>
      </c>
      <c r="G42" s="33">
        <v>2.04</v>
      </c>
      <c r="H42" s="47" t="str">
        <f>Source_Plate!A42</f>
        <v/>
      </c>
      <c r="I42" s="50"/>
      <c r="J42" s="51"/>
      <c r="K42" s="34">
        <f t="shared" si="1"/>
        <v>3.6039999999999998E-4</v>
      </c>
      <c r="L42" s="176" t="str">
        <f t="shared" si="2"/>
        <v xml:space="preserve"> </v>
      </c>
      <c r="M42" s="186">
        <v>100</v>
      </c>
      <c r="N42" s="181">
        <v>10</v>
      </c>
      <c r="O42" s="35"/>
      <c r="P42" s="31"/>
      <c r="Q42" s="31"/>
      <c r="R42" s="56"/>
      <c r="S42" s="24" t="s">
        <v>52</v>
      </c>
    </row>
    <row r="43" spans="1:19" x14ac:dyDescent="0.25">
      <c r="A43" s="36" t="str">
        <f t="shared" si="3"/>
        <v/>
      </c>
      <c r="B43" s="37">
        <v>0.34499999999999997</v>
      </c>
      <c r="C43" s="37">
        <v>0.19</v>
      </c>
      <c r="D43" s="37">
        <v>3.7999999999999999E-2</v>
      </c>
      <c r="E43" s="37">
        <v>0.31</v>
      </c>
      <c r="F43" s="37">
        <v>0.153</v>
      </c>
      <c r="G43" s="37">
        <v>2.0259999999999998</v>
      </c>
      <c r="H43" s="48" t="str">
        <f>Source_Plate!A43</f>
        <v/>
      </c>
      <c r="I43" s="52"/>
      <c r="J43" s="53"/>
      <c r="K43" s="38">
        <f t="shared" si="1"/>
        <v>3.6039999999999998E-4</v>
      </c>
      <c r="L43" s="177" t="str">
        <f t="shared" si="2"/>
        <v xml:space="preserve"> </v>
      </c>
      <c r="M43" s="185">
        <v>100</v>
      </c>
      <c r="N43" s="182">
        <v>10</v>
      </c>
      <c r="O43" s="39"/>
      <c r="P43" s="1"/>
      <c r="Q43" s="1"/>
      <c r="R43" s="57"/>
      <c r="S43" s="25" t="s">
        <v>53</v>
      </c>
    </row>
    <row r="44" spans="1:19" x14ac:dyDescent="0.25">
      <c r="A44" s="36" t="str">
        <f t="shared" si="3"/>
        <v/>
      </c>
      <c r="B44" s="37">
        <v>0.44900000000000001</v>
      </c>
      <c r="C44" s="37">
        <v>0.23699999999999999</v>
      </c>
      <c r="D44" s="37">
        <v>3.9E-2</v>
      </c>
      <c r="E44" s="37">
        <v>0.41299999999999998</v>
      </c>
      <c r="F44" s="37">
        <v>0.19800000000000001</v>
      </c>
      <c r="G44" s="37">
        <v>2.081</v>
      </c>
      <c r="H44" s="48" t="str">
        <f>Source_Plate!A44</f>
        <v/>
      </c>
      <c r="I44" s="52"/>
      <c r="J44" s="53"/>
      <c r="K44" s="38">
        <f t="shared" si="1"/>
        <v>3.6039999999999998E-4</v>
      </c>
      <c r="L44" s="177" t="str">
        <f t="shared" si="2"/>
        <v xml:space="preserve"> </v>
      </c>
      <c r="M44" s="185">
        <v>100</v>
      </c>
      <c r="N44" s="182">
        <v>10</v>
      </c>
      <c r="O44" s="39"/>
      <c r="P44" s="1"/>
      <c r="Q44" s="1"/>
      <c r="R44" s="57"/>
      <c r="S44" s="25" t="s">
        <v>54</v>
      </c>
    </row>
    <row r="45" spans="1:19" x14ac:dyDescent="0.25">
      <c r="A45" s="36" t="str">
        <f t="shared" si="3"/>
        <v/>
      </c>
      <c r="B45" s="40">
        <v>0.85199999999999998</v>
      </c>
      <c r="C45" s="40">
        <v>0.42499999999999999</v>
      </c>
      <c r="D45" s="40">
        <v>4.2999999999999997E-2</v>
      </c>
      <c r="E45" s="40">
        <v>0.81699999999999995</v>
      </c>
      <c r="F45" s="40">
        <v>0.38500000000000001</v>
      </c>
      <c r="G45" s="40">
        <v>2.1219999999999999</v>
      </c>
      <c r="H45" s="48" t="str">
        <f>Source_Plate!A45</f>
        <v/>
      </c>
      <c r="I45" s="52"/>
      <c r="J45" s="53"/>
      <c r="K45" s="38">
        <f t="shared" si="1"/>
        <v>3.6039999999999998E-4</v>
      </c>
      <c r="L45" s="179" t="str">
        <f t="shared" si="2"/>
        <v xml:space="preserve"> </v>
      </c>
      <c r="M45" s="185">
        <v>100</v>
      </c>
      <c r="N45" s="182">
        <v>10</v>
      </c>
      <c r="O45" s="39"/>
      <c r="P45" s="1"/>
      <c r="Q45" s="1"/>
      <c r="R45" s="57"/>
      <c r="S45" s="25" t="s">
        <v>55</v>
      </c>
    </row>
    <row r="46" spans="1:19" x14ac:dyDescent="0.25">
      <c r="A46" s="36" t="str">
        <f t="shared" si="3"/>
        <v/>
      </c>
      <c r="B46" s="37">
        <v>0.48499999999999999</v>
      </c>
      <c r="C46" s="37">
        <v>0.252</v>
      </c>
      <c r="D46" s="37">
        <v>4.1000000000000002E-2</v>
      </c>
      <c r="E46" s="37">
        <v>0.44600000000000001</v>
      </c>
      <c r="F46" s="37">
        <v>0.21099999999999999</v>
      </c>
      <c r="G46" s="37">
        <v>2.113</v>
      </c>
      <c r="H46" s="48" t="str">
        <f>Source_Plate!A46</f>
        <v/>
      </c>
      <c r="I46" s="52"/>
      <c r="J46" s="53"/>
      <c r="K46" s="38">
        <f t="shared" si="1"/>
        <v>3.6039999999999998E-4</v>
      </c>
      <c r="L46" s="179" t="str">
        <f t="shared" si="2"/>
        <v xml:space="preserve"> </v>
      </c>
      <c r="M46" s="185">
        <v>100</v>
      </c>
      <c r="N46" s="182">
        <v>10</v>
      </c>
      <c r="O46" s="39"/>
      <c r="P46" s="1"/>
      <c r="Q46" s="1"/>
      <c r="R46" s="57"/>
      <c r="S46" s="25" t="s">
        <v>56</v>
      </c>
    </row>
    <row r="47" spans="1:19" x14ac:dyDescent="0.25">
      <c r="A47" s="36" t="str">
        <f t="shared" si="3"/>
        <v/>
      </c>
      <c r="B47" s="37">
        <v>0.107</v>
      </c>
      <c r="C47" s="37">
        <v>7.9000000000000001E-2</v>
      </c>
      <c r="D47" s="37">
        <v>5.3999999999999999E-2</v>
      </c>
      <c r="E47" s="37">
        <v>0.05</v>
      </c>
      <c r="F47" s="37">
        <v>2.3E-2</v>
      </c>
      <c r="G47" s="37">
        <v>2.19</v>
      </c>
      <c r="H47" s="48" t="str">
        <f>Source_Plate!A47</f>
        <v/>
      </c>
      <c r="I47" s="52"/>
      <c r="J47" s="53"/>
      <c r="K47" s="38">
        <f t="shared" si="1"/>
        <v>3.6039999999999998E-4</v>
      </c>
      <c r="L47" s="179" t="str">
        <f t="shared" si="2"/>
        <v xml:space="preserve"> </v>
      </c>
      <c r="M47" s="185">
        <v>100</v>
      </c>
      <c r="N47" s="182">
        <v>10</v>
      </c>
      <c r="O47" s="39"/>
      <c r="P47" s="1"/>
      <c r="Q47" s="1"/>
      <c r="R47" s="57"/>
      <c r="S47" s="25" t="s">
        <v>57</v>
      </c>
    </row>
    <row r="48" spans="1:19" ht="15.75" thickBot="1" x14ac:dyDescent="0.3">
      <c r="A48" s="36" t="str">
        <f t="shared" si="3"/>
        <v/>
      </c>
      <c r="B48" s="37">
        <v>0.54500000000000004</v>
      </c>
      <c r="C48" s="37">
        <v>0.29799999999999999</v>
      </c>
      <c r="D48" s="37">
        <v>8.7999999999999995E-2</v>
      </c>
      <c r="E48" s="37">
        <v>0.46100000000000002</v>
      </c>
      <c r="F48" s="37">
        <v>0.21099999999999999</v>
      </c>
      <c r="G48" s="37">
        <v>2.1829999999999998</v>
      </c>
      <c r="H48" s="48" t="str">
        <f>Source_Plate!A48</f>
        <v/>
      </c>
      <c r="I48" s="52"/>
      <c r="J48" s="53"/>
      <c r="K48" s="38">
        <f t="shared" si="1"/>
        <v>3.6039999999999998E-4</v>
      </c>
      <c r="L48" s="179" t="str">
        <f t="shared" si="2"/>
        <v xml:space="preserve"> </v>
      </c>
      <c r="M48" s="185">
        <v>100</v>
      </c>
      <c r="N48" s="182">
        <v>10</v>
      </c>
      <c r="O48" s="39"/>
      <c r="P48" s="30"/>
      <c r="Q48" s="30"/>
      <c r="R48" s="57"/>
      <c r="S48" s="26" t="s">
        <v>58</v>
      </c>
    </row>
    <row r="49" spans="1:19" ht="15.75" thickBot="1" x14ac:dyDescent="0.3">
      <c r="A49" s="41" t="str">
        <f t="shared" si="3"/>
        <v/>
      </c>
      <c r="B49" s="42">
        <v>0.54500000000000004</v>
      </c>
      <c r="C49" s="42">
        <v>0.29799999999999999</v>
      </c>
      <c r="D49" s="42">
        <v>8.7999999999999995E-2</v>
      </c>
      <c r="E49" s="42">
        <v>0.46100000000000002</v>
      </c>
      <c r="F49" s="42">
        <v>0.21099999999999999</v>
      </c>
      <c r="G49" s="42">
        <v>2.1829999999999998</v>
      </c>
      <c r="H49" s="49" t="str">
        <f>Source_Plate!A49</f>
        <v/>
      </c>
      <c r="I49" s="54"/>
      <c r="J49" s="55"/>
      <c r="K49" s="43">
        <f t="shared" si="1"/>
        <v>3.6039999999999998E-4</v>
      </c>
      <c r="L49" s="180" t="str">
        <f t="shared" si="2"/>
        <v xml:space="preserve"> </v>
      </c>
      <c r="M49" s="187">
        <v>100</v>
      </c>
      <c r="N49" s="183">
        <v>10</v>
      </c>
      <c r="O49" s="44"/>
      <c r="P49" s="27"/>
      <c r="Q49" s="27"/>
      <c r="R49" s="58"/>
      <c r="S49" s="26" t="s">
        <v>59</v>
      </c>
    </row>
    <row r="50" spans="1:19" x14ac:dyDescent="0.25">
      <c r="A50" s="32" t="str">
        <f t="shared" si="3"/>
        <v/>
      </c>
      <c r="B50" s="33">
        <v>0.21</v>
      </c>
      <c r="C50" s="33">
        <v>0.126</v>
      </c>
      <c r="D50" s="33">
        <v>3.7999999999999999E-2</v>
      </c>
      <c r="E50" s="33">
        <v>0.16800000000000001</v>
      </c>
      <c r="F50" s="33">
        <v>8.5999999999999993E-2</v>
      </c>
      <c r="G50" s="33">
        <v>1.9630000000000001</v>
      </c>
      <c r="H50" s="47" t="str">
        <f>Source_Plate!A50</f>
        <v/>
      </c>
      <c r="I50" s="50"/>
      <c r="J50" s="51"/>
      <c r="K50" s="34">
        <f>(N50*1000)*(617.96*J50+36.04)/1000000000</f>
        <v>3.6039999999999998E-4</v>
      </c>
      <c r="L50" s="176" t="str">
        <f t="shared" si="2"/>
        <v xml:space="preserve"> </v>
      </c>
      <c r="M50" s="186">
        <v>100</v>
      </c>
      <c r="N50" s="181">
        <v>10</v>
      </c>
      <c r="O50" s="35"/>
      <c r="P50" s="31"/>
      <c r="Q50" s="31"/>
      <c r="R50" s="56"/>
      <c r="S50" s="25" t="s">
        <v>60</v>
      </c>
    </row>
    <row r="51" spans="1:19" x14ac:dyDescent="0.25">
      <c r="A51" s="36" t="str">
        <f t="shared" si="3"/>
        <v/>
      </c>
      <c r="B51" s="37">
        <v>3.0470000000000002</v>
      </c>
      <c r="C51" s="37">
        <v>1.4350000000000001</v>
      </c>
      <c r="D51" s="37">
        <v>4.9000000000000002E-2</v>
      </c>
      <c r="E51" s="37">
        <v>3.0139999999999998</v>
      </c>
      <c r="F51" s="37">
        <v>1.3919999999999999</v>
      </c>
      <c r="G51" s="37">
        <v>2.165</v>
      </c>
      <c r="H51" s="48" t="str">
        <f>Source_Plate!A51</f>
        <v/>
      </c>
      <c r="I51" s="52"/>
      <c r="J51" s="53"/>
      <c r="K51" s="38">
        <f t="shared" si="1"/>
        <v>1.8019999999999999E-4</v>
      </c>
      <c r="L51" s="177" t="str">
        <f t="shared" si="2"/>
        <v xml:space="preserve"> </v>
      </c>
      <c r="M51" s="185">
        <v>100</v>
      </c>
      <c r="N51" s="182">
        <v>5</v>
      </c>
      <c r="O51" s="39"/>
      <c r="P51" s="1"/>
      <c r="Q51" s="1"/>
      <c r="R51" s="57"/>
      <c r="S51" s="25" t="s">
        <v>61</v>
      </c>
    </row>
    <row r="52" spans="1:19" x14ac:dyDescent="0.25">
      <c r="A52" s="36" t="str">
        <f t="shared" si="3"/>
        <v/>
      </c>
      <c r="B52" s="37">
        <v>0.45100000000000001</v>
      </c>
      <c r="C52" s="37">
        <v>0.27</v>
      </c>
      <c r="D52" s="37">
        <v>9.4E-2</v>
      </c>
      <c r="E52" s="37">
        <v>0.35299999999999998</v>
      </c>
      <c r="F52" s="37">
        <v>0.17299999999999999</v>
      </c>
      <c r="G52" s="37">
        <v>2.04</v>
      </c>
      <c r="H52" s="48" t="str">
        <f>Source_Plate!A52</f>
        <v/>
      </c>
      <c r="I52" s="52"/>
      <c r="J52" s="53"/>
      <c r="K52" s="38">
        <f t="shared" si="1"/>
        <v>1.8019999999999999E-4</v>
      </c>
      <c r="L52" s="177" t="str">
        <f t="shared" si="2"/>
        <v xml:space="preserve"> </v>
      </c>
      <c r="M52" s="185">
        <v>100</v>
      </c>
      <c r="N52" s="182">
        <v>5</v>
      </c>
      <c r="O52" s="39"/>
      <c r="P52" s="1"/>
      <c r="Q52" s="1"/>
      <c r="R52" s="57"/>
      <c r="S52" s="25" t="s">
        <v>62</v>
      </c>
    </row>
    <row r="53" spans="1:19" x14ac:dyDescent="0.25">
      <c r="A53" s="36" t="str">
        <f t="shared" si="3"/>
        <v/>
      </c>
      <c r="B53" s="40">
        <v>0.45100000000000001</v>
      </c>
      <c r="C53" s="40">
        <v>0.27</v>
      </c>
      <c r="D53" s="40">
        <v>9.4E-2</v>
      </c>
      <c r="E53" s="40">
        <v>0.35299999999999998</v>
      </c>
      <c r="F53" s="40">
        <v>0.17299999999999999</v>
      </c>
      <c r="G53" s="40">
        <v>2.04</v>
      </c>
      <c r="H53" s="48" t="str">
        <f>Source_Plate!A53</f>
        <v/>
      </c>
      <c r="I53" s="52"/>
      <c r="J53" s="53"/>
      <c r="K53" s="38">
        <f t="shared" si="1"/>
        <v>1.8019999999999999E-4</v>
      </c>
      <c r="L53" s="177" t="str">
        <f t="shared" si="2"/>
        <v xml:space="preserve"> </v>
      </c>
      <c r="M53" s="185">
        <v>100</v>
      </c>
      <c r="N53" s="182">
        <v>5</v>
      </c>
      <c r="O53" s="39"/>
      <c r="P53" s="1"/>
      <c r="Q53" s="1"/>
      <c r="R53" s="57"/>
      <c r="S53" s="25" t="s">
        <v>63</v>
      </c>
    </row>
    <row r="54" spans="1:19" x14ac:dyDescent="0.25">
      <c r="A54" s="36" t="str">
        <f t="shared" si="3"/>
        <v/>
      </c>
      <c r="B54" s="37">
        <v>0.68400000000000005</v>
      </c>
      <c r="C54" s="37">
        <v>0.59899999999999998</v>
      </c>
      <c r="D54" s="37">
        <v>0.14199999999999999</v>
      </c>
      <c r="E54" s="37">
        <v>0.53700000000000003</v>
      </c>
      <c r="F54" s="37">
        <v>0.45400000000000001</v>
      </c>
      <c r="G54" s="37">
        <v>1.1839999999999999</v>
      </c>
      <c r="H54" s="48" t="str">
        <f>Source_Plate!A54</f>
        <v/>
      </c>
      <c r="I54" s="52"/>
      <c r="J54" s="53"/>
      <c r="K54" s="38">
        <f t="shared" si="1"/>
        <v>1.8019999999999999E-4</v>
      </c>
      <c r="L54" s="177" t="str">
        <f t="shared" si="2"/>
        <v xml:space="preserve"> </v>
      </c>
      <c r="M54" s="185">
        <v>100</v>
      </c>
      <c r="N54" s="182">
        <v>5</v>
      </c>
      <c r="O54" s="39"/>
      <c r="P54" s="1"/>
      <c r="Q54" s="1"/>
      <c r="R54" s="57"/>
      <c r="S54" s="25" t="s">
        <v>64</v>
      </c>
    </row>
    <row r="55" spans="1:19" x14ac:dyDescent="0.25">
      <c r="A55" s="36" t="str">
        <f t="shared" si="3"/>
        <v/>
      </c>
      <c r="B55" s="37">
        <v>0.60099999999999998</v>
      </c>
      <c r="C55" s="37">
        <v>0.316</v>
      </c>
      <c r="D55" s="37">
        <v>4.2000000000000003E-2</v>
      </c>
      <c r="E55" s="37">
        <v>0.55300000000000005</v>
      </c>
      <c r="F55" s="37">
        <v>0.27100000000000002</v>
      </c>
      <c r="G55" s="37">
        <v>2.0449999999999999</v>
      </c>
      <c r="H55" s="48" t="str">
        <f>Source_Plate!A55</f>
        <v/>
      </c>
      <c r="I55" s="52"/>
      <c r="J55" s="53"/>
      <c r="K55" s="38">
        <f t="shared" si="1"/>
        <v>1.8019999999999999E-4</v>
      </c>
      <c r="L55" s="177" t="str">
        <f t="shared" si="2"/>
        <v xml:space="preserve"> </v>
      </c>
      <c r="M55" s="185">
        <v>100</v>
      </c>
      <c r="N55" s="182">
        <v>5</v>
      </c>
      <c r="O55" s="39"/>
      <c r="P55" s="1"/>
      <c r="Q55" s="1"/>
      <c r="R55" s="57"/>
      <c r="S55" s="25" t="s">
        <v>65</v>
      </c>
    </row>
    <row r="56" spans="1:19" x14ac:dyDescent="0.25">
      <c r="A56" s="36" t="str">
        <f t="shared" si="3"/>
        <v/>
      </c>
      <c r="B56" s="37">
        <v>0.54100000000000004</v>
      </c>
      <c r="C56" s="37">
        <v>0.29299999999999998</v>
      </c>
      <c r="D56" s="37">
        <v>5.6000000000000001E-2</v>
      </c>
      <c r="E56" s="37">
        <v>0.48</v>
      </c>
      <c r="F56" s="37">
        <v>0.23400000000000001</v>
      </c>
      <c r="G56" s="37">
        <v>2.048</v>
      </c>
      <c r="H56" s="48" t="str">
        <f>Source_Plate!A56</f>
        <v/>
      </c>
      <c r="I56" s="52"/>
      <c r="J56" s="53"/>
      <c r="K56" s="38">
        <f t="shared" si="1"/>
        <v>1.8019999999999999E-4</v>
      </c>
      <c r="L56" s="177" t="str">
        <f t="shared" si="2"/>
        <v xml:space="preserve"> </v>
      </c>
      <c r="M56" s="185">
        <v>100</v>
      </c>
      <c r="N56" s="182">
        <v>5</v>
      </c>
      <c r="O56" s="39"/>
      <c r="P56" s="30"/>
      <c r="Q56" s="30"/>
      <c r="R56" s="57"/>
      <c r="S56" s="25" t="s">
        <v>66</v>
      </c>
    </row>
    <row r="57" spans="1:19" ht="15.75" thickBot="1" x14ac:dyDescent="0.3">
      <c r="A57" s="41" t="str">
        <f t="shared" si="3"/>
        <v/>
      </c>
      <c r="B57" s="42">
        <v>0.44700000000000001</v>
      </c>
      <c r="C57" s="42">
        <v>0.246</v>
      </c>
      <c r="D57" s="42">
        <v>0.04</v>
      </c>
      <c r="E57" s="42">
        <v>0.40300000000000002</v>
      </c>
      <c r="F57" s="42">
        <v>0.20399999999999999</v>
      </c>
      <c r="G57" s="42">
        <v>1.9790000000000001</v>
      </c>
      <c r="H57" s="49" t="str">
        <f>Source_Plate!A57</f>
        <v/>
      </c>
      <c r="I57" s="54"/>
      <c r="J57" s="55"/>
      <c r="K57" s="43">
        <f t="shared" si="1"/>
        <v>1.8019999999999999E-4</v>
      </c>
      <c r="L57" s="178" t="str">
        <f t="shared" si="2"/>
        <v xml:space="preserve"> </v>
      </c>
      <c r="M57" s="187">
        <v>100</v>
      </c>
      <c r="N57" s="183">
        <v>5</v>
      </c>
      <c r="O57" s="44"/>
      <c r="P57" s="27"/>
      <c r="Q57" s="27"/>
      <c r="R57" s="58"/>
      <c r="S57" s="25" t="s">
        <v>67</v>
      </c>
    </row>
    <row r="58" spans="1:19" x14ac:dyDescent="0.25">
      <c r="A58" s="32" t="str">
        <f t="shared" si="3"/>
        <v/>
      </c>
      <c r="B58" s="33">
        <v>0.36699999999999999</v>
      </c>
      <c r="C58" s="33">
        <v>0.27</v>
      </c>
      <c r="D58" s="33">
        <v>0.187</v>
      </c>
      <c r="E58" s="33">
        <v>0.17299999999999999</v>
      </c>
      <c r="F58" s="33">
        <v>7.9000000000000001E-2</v>
      </c>
      <c r="G58" s="33">
        <v>2.1829999999999998</v>
      </c>
      <c r="H58" s="47" t="str">
        <f>Source_Plate!A58</f>
        <v/>
      </c>
      <c r="I58" s="50"/>
      <c r="J58" s="51"/>
      <c r="K58" s="34">
        <f t="shared" si="1"/>
        <v>1.8019999999999999E-4</v>
      </c>
      <c r="L58" s="176" t="str">
        <f t="shared" si="2"/>
        <v xml:space="preserve"> </v>
      </c>
      <c r="M58" s="186">
        <v>100</v>
      </c>
      <c r="N58" s="181">
        <v>5</v>
      </c>
      <c r="O58" s="35"/>
      <c r="P58" s="31"/>
      <c r="Q58" s="31"/>
      <c r="R58" s="56"/>
      <c r="S58" s="25" t="s">
        <v>71</v>
      </c>
    </row>
    <row r="59" spans="1:19" x14ac:dyDescent="0.25">
      <c r="A59" s="36" t="str">
        <f t="shared" si="3"/>
        <v/>
      </c>
      <c r="B59" s="37">
        <v>0.34200000000000003</v>
      </c>
      <c r="C59" s="37">
        <v>0.28299999999999997</v>
      </c>
      <c r="D59" s="37">
        <v>0.20799999999999999</v>
      </c>
      <c r="E59" s="37">
        <v>0.127</v>
      </c>
      <c r="F59" s="37">
        <v>7.0999999999999994E-2</v>
      </c>
      <c r="G59" s="37">
        <v>1.796</v>
      </c>
      <c r="H59" s="48" t="str">
        <f>Source_Plate!A59</f>
        <v/>
      </c>
      <c r="I59" s="52"/>
      <c r="J59" s="53"/>
      <c r="K59" s="38">
        <f t="shared" si="1"/>
        <v>1.8019999999999999E-4</v>
      </c>
      <c r="L59" s="177" t="str">
        <f t="shared" si="2"/>
        <v xml:space="preserve"> </v>
      </c>
      <c r="M59" s="185">
        <v>100</v>
      </c>
      <c r="N59" s="182">
        <v>5</v>
      </c>
      <c r="O59" s="39"/>
      <c r="P59" s="1"/>
      <c r="Q59" s="1"/>
      <c r="R59" s="57"/>
      <c r="S59" s="25" t="s">
        <v>72</v>
      </c>
    </row>
    <row r="60" spans="1:19" x14ac:dyDescent="0.25">
      <c r="A60" s="36" t="str">
        <f t="shared" si="3"/>
        <v/>
      </c>
      <c r="B60" s="37">
        <v>0.33700000000000002</v>
      </c>
      <c r="C60" s="37">
        <v>0.187</v>
      </c>
      <c r="D60" s="37">
        <v>4.1000000000000002E-2</v>
      </c>
      <c r="E60" s="37">
        <v>0.28399999999999997</v>
      </c>
      <c r="F60" s="37">
        <v>0.14000000000000001</v>
      </c>
      <c r="G60" s="37">
        <v>2.028</v>
      </c>
      <c r="H60" s="48" t="str">
        <f>Source_Plate!A60</f>
        <v/>
      </c>
      <c r="I60" s="52"/>
      <c r="J60" s="53"/>
      <c r="K60" s="38">
        <f t="shared" si="1"/>
        <v>1.8019999999999999E-4</v>
      </c>
      <c r="L60" s="177" t="str">
        <f t="shared" si="2"/>
        <v xml:space="preserve"> </v>
      </c>
      <c r="M60" s="185">
        <v>100</v>
      </c>
      <c r="N60" s="182">
        <v>5</v>
      </c>
      <c r="O60" s="39"/>
      <c r="P60" s="1"/>
      <c r="Q60" s="1"/>
      <c r="R60" s="57"/>
      <c r="S60" s="25" t="s">
        <v>73</v>
      </c>
    </row>
    <row r="61" spans="1:19" x14ac:dyDescent="0.25">
      <c r="A61" s="36" t="str">
        <f t="shared" si="3"/>
        <v/>
      </c>
      <c r="B61" s="40">
        <v>0.128</v>
      </c>
      <c r="C61" s="40">
        <v>8.6999999999999994E-2</v>
      </c>
      <c r="D61" s="40">
        <v>4.8000000000000001E-2</v>
      </c>
      <c r="E61" s="40">
        <v>7.3999999999999996E-2</v>
      </c>
      <c r="F61" s="40">
        <v>3.5999999999999997E-2</v>
      </c>
      <c r="G61" s="40">
        <v>2.0670000000000002</v>
      </c>
      <c r="H61" s="48" t="str">
        <f>Source_Plate!A61</f>
        <v/>
      </c>
      <c r="I61" s="52"/>
      <c r="J61" s="53"/>
      <c r="K61" s="38">
        <f t="shared" si="1"/>
        <v>1.8019999999999999E-4</v>
      </c>
      <c r="L61" s="177" t="str">
        <f t="shared" si="2"/>
        <v xml:space="preserve"> </v>
      </c>
      <c r="M61" s="185">
        <v>100</v>
      </c>
      <c r="N61" s="182">
        <v>5</v>
      </c>
      <c r="O61" s="39"/>
      <c r="P61" s="1"/>
      <c r="Q61" s="1"/>
      <c r="R61" s="57"/>
      <c r="S61" s="25" t="s">
        <v>74</v>
      </c>
    </row>
    <row r="62" spans="1:19" x14ac:dyDescent="0.25">
      <c r="A62" s="36" t="str">
        <f t="shared" si="3"/>
        <v/>
      </c>
      <c r="B62" s="37">
        <v>2.742</v>
      </c>
      <c r="C62" s="37">
        <v>1.2989999999999999</v>
      </c>
      <c r="D62" s="37">
        <v>4.5999999999999999E-2</v>
      </c>
      <c r="E62" s="37">
        <v>2.6019999999999999</v>
      </c>
      <c r="F62" s="37">
        <v>1.208</v>
      </c>
      <c r="G62" s="37">
        <v>2.153</v>
      </c>
      <c r="H62" s="48" t="str">
        <f>Source_Plate!A62</f>
        <v/>
      </c>
      <c r="I62" s="52"/>
      <c r="J62" s="53"/>
      <c r="K62" s="38">
        <f t="shared" si="1"/>
        <v>1.8019999999999999E-4</v>
      </c>
      <c r="L62" s="177" t="str">
        <f t="shared" si="2"/>
        <v xml:space="preserve"> </v>
      </c>
      <c r="M62" s="185">
        <v>100</v>
      </c>
      <c r="N62" s="182">
        <v>5</v>
      </c>
      <c r="O62" s="39"/>
      <c r="P62" s="1"/>
      <c r="Q62" s="1"/>
      <c r="R62" s="57"/>
      <c r="S62" s="25" t="s">
        <v>75</v>
      </c>
    </row>
    <row r="63" spans="1:19" x14ac:dyDescent="0.25">
      <c r="A63" s="36" t="str">
        <f t="shared" si="3"/>
        <v/>
      </c>
      <c r="B63" s="37">
        <v>0.30099999999999999</v>
      </c>
      <c r="C63" s="37">
        <v>0.17100000000000001</v>
      </c>
      <c r="D63" s="37">
        <v>3.7999999999999999E-2</v>
      </c>
      <c r="E63" s="37">
        <v>0.25</v>
      </c>
      <c r="F63" s="37">
        <v>0.125</v>
      </c>
      <c r="G63" s="37">
        <v>1.9950000000000001</v>
      </c>
      <c r="H63" s="48" t="str">
        <f>Source_Plate!A63</f>
        <v/>
      </c>
      <c r="I63" s="52"/>
      <c r="J63" s="53"/>
      <c r="K63" s="38">
        <f t="shared" si="1"/>
        <v>1.8019999999999999E-4</v>
      </c>
      <c r="L63" s="177" t="str">
        <f t="shared" si="2"/>
        <v xml:space="preserve"> </v>
      </c>
      <c r="M63" s="185">
        <v>100</v>
      </c>
      <c r="N63" s="182">
        <v>5</v>
      </c>
      <c r="O63" s="39"/>
      <c r="P63" s="1"/>
      <c r="Q63" s="1"/>
      <c r="R63" s="57"/>
      <c r="S63" s="25" t="s">
        <v>76</v>
      </c>
    </row>
    <row r="64" spans="1:19" x14ac:dyDescent="0.25">
      <c r="A64" s="36" t="str">
        <f t="shared" si="3"/>
        <v/>
      </c>
      <c r="B64" s="37">
        <v>0.63600000000000001</v>
      </c>
      <c r="C64" s="37">
        <v>0.34100000000000003</v>
      </c>
      <c r="D64" s="37">
        <v>4.2999999999999997E-2</v>
      </c>
      <c r="E64" s="37">
        <v>0.56999999999999995</v>
      </c>
      <c r="F64" s="37">
        <v>0.28599999999999998</v>
      </c>
      <c r="G64" s="37">
        <v>1.994</v>
      </c>
      <c r="H64" s="48" t="str">
        <f>Source_Plate!A64</f>
        <v/>
      </c>
      <c r="I64" s="52"/>
      <c r="J64" s="53"/>
      <c r="K64" s="38">
        <f t="shared" si="1"/>
        <v>1.8019999999999999E-4</v>
      </c>
      <c r="L64" s="177" t="str">
        <f t="shared" si="2"/>
        <v xml:space="preserve"> </v>
      </c>
      <c r="M64" s="185">
        <v>100</v>
      </c>
      <c r="N64" s="182">
        <v>5</v>
      </c>
      <c r="O64" s="39"/>
      <c r="P64" s="30"/>
      <c r="Q64" s="30"/>
      <c r="R64" s="57"/>
      <c r="S64" s="25" t="s">
        <v>77</v>
      </c>
    </row>
    <row r="65" spans="1:19" ht="15.75" thickBot="1" x14ac:dyDescent="0.3">
      <c r="A65" s="41" t="str">
        <f t="shared" si="3"/>
        <v/>
      </c>
      <c r="B65" s="42">
        <v>0.27800000000000002</v>
      </c>
      <c r="C65" s="42">
        <v>0.161</v>
      </c>
      <c r="D65" s="42">
        <v>3.7999999999999999E-2</v>
      </c>
      <c r="E65" s="42">
        <v>0.22900000000000001</v>
      </c>
      <c r="F65" s="42">
        <v>0.11700000000000001</v>
      </c>
      <c r="G65" s="42">
        <v>1.968</v>
      </c>
      <c r="H65" s="49" t="str">
        <f>Source_Plate!A65</f>
        <v/>
      </c>
      <c r="I65" s="54"/>
      <c r="J65" s="55"/>
      <c r="K65" s="43">
        <f t="shared" si="1"/>
        <v>1.8019999999999999E-4</v>
      </c>
      <c r="L65" s="178" t="str">
        <f t="shared" si="2"/>
        <v xml:space="preserve"> </v>
      </c>
      <c r="M65" s="187">
        <v>100</v>
      </c>
      <c r="N65" s="183">
        <v>5</v>
      </c>
      <c r="O65" s="44"/>
      <c r="P65" s="27"/>
      <c r="Q65" s="27"/>
      <c r="R65" s="58"/>
      <c r="S65" s="25" t="s">
        <v>78</v>
      </c>
    </row>
    <row r="66" spans="1:19" x14ac:dyDescent="0.25">
      <c r="A66" s="32" t="str">
        <f t="shared" ref="A66:A97" si="4">IF(I66="","",S66)</f>
        <v/>
      </c>
      <c r="B66" s="33">
        <v>0.34699999999999998</v>
      </c>
      <c r="C66" s="33">
        <v>0.19800000000000001</v>
      </c>
      <c r="D66" s="33">
        <v>3.9E-2</v>
      </c>
      <c r="E66" s="33">
        <v>0.29799999999999999</v>
      </c>
      <c r="F66" s="33">
        <v>0.153</v>
      </c>
      <c r="G66" s="33">
        <v>1.9419999999999999</v>
      </c>
      <c r="H66" s="47" t="str">
        <f>Source_Plate!A66</f>
        <v/>
      </c>
      <c r="I66" s="50"/>
      <c r="J66" s="51"/>
      <c r="K66" s="34">
        <f t="shared" si="1"/>
        <v>1.8019999999999999E-4</v>
      </c>
      <c r="L66" s="176" t="str">
        <f t="shared" si="2"/>
        <v xml:space="preserve"> </v>
      </c>
      <c r="M66" s="186">
        <v>100</v>
      </c>
      <c r="N66" s="181">
        <v>5</v>
      </c>
      <c r="O66" s="35"/>
      <c r="P66" s="31"/>
      <c r="Q66" s="31"/>
      <c r="R66" s="56"/>
      <c r="S66" s="25" t="s">
        <v>79</v>
      </c>
    </row>
    <row r="67" spans="1:19" x14ac:dyDescent="0.25">
      <c r="A67" s="36" t="str">
        <f t="shared" si="4"/>
        <v/>
      </c>
      <c r="B67" s="37">
        <v>0.61599999999999999</v>
      </c>
      <c r="C67" s="37">
        <v>0.32600000000000001</v>
      </c>
      <c r="D67" s="37">
        <v>0.04</v>
      </c>
      <c r="E67" s="37">
        <v>0.55800000000000005</v>
      </c>
      <c r="F67" s="37">
        <v>0.27700000000000002</v>
      </c>
      <c r="G67" s="37">
        <v>2.016</v>
      </c>
      <c r="H67" s="48" t="str">
        <f>Source_Plate!A67</f>
        <v/>
      </c>
      <c r="I67" s="52"/>
      <c r="J67" s="53"/>
      <c r="K67" s="38">
        <f t="shared" ref="K67:K97" si="5">(N67*1000)*(617.96*J67+36.04)/1000000000</f>
        <v>1.8019999999999999E-4</v>
      </c>
      <c r="L67" s="177" t="str">
        <f t="shared" ref="L67:L97" si="6">IFERROR((K67/I67)*M67," ")</f>
        <v xml:space="preserve"> </v>
      </c>
      <c r="M67" s="185">
        <v>100</v>
      </c>
      <c r="N67" s="182">
        <v>5</v>
      </c>
      <c r="O67" s="39"/>
      <c r="P67" s="1"/>
      <c r="Q67" s="1"/>
      <c r="R67" s="57"/>
      <c r="S67" s="25" t="s">
        <v>80</v>
      </c>
    </row>
    <row r="68" spans="1:19" x14ac:dyDescent="0.25">
      <c r="A68" s="36" t="str">
        <f t="shared" si="4"/>
        <v/>
      </c>
      <c r="B68" s="37">
        <v>0.71399999999999997</v>
      </c>
      <c r="C68" s="37">
        <v>0.36199999999999999</v>
      </c>
      <c r="D68" s="37">
        <v>4.1000000000000002E-2</v>
      </c>
      <c r="E68" s="37">
        <v>0.64800000000000002</v>
      </c>
      <c r="F68" s="37">
        <v>0.309</v>
      </c>
      <c r="G68" s="37">
        <v>2.1</v>
      </c>
      <c r="H68" s="48" t="str">
        <f>Source_Plate!A68</f>
        <v/>
      </c>
      <c r="I68" s="52"/>
      <c r="J68" s="53"/>
      <c r="K68" s="38">
        <f t="shared" si="5"/>
        <v>1.8019999999999999E-4</v>
      </c>
      <c r="L68" s="177" t="str">
        <f t="shared" si="6"/>
        <v xml:space="preserve"> </v>
      </c>
      <c r="M68" s="185">
        <v>100</v>
      </c>
      <c r="N68" s="182">
        <v>5</v>
      </c>
      <c r="O68" s="39"/>
      <c r="P68" s="1"/>
      <c r="Q68" s="1"/>
      <c r="R68" s="57"/>
      <c r="S68" s="25" t="s">
        <v>81</v>
      </c>
    </row>
    <row r="69" spans="1:19" x14ac:dyDescent="0.25">
      <c r="A69" s="36" t="str">
        <f t="shared" si="4"/>
        <v/>
      </c>
      <c r="B69" s="40">
        <v>0.33500000000000002</v>
      </c>
      <c r="C69" s="40">
        <v>0.19</v>
      </c>
      <c r="D69" s="40">
        <v>4.7E-2</v>
      </c>
      <c r="E69" s="40">
        <v>0.27500000000000002</v>
      </c>
      <c r="F69" s="40">
        <v>0.13600000000000001</v>
      </c>
      <c r="G69" s="40">
        <v>2.0259999999999998</v>
      </c>
      <c r="H69" s="48" t="str">
        <f>Source_Plate!A69</f>
        <v/>
      </c>
      <c r="I69" s="52"/>
      <c r="J69" s="53"/>
      <c r="K69" s="38">
        <f t="shared" si="5"/>
        <v>1.8019999999999999E-4</v>
      </c>
      <c r="L69" s="177" t="str">
        <f t="shared" si="6"/>
        <v xml:space="preserve"> </v>
      </c>
      <c r="M69" s="185">
        <v>100</v>
      </c>
      <c r="N69" s="182">
        <v>5</v>
      </c>
      <c r="O69" s="39"/>
      <c r="P69" s="1"/>
      <c r="Q69" s="1"/>
      <c r="R69" s="57"/>
      <c r="S69" s="25" t="s">
        <v>82</v>
      </c>
    </row>
    <row r="70" spans="1:19" x14ac:dyDescent="0.25">
      <c r="A70" s="36" t="str">
        <f t="shared" si="4"/>
        <v/>
      </c>
      <c r="B70" s="37">
        <v>0.48399999999999999</v>
      </c>
      <c r="C70" s="37">
        <v>0.27100000000000002</v>
      </c>
      <c r="D70" s="37">
        <v>5.1999999999999998E-2</v>
      </c>
      <c r="E70" s="37">
        <v>0.41199999999999998</v>
      </c>
      <c r="F70" s="37">
        <v>0.20799999999999999</v>
      </c>
      <c r="G70" s="37">
        <v>1.98</v>
      </c>
      <c r="H70" s="48" t="str">
        <f>Source_Plate!A70</f>
        <v/>
      </c>
      <c r="I70" s="52"/>
      <c r="J70" s="53"/>
      <c r="K70" s="38">
        <f t="shared" si="5"/>
        <v>1.8019999999999999E-4</v>
      </c>
      <c r="L70" s="177" t="str">
        <f t="shared" si="6"/>
        <v xml:space="preserve"> </v>
      </c>
      <c r="M70" s="185">
        <v>100</v>
      </c>
      <c r="N70" s="182">
        <v>5</v>
      </c>
      <c r="O70" s="39"/>
      <c r="P70" s="1"/>
      <c r="Q70" s="1"/>
      <c r="R70" s="57"/>
      <c r="S70" s="25" t="s">
        <v>83</v>
      </c>
    </row>
    <row r="71" spans="1:19" x14ac:dyDescent="0.25">
      <c r="A71" s="36" t="str">
        <f t="shared" si="4"/>
        <v/>
      </c>
      <c r="B71" s="37">
        <v>0.254</v>
      </c>
      <c r="C71" s="37">
        <v>0.15</v>
      </c>
      <c r="D71" s="37">
        <v>3.9E-2</v>
      </c>
      <c r="E71" s="37">
        <v>0.20300000000000001</v>
      </c>
      <c r="F71" s="37">
        <v>0.105</v>
      </c>
      <c r="G71" s="37">
        <v>1.94</v>
      </c>
      <c r="H71" s="48" t="str">
        <f>Source_Plate!A71</f>
        <v/>
      </c>
      <c r="I71" s="52"/>
      <c r="J71" s="53"/>
      <c r="K71" s="38">
        <f t="shared" si="5"/>
        <v>1.8019999999999999E-4</v>
      </c>
      <c r="L71" s="177" t="str">
        <f t="shared" si="6"/>
        <v xml:space="preserve"> </v>
      </c>
      <c r="M71" s="185">
        <v>100</v>
      </c>
      <c r="N71" s="182">
        <v>5</v>
      </c>
      <c r="O71" s="39"/>
      <c r="P71" s="1"/>
      <c r="Q71" s="1"/>
      <c r="R71" s="57"/>
      <c r="S71" s="25" t="s">
        <v>84</v>
      </c>
    </row>
    <row r="72" spans="1:19" x14ac:dyDescent="0.25">
      <c r="A72" s="36" t="str">
        <f t="shared" si="4"/>
        <v/>
      </c>
      <c r="B72" s="37">
        <v>0.27100000000000002</v>
      </c>
      <c r="C72" s="37">
        <v>0.16500000000000001</v>
      </c>
      <c r="D72" s="37">
        <v>4.7E-2</v>
      </c>
      <c r="E72" s="37">
        <v>0.21199999999999999</v>
      </c>
      <c r="F72" s="37">
        <v>0.111</v>
      </c>
      <c r="G72" s="37">
        <v>1.909</v>
      </c>
      <c r="H72" s="48" t="str">
        <f>Source_Plate!A72</f>
        <v/>
      </c>
      <c r="I72" s="52"/>
      <c r="J72" s="53"/>
      <c r="K72" s="38">
        <f t="shared" si="5"/>
        <v>1.8019999999999999E-4</v>
      </c>
      <c r="L72" s="177" t="str">
        <f t="shared" si="6"/>
        <v xml:space="preserve"> </v>
      </c>
      <c r="M72" s="185">
        <v>100</v>
      </c>
      <c r="N72" s="182">
        <v>5</v>
      </c>
      <c r="O72" s="39"/>
      <c r="P72" s="30"/>
      <c r="Q72" s="30"/>
      <c r="R72" s="57"/>
      <c r="S72" s="25" t="s">
        <v>85</v>
      </c>
    </row>
    <row r="73" spans="1:19" ht="15.75" thickBot="1" x14ac:dyDescent="0.3">
      <c r="A73" s="41" t="str">
        <f t="shared" si="4"/>
        <v/>
      </c>
      <c r="B73" s="42">
        <v>0.59299999999999997</v>
      </c>
      <c r="C73" s="42">
        <v>0.317</v>
      </c>
      <c r="D73" s="42">
        <v>4.1000000000000002E-2</v>
      </c>
      <c r="E73" s="42">
        <v>0.53300000000000003</v>
      </c>
      <c r="F73" s="42">
        <v>0.26600000000000001</v>
      </c>
      <c r="G73" s="42">
        <v>2.0019999999999998</v>
      </c>
      <c r="H73" s="49" t="str">
        <f>Source_Plate!A73</f>
        <v/>
      </c>
      <c r="I73" s="54"/>
      <c r="J73" s="55"/>
      <c r="K73" s="43">
        <f t="shared" si="5"/>
        <v>1.8019999999999999E-4</v>
      </c>
      <c r="L73" s="178" t="str">
        <f t="shared" si="6"/>
        <v xml:space="preserve"> </v>
      </c>
      <c r="M73" s="187">
        <v>100</v>
      </c>
      <c r="N73" s="183">
        <v>5</v>
      </c>
      <c r="O73" s="44"/>
      <c r="P73" s="27"/>
      <c r="Q73" s="27"/>
      <c r="R73" s="58"/>
      <c r="S73" s="25" t="s">
        <v>86</v>
      </c>
    </row>
    <row r="74" spans="1:19" x14ac:dyDescent="0.25">
      <c r="A74" s="32" t="str">
        <f t="shared" si="4"/>
        <v/>
      </c>
      <c r="B74" s="33"/>
      <c r="C74" s="33"/>
      <c r="D74" s="33"/>
      <c r="E74" s="33"/>
      <c r="F74" s="33"/>
      <c r="G74" s="33"/>
      <c r="H74" s="47" t="str">
        <f>Source_Plate!A74</f>
        <v/>
      </c>
      <c r="I74" s="50"/>
      <c r="J74" s="51"/>
      <c r="K74" s="34">
        <f t="shared" si="5"/>
        <v>1.8019999999999999E-4</v>
      </c>
      <c r="L74" s="176" t="str">
        <f t="shared" si="6"/>
        <v xml:space="preserve"> </v>
      </c>
      <c r="M74" s="186">
        <v>100</v>
      </c>
      <c r="N74" s="181">
        <v>5</v>
      </c>
      <c r="O74" s="35"/>
      <c r="P74" s="31"/>
      <c r="Q74" s="31"/>
      <c r="R74" s="56"/>
      <c r="S74" s="25" t="s">
        <v>87</v>
      </c>
    </row>
    <row r="75" spans="1:19" x14ac:dyDescent="0.25">
      <c r="A75" s="36" t="str">
        <f t="shared" si="4"/>
        <v/>
      </c>
      <c r="B75" s="37"/>
      <c r="C75" s="37"/>
      <c r="D75" s="37"/>
      <c r="E75" s="37"/>
      <c r="F75" s="37"/>
      <c r="G75" s="37"/>
      <c r="H75" s="48" t="str">
        <f>Source_Plate!A75</f>
        <v/>
      </c>
      <c r="I75" s="52"/>
      <c r="J75" s="53"/>
      <c r="K75" s="38">
        <f t="shared" si="5"/>
        <v>1.8019999999999999E-4</v>
      </c>
      <c r="L75" s="177" t="str">
        <f t="shared" si="6"/>
        <v xml:space="preserve"> </v>
      </c>
      <c r="M75" s="185">
        <v>100</v>
      </c>
      <c r="N75" s="182">
        <v>5</v>
      </c>
      <c r="O75" s="39"/>
      <c r="P75" s="1"/>
      <c r="Q75" s="1"/>
      <c r="R75" s="57"/>
      <c r="S75" s="25" t="s">
        <v>88</v>
      </c>
    </row>
    <row r="76" spans="1:19" x14ac:dyDescent="0.25">
      <c r="A76" s="36" t="str">
        <f t="shared" si="4"/>
        <v/>
      </c>
      <c r="B76" s="37"/>
      <c r="C76" s="37"/>
      <c r="D76" s="37"/>
      <c r="E76" s="37"/>
      <c r="F76" s="37"/>
      <c r="G76" s="37"/>
      <c r="H76" s="48" t="str">
        <f>Source_Plate!A76</f>
        <v/>
      </c>
      <c r="I76" s="52"/>
      <c r="J76" s="53"/>
      <c r="K76" s="38">
        <f t="shared" si="5"/>
        <v>1.8019999999999999E-4</v>
      </c>
      <c r="L76" s="177" t="str">
        <f t="shared" si="6"/>
        <v xml:space="preserve"> </v>
      </c>
      <c r="M76" s="185">
        <v>100</v>
      </c>
      <c r="N76" s="182">
        <v>5</v>
      </c>
      <c r="O76" s="39"/>
      <c r="P76" s="1"/>
      <c r="Q76" s="1"/>
      <c r="R76" s="57"/>
      <c r="S76" s="25" t="s">
        <v>89</v>
      </c>
    </row>
    <row r="77" spans="1:19" x14ac:dyDescent="0.25">
      <c r="A77" s="36" t="str">
        <f t="shared" si="4"/>
        <v/>
      </c>
      <c r="B77" s="40"/>
      <c r="C77" s="40"/>
      <c r="D77" s="40"/>
      <c r="E77" s="40"/>
      <c r="F77" s="40"/>
      <c r="G77" s="40"/>
      <c r="H77" s="48" t="str">
        <f>Source_Plate!A77</f>
        <v/>
      </c>
      <c r="I77" s="52"/>
      <c r="J77" s="53"/>
      <c r="K77" s="38">
        <f t="shared" si="5"/>
        <v>1.8019999999999999E-4</v>
      </c>
      <c r="L77" s="177" t="str">
        <f t="shared" si="6"/>
        <v xml:space="preserve"> </v>
      </c>
      <c r="M77" s="185">
        <v>100</v>
      </c>
      <c r="N77" s="182">
        <v>5</v>
      </c>
      <c r="O77" s="39"/>
      <c r="P77" s="1"/>
      <c r="Q77" s="1"/>
      <c r="R77" s="57"/>
      <c r="S77" s="25" t="s">
        <v>90</v>
      </c>
    </row>
    <row r="78" spans="1:19" x14ac:dyDescent="0.25">
      <c r="A78" s="36" t="str">
        <f t="shared" si="4"/>
        <v/>
      </c>
      <c r="B78" s="37"/>
      <c r="C78" s="37"/>
      <c r="D78" s="37"/>
      <c r="E78" s="37"/>
      <c r="F78" s="37"/>
      <c r="G78" s="37"/>
      <c r="H78" s="48" t="str">
        <f>Source_Plate!A78</f>
        <v/>
      </c>
      <c r="I78" s="52"/>
      <c r="J78" s="53"/>
      <c r="K78" s="38">
        <f t="shared" si="5"/>
        <v>1.8019999999999999E-4</v>
      </c>
      <c r="L78" s="177" t="str">
        <f t="shared" si="6"/>
        <v xml:space="preserve"> </v>
      </c>
      <c r="M78" s="185">
        <v>100</v>
      </c>
      <c r="N78" s="182">
        <v>5</v>
      </c>
      <c r="O78" s="39"/>
      <c r="P78" s="1"/>
      <c r="Q78" s="1"/>
      <c r="R78" s="57"/>
      <c r="S78" s="25" t="s">
        <v>91</v>
      </c>
    </row>
    <row r="79" spans="1:19" x14ac:dyDescent="0.25">
      <c r="A79" s="36" t="str">
        <f t="shared" si="4"/>
        <v/>
      </c>
      <c r="B79" s="37"/>
      <c r="C79" s="37"/>
      <c r="D79" s="37"/>
      <c r="E79" s="37"/>
      <c r="F79" s="37"/>
      <c r="G79" s="37"/>
      <c r="H79" s="48" t="str">
        <f>Source_Plate!A79</f>
        <v/>
      </c>
      <c r="I79" s="52"/>
      <c r="J79" s="53"/>
      <c r="K79" s="38">
        <f t="shared" si="5"/>
        <v>1.8019999999999999E-4</v>
      </c>
      <c r="L79" s="177" t="str">
        <f t="shared" si="6"/>
        <v xml:space="preserve"> </v>
      </c>
      <c r="M79" s="185">
        <v>100</v>
      </c>
      <c r="N79" s="182">
        <v>5</v>
      </c>
      <c r="O79" s="39"/>
      <c r="P79" s="1"/>
      <c r="Q79" s="1"/>
      <c r="R79" s="57"/>
      <c r="S79" s="25" t="s">
        <v>92</v>
      </c>
    </row>
    <row r="80" spans="1:19" x14ac:dyDescent="0.25">
      <c r="A80" s="36" t="str">
        <f t="shared" si="4"/>
        <v/>
      </c>
      <c r="B80" s="37"/>
      <c r="C80" s="37"/>
      <c r="D80" s="37"/>
      <c r="E80" s="37"/>
      <c r="F80" s="37"/>
      <c r="G80" s="37"/>
      <c r="H80" s="48" t="str">
        <f>Source_Plate!A80</f>
        <v/>
      </c>
      <c r="I80" s="52"/>
      <c r="J80" s="53"/>
      <c r="K80" s="38">
        <f t="shared" si="5"/>
        <v>1.8019999999999999E-4</v>
      </c>
      <c r="L80" s="177" t="str">
        <f t="shared" si="6"/>
        <v xml:space="preserve"> </v>
      </c>
      <c r="M80" s="185">
        <v>100</v>
      </c>
      <c r="N80" s="182">
        <v>5</v>
      </c>
      <c r="O80" s="39"/>
      <c r="P80" s="30"/>
      <c r="Q80" s="30"/>
      <c r="R80" s="57"/>
      <c r="S80" s="25" t="s">
        <v>93</v>
      </c>
    </row>
    <row r="81" spans="1:19" ht="15.75" thickBot="1" x14ac:dyDescent="0.3">
      <c r="A81" s="41" t="str">
        <f t="shared" si="4"/>
        <v/>
      </c>
      <c r="B81" s="42"/>
      <c r="C81" s="42"/>
      <c r="D81" s="42"/>
      <c r="E81" s="42"/>
      <c r="F81" s="42"/>
      <c r="G81" s="42"/>
      <c r="H81" s="49" t="str">
        <f>Source_Plate!A81</f>
        <v/>
      </c>
      <c r="I81" s="54"/>
      <c r="J81" s="55"/>
      <c r="K81" s="43">
        <f t="shared" si="5"/>
        <v>1.8019999999999999E-4</v>
      </c>
      <c r="L81" s="178" t="str">
        <f t="shared" si="6"/>
        <v xml:space="preserve"> </v>
      </c>
      <c r="M81" s="187">
        <v>100</v>
      </c>
      <c r="N81" s="183">
        <v>5</v>
      </c>
      <c r="O81" s="44"/>
      <c r="P81" s="27"/>
      <c r="Q81" s="27"/>
      <c r="R81" s="58"/>
      <c r="S81" s="25" t="s">
        <v>94</v>
      </c>
    </row>
    <row r="82" spans="1:19" x14ac:dyDescent="0.25">
      <c r="A82" s="32" t="str">
        <f t="shared" si="4"/>
        <v/>
      </c>
      <c r="B82" s="33"/>
      <c r="C82" s="33"/>
      <c r="D82" s="33"/>
      <c r="E82" s="33"/>
      <c r="F82" s="33"/>
      <c r="G82" s="33"/>
      <c r="H82" s="47" t="str">
        <f>Source_Plate!A82</f>
        <v/>
      </c>
      <c r="I82" s="50"/>
      <c r="J82" s="51"/>
      <c r="K82" s="34">
        <f t="shared" si="5"/>
        <v>1.8019999999999999E-4</v>
      </c>
      <c r="L82" s="34" t="str">
        <f t="shared" si="6"/>
        <v xml:space="preserve"> </v>
      </c>
      <c r="M82" s="184"/>
      <c r="N82" s="56">
        <v>5</v>
      </c>
      <c r="O82" s="35"/>
      <c r="P82" s="31"/>
      <c r="Q82" s="31"/>
      <c r="R82" s="56"/>
      <c r="S82" s="25" t="s">
        <v>95</v>
      </c>
    </row>
    <row r="83" spans="1:19" x14ac:dyDescent="0.25">
      <c r="A83" s="36" t="str">
        <f t="shared" si="4"/>
        <v/>
      </c>
      <c r="B83" s="37"/>
      <c r="C83" s="37"/>
      <c r="D83" s="37"/>
      <c r="E83" s="37"/>
      <c r="F83" s="37"/>
      <c r="G83" s="37"/>
      <c r="H83" s="48" t="str">
        <f>Source_Plate!A83</f>
        <v/>
      </c>
      <c r="I83" s="52"/>
      <c r="J83" s="53"/>
      <c r="K83" s="38">
        <f t="shared" si="5"/>
        <v>1.8019999999999999E-4</v>
      </c>
      <c r="L83" s="38" t="str">
        <f t="shared" si="6"/>
        <v xml:space="preserve"> </v>
      </c>
      <c r="M83" s="57"/>
      <c r="N83" s="57">
        <v>5</v>
      </c>
      <c r="O83" s="39"/>
      <c r="P83" s="1"/>
      <c r="Q83" s="1"/>
      <c r="R83" s="57"/>
      <c r="S83" s="25" t="s">
        <v>96</v>
      </c>
    </row>
    <row r="84" spans="1:19" x14ac:dyDescent="0.25">
      <c r="A84" s="36" t="str">
        <f t="shared" si="4"/>
        <v/>
      </c>
      <c r="B84" s="37"/>
      <c r="C84" s="37"/>
      <c r="D84" s="37"/>
      <c r="E84" s="37"/>
      <c r="F84" s="37"/>
      <c r="G84" s="37"/>
      <c r="H84" s="48" t="str">
        <f>Source_Plate!A84</f>
        <v/>
      </c>
      <c r="I84" s="52"/>
      <c r="J84" s="53"/>
      <c r="K84" s="38">
        <f t="shared" si="5"/>
        <v>1.8019999999999999E-4</v>
      </c>
      <c r="L84" s="38" t="str">
        <f t="shared" si="6"/>
        <v xml:space="preserve"> </v>
      </c>
      <c r="M84" s="57"/>
      <c r="N84" s="57">
        <v>5</v>
      </c>
      <c r="O84" s="39"/>
      <c r="P84" s="1"/>
      <c r="Q84" s="1"/>
      <c r="R84" s="57"/>
      <c r="S84" s="25" t="s">
        <v>97</v>
      </c>
    </row>
    <row r="85" spans="1:19" x14ac:dyDescent="0.25">
      <c r="A85" s="36" t="str">
        <f t="shared" si="4"/>
        <v/>
      </c>
      <c r="B85" s="40"/>
      <c r="C85" s="40"/>
      <c r="D85" s="40"/>
      <c r="E85" s="40"/>
      <c r="F85" s="40"/>
      <c r="G85" s="40"/>
      <c r="H85" s="48" t="str">
        <f>Source_Plate!A85</f>
        <v/>
      </c>
      <c r="I85" s="52"/>
      <c r="J85" s="53"/>
      <c r="K85" s="38">
        <f t="shared" si="5"/>
        <v>1.8019999999999999E-4</v>
      </c>
      <c r="L85" s="38" t="str">
        <f t="shared" si="6"/>
        <v xml:space="preserve"> </v>
      </c>
      <c r="M85" s="57"/>
      <c r="N85" s="57">
        <v>5</v>
      </c>
      <c r="O85" s="39"/>
      <c r="P85" s="1"/>
      <c r="Q85" s="1"/>
      <c r="R85" s="57"/>
      <c r="S85" s="25" t="s">
        <v>98</v>
      </c>
    </row>
    <row r="86" spans="1:19" x14ac:dyDescent="0.25">
      <c r="A86" s="36" t="str">
        <f t="shared" si="4"/>
        <v/>
      </c>
      <c r="B86" s="37"/>
      <c r="C86" s="37"/>
      <c r="D86" s="37"/>
      <c r="E86" s="37"/>
      <c r="F86" s="37"/>
      <c r="G86" s="37"/>
      <c r="H86" s="48" t="str">
        <f>Source_Plate!A86</f>
        <v/>
      </c>
      <c r="I86" s="52"/>
      <c r="J86" s="53"/>
      <c r="K86" s="38">
        <f t="shared" si="5"/>
        <v>1.8019999999999999E-4</v>
      </c>
      <c r="L86" s="38" t="str">
        <f t="shared" si="6"/>
        <v xml:space="preserve"> </v>
      </c>
      <c r="M86" s="57"/>
      <c r="N86" s="57">
        <v>5</v>
      </c>
      <c r="O86" s="39"/>
      <c r="P86" s="1"/>
      <c r="Q86" s="1"/>
      <c r="R86" s="57"/>
      <c r="S86" s="25" t="s">
        <v>99</v>
      </c>
    </row>
    <row r="87" spans="1:19" x14ac:dyDescent="0.25">
      <c r="A87" s="36" t="str">
        <f t="shared" si="4"/>
        <v/>
      </c>
      <c r="B87" s="37"/>
      <c r="C87" s="37"/>
      <c r="D87" s="37"/>
      <c r="E87" s="37"/>
      <c r="F87" s="37"/>
      <c r="G87" s="37"/>
      <c r="H87" s="48" t="str">
        <f>Source_Plate!A87</f>
        <v/>
      </c>
      <c r="I87" s="52"/>
      <c r="J87" s="53"/>
      <c r="K87" s="38">
        <f t="shared" si="5"/>
        <v>1.8019999999999999E-4</v>
      </c>
      <c r="L87" s="38" t="str">
        <f t="shared" si="6"/>
        <v xml:space="preserve"> </v>
      </c>
      <c r="M87" s="57"/>
      <c r="N87" s="57">
        <v>5</v>
      </c>
      <c r="O87" s="39"/>
      <c r="P87" s="1"/>
      <c r="Q87" s="1"/>
      <c r="R87" s="57"/>
      <c r="S87" s="25" t="s">
        <v>100</v>
      </c>
    </row>
    <row r="88" spans="1:19" x14ac:dyDescent="0.25">
      <c r="A88" s="36" t="str">
        <f t="shared" si="4"/>
        <v/>
      </c>
      <c r="B88" s="37"/>
      <c r="C88" s="37"/>
      <c r="D88" s="37"/>
      <c r="E88" s="37"/>
      <c r="F88" s="37"/>
      <c r="G88" s="37"/>
      <c r="H88" s="48" t="str">
        <f>Source_Plate!A88</f>
        <v/>
      </c>
      <c r="I88" s="52"/>
      <c r="J88" s="53"/>
      <c r="K88" s="38">
        <f t="shared" si="5"/>
        <v>1.8019999999999999E-4</v>
      </c>
      <c r="L88" s="38" t="str">
        <f t="shared" si="6"/>
        <v xml:space="preserve"> </v>
      </c>
      <c r="M88" s="57"/>
      <c r="N88" s="57">
        <v>5</v>
      </c>
      <c r="O88" s="39"/>
      <c r="P88" s="30"/>
      <c r="Q88" s="30"/>
      <c r="R88" s="57"/>
      <c r="S88" s="25" t="s">
        <v>101</v>
      </c>
    </row>
    <row r="89" spans="1:19" ht="15.75" thickBot="1" x14ac:dyDescent="0.3">
      <c r="A89" s="41" t="str">
        <f t="shared" si="4"/>
        <v/>
      </c>
      <c r="B89" s="42"/>
      <c r="C89" s="42"/>
      <c r="D89" s="42"/>
      <c r="E89" s="42"/>
      <c r="F89" s="42"/>
      <c r="G89" s="42"/>
      <c r="H89" s="49" t="str">
        <f>Source_Plate!A89</f>
        <v/>
      </c>
      <c r="I89" s="54"/>
      <c r="J89" s="55"/>
      <c r="K89" s="43">
        <f t="shared" si="5"/>
        <v>1.8019999999999999E-4</v>
      </c>
      <c r="L89" s="43" t="str">
        <f t="shared" si="6"/>
        <v xml:space="preserve"> </v>
      </c>
      <c r="M89" s="58"/>
      <c r="N89" s="58">
        <v>5</v>
      </c>
      <c r="O89" s="44"/>
      <c r="P89" s="27"/>
      <c r="Q89" s="27"/>
      <c r="R89" s="58"/>
      <c r="S89" s="25" t="s">
        <v>102</v>
      </c>
    </row>
    <row r="90" spans="1:19" x14ac:dyDescent="0.25">
      <c r="A90" s="32" t="str">
        <f t="shared" si="4"/>
        <v/>
      </c>
      <c r="B90" s="33"/>
      <c r="C90" s="33"/>
      <c r="D90" s="33"/>
      <c r="E90" s="33"/>
      <c r="F90" s="33"/>
      <c r="G90" s="33"/>
      <c r="H90" s="47" t="str">
        <f>Source_Plate!A90</f>
        <v/>
      </c>
      <c r="I90" s="50"/>
      <c r="J90" s="51"/>
      <c r="K90" s="34">
        <f t="shared" si="5"/>
        <v>1.8019999999999999E-4</v>
      </c>
      <c r="L90" s="34" t="str">
        <f t="shared" si="6"/>
        <v xml:space="preserve"> </v>
      </c>
      <c r="M90" s="56"/>
      <c r="N90" s="56">
        <v>5</v>
      </c>
      <c r="O90" s="35"/>
      <c r="P90" s="31"/>
      <c r="Q90" s="31"/>
      <c r="R90" s="56"/>
      <c r="S90" s="25" t="s">
        <v>103</v>
      </c>
    </row>
    <row r="91" spans="1:19" x14ac:dyDescent="0.25">
      <c r="A91" s="36" t="str">
        <f t="shared" si="4"/>
        <v/>
      </c>
      <c r="B91" s="37"/>
      <c r="C91" s="37"/>
      <c r="D91" s="37"/>
      <c r="E91" s="37"/>
      <c r="F91" s="37"/>
      <c r="G91" s="37"/>
      <c r="H91" s="48" t="str">
        <f>Source_Plate!A91</f>
        <v/>
      </c>
      <c r="I91" s="52"/>
      <c r="J91" s="53"/>
      <c r="K91" s="38">
        <f t="shared" si="5"/>
        <v>1.8019999999999999E-4</v>
      </c>
      <c r="L91" s="38" t="str">
        <f t="shared" si="6"/>
        <v xml:space="preserve"> </v>
      </c>
      <c r="M91" s="57"/>
      <c r="N91" s="57">
        <v>5</v>
      </c>
      <c r="O91" s="39"/>
      <c r="P91" s="1"/>
      <c r="Q91" s="1"/>
      <c r="R91" s="57"/>
      <c r="S91" s="25" t="s">
        <v>104</v>
      </c>
    </row>
    <row r="92" spans="1:19" x14ac:dyDescent="0.25">
      <c r="A92" s="36" t="str">
        <f t="shared" si="4"/>
        <v/>
      </c>
      <c r="B92" s="37"/>
      <c r="C92" s="37"/>
      <c r="D92" s="37"/>
      <c r="E92" s="37"/>
      <c r="F92" s="37"/>
      <c r="G92" s="37"/>
      <c r="H92" s="48" t="str">
        <f>Source_Plate!A92</f>
        <v/>
      </c>
      <c r="I92" s="52"/>
      <c r="J92" s="53"/>
      <c r="K92" s="38">
        <f t="shared" si="5"/>
        <v>1.8019999999999999E-4</v>
      </c>
      <c r="L92" s="38" t="str">
        <f t="shared" si="6"/>
        <v xml:space="preserve"> </v>
      </c>
      <c r="M92" s="57"/>
      <c r="N92" s="57">
        <v>5</v>
      </c>
      <c r="O92" s="39"/>
      <c r="P92" s="1"/>
      <c r="Q92" s="1"/>
      <c r="R92" s="57"/>
      <c r="S92" s="25" t="s">
        <v>105</v>
      </c>
    </row>
    <row r="93" spans="1:19" x14ac:dyDescent="0.25">
      <c r="A93" s="36" t="str">
        <f t="shared" si="4"/>
        <v/>
      </c>
      <c r="B93" s="40"/>
      <c r="C93" s="40"/>
      <c r="D93" s="40"/>
      <c r="E93" s="40"/>
      <c r="F93" s="40"/>
      <c r="G93" s="40"/>
      <c r="H93" s="48" t="str">
        <f>Source_Plate!A93</f>
        <v/>
      </c>
      <c r="I93" s="52"/>
      <c r="J93" s="53"/>
      <c r="K93" s="38">
        <f t="shared" si="5"/>
        <v>1.8019999999999999E-4</v>
      </c>
      <c r="L93" s="38" t="str">
        <f t="shared" si="6"/>
        <v xml:space="preserve"> </v>
      </c>
      <c r="M93" s="57"/>
      <c r="N93" s="57">
        <v>5</v>
      </c>
      <c r="O93" s="39"/>
      <c r="P93" s="1"/>
      <c r="Q93" s="1"/>
      <c r="R93" s="57"/>
      <c r="S93" s="25" t="s">
        <v>106</v>
      </c>
    </row>
    <row r="94" spans="1:19" x14ac:dyDescent="0.25">
      <c r="A94" s="36" t="str">
        <f t="shared" si="4"/>
        <v/>
      </c>
      <c r="B94" s="37"/>
      <c r="C94" s="37"/>
      <c r="D94" s="37"/>
      <c r="E94" s="37"/>
      <c r="F94" s="37"/>
      <c r="G94" s="37"/>
      <c r="H94" s="48" t="str">
        <f>Source_Plate!A94</f>
        <v/>
      </c>
      <c r="I94" s="52"/>
      <c r="J94" s="53"/>
      <c r="K94" s="38">
        <f t="shared" si="5"/>
        <v>1.8019999999999999E-4</v>
      </c>
      <c r="L94" s="38" t="str">
        <f t="shared" si="6"/>
        <v xml:space="preserve"> </v>
      </c>
      <c r="M94" s="57"/>
      <c r="N94" s="57">
        <v>5</v>
      </c>
      <c r="O94" s="39"/>
      <c r="P94" s="1"/>
      <c r="Q94" s="1"/>
      <c r="R94" s="57"/>
      <c r="S94" s="25" t="s">
        <v>107</v>
      </c>
    </row>
    <row r="95" spans="1:19" x14ac:dyDescent="0.25">
      <c r="A95" s="36" t="str">
        <f t="shared" si="4"/>
        <v/>
      </c>
      <c r="B95" s="37"/>
      <c r="C95" s="37"/>
      <c r="D95" s="37"/>
      <c r="E95" s="37"/>
      <c r="F95" s="37"/>
      <c r="G95" s="37"/>
      <c r="H95" s="48" t="str">
        <f>Source_Plate!A95</f>
        <v/>
      </c>
      <c r="I95" s="52"/>
      <c r="J95" s="53"/>
      <c r="K95" s="38">
        <f t="shared" si="5"/>
        <v>1.8019999999999999E-4</v>
      </c>
      <c r="L95" s="38" t="str">
        <f t="shared" si="6"/>
        <v xml:space="preserve"> </v>
      </c>
      <c r="M95" s="57"/>
      <c r="N95" s="57">
        <v>5</v>
      </c>
      <c r="O95" s="39"/>
      <c r="P95" s="1"/>
      <c r="Q95" s="1"/>
      <c r="R95" s="57"/>
      <c r="S95" s="25" t="s">
        <v>108</v>
      </c>
    </row>
    <row r="96" spans="1:19" x14ac:dyDescent="0.25">
      <c r="A96" s="36" t="str">
        <f t="shared" si="4"/>
        <v/>
      </c>
      <c r="B96" s="37"/>
      <c r="C96" s="37"/>
      <c r="D96" s="37"/>
      <c r="E96" s="37"/>
      <c r="F96" s="37"/>
      <c r="G96" s="37"/>
      <c r="H96" s="48" t="str">
        <f>Source_Plate!A96</f>
        <v/>
      </c>
      <c r="I96" s="52"/>
      <c r="J96" s="53"/>
      <c r="K96" s="38">
        <f t="shared" si="5"/>
        <v>1.8019999999999999E-4</v>
      </c>
      <c r="L96" s="38" t="str">
        <f t="shared" si="6"/>
        <v xml:space="preserve"> </v>
      </c>
      <c r="M96" s="57"/>
      <c r="N96" s="57">
        <v>5</v>
      </c>
      <c r="O96" s="39"/>
      <c r="P96" s="30"/>
      <c r="Q96" s="30"/>
      <c r="R96" s="57"/>
      <c r="S96" s="25" t="s">
        <v>109</v>
      </c>
    </row>
    <row r="97" spans="1:19" ht="15.75" thickBot="1" x14ac:dyDescent="0.3">
      <c r="A97" s="41" t="str">
        <f t="shared" si="4"/>
        <v/>
      </c>
      <c r="B97" s="42"/>
      <c r="C97" s="42"/>
      <c r="D97" s="42"/>
      <c r="E97" s="42"/>
      <c r="F97" s="42"/>
      <c r="G97" s="42"/>
      <c r="H97" s="49" t="str">
        <f>Source_Plate!A97</f>
        <v/>
      </c>
      <c r="I97" s="54"/>
      <c r="J97" s="55"/>
      <c r="K97" s="43">
        <f t="shared" si="5"/>
        <v>1.8019999999999999E-4</v>
      </c>
      <c r="L97" s="43" t="str">
        <f t="shared" si="6"/>
        <v xml:space="preserve"> </v>
      </c>
      <c r="M97" s="58"/>
      <c r="N97" s="58">
        <v>5</v>
      </c>
      <c r="O97" s="44"/>
      <c r="P97" s="27"/>
      <c r="Q97" s="27"/>
      <c r="R97" s="58"/>
      <c r="S97" s="26" t="s">
        <v>110</v>
      </c>
    </row>
    <row r="98" spans="1:19" x14ac:dyDescent="0.25">
      <c r="K98" s="11"/>
    </row>
  </sheetData>
  <conditionalFormatting sqref="I2:I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:I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: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:I4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2:I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:I5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8:I6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:I7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8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2:I8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:I9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J1">
    <cfRule type="cellIs" dxfId="1" priority="53" operator="lessThan">
      <formula>100</formula>
    </cfRule>
  </conditionalFormatting>
  <conditionalFormatting sqref="L2:L97">
    <cfRule type="cellIs" dxfId="0" priority="29" operator="greaterThan">
      <formula>150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7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7.5703125" bestFit="1" customWidth="1"/>
    <col min="3" max="3" width="17.5703125" bestFit="1" customWidth="1"/>
    <col min="4" max="4" width="10" customWidth="1"/>
    <col min="5" max="5" width="15.42578125" bestFit="1" customWidth="1"/>
    <col min="7" max="7" width="13.140625" bestFit="1" customWidth="1"/>
    <col min="9" max="9" width="24.140625" customWidth="1"/>
    <col min="11" max="11" width="18.140625" style="3" customWidth="1"/>
    <col min="15" max="15" width="13.85546875" bestFit="1" customWidth="1"/>
  </cols>
  <sheetData>
    <row r="1" spans="1:17" ht="15.75" thickBot="1" x14ac:dyDescent="0.3">
      <c r="A1" s="5" t="s">
        <v>156</v>
      </c>
      <c r="B1" s="5" t="s">
        <v>11</v>
      </c>
      <c r="C1" s="5" t="s">
        <v>155</v>
      </c>
      <c r="E1" s="5" t="s">
        <v>156</v>
      </c>
      <c r="F1" s="5" t="s">
        <v>11</v>
      </c>
      <c r="G1" s="5" t="s">
        <v>155</v>
      </c>
      <c r="I1" s="5" t="s">
        <v>156</v>
      </c>
      <c r="J1" s="5" t="s">
        <v>11</v>
      </c>
      <c r="K1" s="5" t="s">
        <v>155</v>
      </c>
      <c r="M1" s="5" t="s">
        <v>156</v>
      </c>
      <c r="N1" s="5" t="s">
        <v>11</v>
      </c>
      <c r="O1" s="5" t="s">
        <v>144</v>
      </c>
    </row>
    <row r="2" spans="1:17" x14ac:dyDescent="0.25">
      <c r="A2" s="103" t="str">
        <f>IF('Plate organization+'!B3="","",'Plate organization+'!B3)</f>
        <v>Psyn</v>
      </c>
      <c r="B2" s="103" t="s">
        <v>12</v>
      </c>
      <c r="C2" s="103" t="str">
        <f>IF(A2="","",'Plate organization+'!$A$1)</f>
        <v>mtp_dna_stocks</v>
      </c>
      <c r="E2" s="63" t="str">
        <f>IF('Plate organization+'!B15="","",'Plate organization+'!B15)</f>
        <v>Mastermix1</v>
      </c>
      <c r="F2" s="63" t="s">
        <v>12</v>
      </c>
      <c r="G2" s="63" t="str">
        <f>IF(E2="","",'Plate organization+'!$A$13)</f>
        <v>mtp_mastermix</v>
      </c>
      <c r="I2" s="66" t="str">
        <f>IF('Plate organization+'!B27="","",'Plate organization+'!B27)</f>
        <v>Psyn</v>
      </c>
      <c r="J2" s="66" t="s">
        <v>12</v>
      </c>
      <c r="K2" s="66" t="str">
        <f>IF(I2="","",'Plate organization+'!$A$25)</f>
        <v>mtp_source</v>
      </c>
      <c r="M2" s="106" t="s">
        <v>145</v>
      </c>
      <c r="N2" s="107" t="s">
        <v>12</v>
      </c>
      <c r="O2" s="107" t="str">
        <f t="shared" ref="O2:O9" si="0">IF(M2=0,"",M2)</f>
        <v>water</v>
      </c>
      <c r="P2" t="s">
        <v>153</v>
      </c>
      <c r="Q2" t="s">
        <v>152</v>
      </c>
    </row>
    <row r="3" spans="1:17" x14ac:dyDescent="0.25">
      <c r="A3" s="104" t="str">
        <f>IF('Plate organization+'!B4="","",'Plate organization+'!B4)</f>
        <v>RBS</v>
      </c>
      <c r="B3" s="104" t="s">
        <v>13</v>
      </c>
      <c r="C3" s="104" t="str">
        <f>IF(A3="","",'Plate organization+'!$A$1)</f>
        <v>mtp_dna_stocks</v>
      </c>
      <c r="E3" s="64" t="str">
        <f>IF('Plate organization+'!B16="","",'Plate organization+'!B16)</f>
        <v/>
      </c>
      <c r="F3" s="64" t="s">
        <v>13</v>
      </c>
      <c r="G3" s="64" t="str">
        <f>IF(E3="","",'Plate organization+'!$A$13)</f>
        <v/>
      </c>
      <c r="I3" s="67" t="str">
        <f>IF('Plate organization+'!B28="","",'Plate organization+'!B28)</f>
        <v>RBS</v>
      </c>
      <c r="J3" s="67" t="s">
        <v>13</v>
      </c>
      <c r="K3" s="67" t="str">
        <f>IF(I3="","",'Plate organization+'!$A$25)</f>
        <v>mtp_source</v>
      </c>
      <c r="M3" s="106"/>
      <c r="N3" s="106" t="s">
        <v>13</v>
      </c>
      <c r="O3" s="106" t="str">
        <f t="shared" si="0"/>
        <v/>
      </c>
    </row>
    <row r="4" spans="1:17" x14ac:dyDescent="0.25">
      <c r="A4" s="104" t="str">
        <f>IF('Plate organization+'!B5="","",'Plate organization+'!B5)</f>
        <v>aroF_S188C</v>
      </c>
      <c r="B4" s="104" t="s">
        <v>14</v>
      </c>
      <c r="C4" s="104" t="str">
        <f>IF(A4="","",'Plate organization+'!$A$1)</f>
        <v>mtp_dna_stocks</v>
      </c>
      <c r="E4" s="64" t="str">
        <f>IF('Plate organization+'!B17="","",'Plate organization+'!B17)</f>
        <v/>
      </c>
      <c r="F4" s="64" t="s">
        <v>14</v>
      </c>
      <c r="G4" s="64" t="str">
        <f>IF(E4="","",'Plate organization+'!$A$13)</f>
        <v/>
      </c>
      <c r="I4" s="67" t="str">
        <f>IF('Plate organization+'!B29="","",'Plate organization+'!B29)</f>
        <v>aroF_S188C</v>
      </c>
      <c r="J4" s="67" t="s">
        <v>14</v>
      </c>
      <c r="K4" s="67" t="str">
        <f>IF(I4="","",'Plate organization+'!$A$25)</f>
        <v>mtp_source</v>
      </c>
      <c r="M4" s="106"/>
      <c r="N4" s="106" t="s">
        <v>14</v>
      </c>
      <c r="O4" s="106" t="str">
        <f t="shared" si="0"/>
        <v/>
      </c>
    </row>
    <row r="5" spans="1:17" x14ac:dyDescent="0.25">
      <c r="A5" s="104" t="str">
        <f>IF('Plate organization+'!B6="","",'Plate organization+'!B6)</f>
        <v>TrrnB</v>
      </c>
      <c r="B5" s="104" t="s">
        <v>15</v>
      </c>
      <c r="C5" s="104" t="str">
        <f>IF(A5="","",'Plate organization+'!$A$1)</f>
        <v>mtp_dna_stocks</v>
      </c>
      <c r="E5" s="64" t="str">
        <f>IF('Plate organization+'!B18="","",'Plate organization+'!B18)</f>
        <v/>
      </c>
      <c r="F5" s="64" t="s">
        <v>15</v>
      </c>
      <c r="G5" s="64" t="str">
        <f>IF(E5="","",'Plate organization+'!$A$13)</f>
        <v/>
      </c>
      <c r="I5" s="67" t="str">
        <f>IF('Plate organization+'!B30="","",'Plate organization+'!B30)</f>
        <v>TrrnB</v>
      </c>
      <c r="J5" s="67" t="s">
        <v>15</v>
      </c>
      <c r="K5" s="67" t="str">
        <f>IF(I5="","",'Plate organization+'!$A$25)</f>
        <v>mtp_source</v>
      </c>
      <c r="M5" s="106"/>
      <c r="N5" s="106" t="s">
        <v>15</v>
      </c>
      <c r="O5" s="106" t="str">
        <f t="shared" si="0"/>
        <v/>
      </c>
    </row>
    <row r="6" spans="1:17" x14ac:dyDescent="0.25">
      <c r="A6" s="104" t="str">
        <f>IF('Plate organization+'!B7="","",'Plate organization+'!B7)</f>
        <v>DVK_AE</v>
      </c>
      <c r="B6" s="104" t="s">
        <v>16</v>
      </c>
      <c r="C6" s="104" t="str">
        <f>IF(A6="","",'Plate organization+'!$A$1)</f>
        <v>mtp_dna_stocks</v>
      </c>
      <c r="E6" s="64" t="str">
        <f>IF('Plate organization+'!B19="","",'Plate organization+'!B19)</f>
        <v/>
      </c>
      <c r="F6" s="64" t="s">
        <v>16</v>
      </c>
      <c r="G6" s="64" t="str">
        <f>IF(E6="","",'Plate organization+'!$A$13)</f>
        <v/>
      </c>
      <c r="I6" s="67" t="str">
        <f>IF('Plate organization+'!B31="","",'Plate organization+'!B31)</f>
        <v>DVK_AE</v>
      </c>
      <c r="J6" s="67" t="s">
        <v>16</v>
      </c>
      <c r="K6" s="67" t="str">
        <f>IF(I6="","",'Plate organization+'!$A$25)</f>
        <v>mtp_source</v>
      </c>
      <c r="M6" s="106"/>
      <c r="N6" s="106" t="s">
        <v>16</v>
      </c>
      <c r="O6" s="106" t="str">
        <f t="shared" si="0"/>
        <v/>
      </c>
    </row>
    <row r="7" spans="1:17" x14ac:dyDescent="0.25">
      <c r="A7" s="104" t="str">
        <f>IF('Plate organization+'!B8="","",'Plate organization+'!B8)</f>
        <v/>
      </c>
      <c r="B7" s="104" t="s">
        <v>17</v>
      </c>
      <c r="C7" s="104" t="str">
        <f>IF(A7="","",'Plate organization+'!$A$1)</f>
        <v/>
      </c>
      <c r="E7" s="64" t="str">
        <f>IF('Plate organization+'!B20="","",'Plate organization+'!B20)</f>
        <v/>
      </c>
      <c r="F7" s="64" t="s">
        <v>17</v>
      </c>
      <c r="G7" s="64" t="str">
        <f>IF(E7="","",'Plate organization+'!$A$13)</f>
        <v/>
      </c>
      <c r="I7" s="67" t="str">
        <f>IF('Plate organization+'!B32="","",'Plate organization+'!B32)</f>
        <v/>
      </c>
      <c r="J7" s="67" t="s">
        <v>17</v>
      </c>
      <c r="K7" s="67" t="str">
        <f>IF(I7="","",'Plate organization+'!$A$25)</f>
        <v/>
      </c>
      <c r="M7" s="106"/>
      <c r="N7" s="106" t="s">
        <v>17</v>
      </c>
      <c r="O7" s="106" t="str">
        <f t="shared" si="0"/>
        <v/>
      </c>
    </row>
    <row r="8" spans="1:17" x14ac:dyDescent="0.25">
      <c r="A8" s="104" t="str">
        <f>IF('Plate organization+'!B9="","",'Plate organization+'!B9)</f>
        <v/>
      </c>
      <c r="B8" s="104" t="s">
        <v>18</v>
      </c>
      <c r="C8" s="104" t="str">
        <f>IF(A8="","",'Plate organization+'!$A$1)</f>
        <v/>
      </c>
      <c r="E8" s="64" t="str">
        <f>IF('Plate organization+'!B21="","",'Plate organization+'!B21)</f>
        <v/>
      </c>
      <c r="F8" s="64" t="s">
        <v>18</v>
      </c>
      <c r="G8" s="64" t="str">
        <f>IF(E8="","",'Plate organization+'!$A$13)</f>
        <v/>
      </c>
      <c r="I8" s="67" t="str">
        <f>IF('Plate organization+'!B33="","",'Plate organization+'!B33)</f>
        <v/>
      </c>
      <c r="J8" s="67" t="s">
        <v>18</v>
      </c>
      <c r="K8" s="67" t="str">
        <f>IF(I8="","",'Plate organization+'!$A$25)</f>
        <v/>
      </c>
      <c r="M8" s="106"/>
      <c r="N8" s="106" t="s">
        <v>18</v>
      </c>
      <c r="O8" s="106" t="str">
        <f t="shared" si="0"/>
        <v/>
      </c>
    </row>
    <row r="9" spans="1:17" ht="15.75" thickBot="1" x14ac:dyDescent="0.3">
      <c r="A9" s="105" t="str">
        <f>IF('Plate organization+'!B10="","",'Plate organization+'!B10)</f>
        <v/>
      </c>
      <c r="B9" s="105" t="s">
        <v>19</v>
      </c>
      <c r="C9" s="105" t="str">
        <f>IF(A9="","",'Plate organization+'!$A$1)</f>
        <v/>
      </c>
      <c r="E9" s="65" t="str">
        <f>IF('Plate organization+'!B22="","",'Plate organization+'!B22)</f>
        <v/>
      </c>
      <c r="F9" s="65" t="s">
        <v>19</v>
      </c>
      <c r="G9" s="65" t="str">
        <f>IF(E9="","",'Plate organization+'!$A$13)</f>
        <v/>
      </c>
      <c r="I9" s="68" t="str">
        <f>IF('Plate organization+'!B34="","",'Plate organization+'!B34)</f>
        <v>Plasmidmix1</v>
      </c>
      <c r="J9" s="68" t="s">
        <v>19</v>
      </c>
      <c r="K9" s="68" t="str">
        <f>IF(I9="","",'Plate organization+'!$A$25)</f>
        <v>mtp_source</v>
      </c>
      <c r="M9" s="106"/>
      <c r="N9" s="108" t="s">
        <v>19</v>
      </c>
      <c r="O9" s="108" t="str">
        <f t="shared" si="0"/>
        <v/>
      </c>
    </row>
    <row r="10" spans="1:17" x14ac:dyDescent="0.25">
      <c r="A10" s="103" t="str">
        <f>IF('Plate organization+'!C3="","",'Plate organization+'!C3)</f>
        <v>PH36</v>
      </c>
      <c r="B10" s="103" t="s">
        <v>20</v>
      </c>
      <c r="C10" s="103" t="str">
        <f>IF(A10="","",'Plate organization+'!$A$1)</f>
        <v>mtp_dna_stocks</v>
      </c>
      <c r="E10" s="63" t="str">
        <f>IF('Plate organization+'!C15="","",'Plate organization+'!C15)</f>
        <v/>
      </c>
      <c r="F10" s="63" t="s">
        <v>20</v>
      </c>
      <c r="G10" s="63" t="str">
        <f>IF(E10="","",'Plate organization+'!$A$13)</f>
        <v/>
      </c>
      <c r="I10" s="66" t="str">
        <f>IF('Plate organization+'!C27="","",'Plate organization+'!C27)</f>
        <v>PH36</v>
      </c>
      <c r="J10" s="66" t="s">
        <v>20</v>
      </c>
      <c r="K10" s="66" t="str">
        <f>IF(I10="","",'Plate organization+'!$A$25)</f>
        <v>mtp_source</v>
      </c>
    </row>
    <row r="11" spans="1:17" x14ac:dyDescent="0.25">
      <c r="A11" s="104" t="str">
        <f>IF('Plate organization+'!C4="","",'Plate organization+'!C4)</f>
        <v/>
      </c>
      <c r="B11" s="104" t="s">
        <v>21</v>
      </c>
      <c r="C11" s="104" t="str">
        <f>IF(A11="","",'Plate organization+'!$A$1)</f>
        <v/>
      </c>
      <c r="E11" s="64" t="str">
        <f>IF('Plate organization+'!C16="","",'Plate organization+'!C16)</f>
        <v/>
      </c>
      <c r="F11" s="64" t="s">
        <v>21</v>
      </c>
      <c r="G11" s="64" t="str">
        <f>IF(E11="","",'Plate organization+'!$A$13)</f>
        <v/>
      </c>
      <c r="I11" s="67" t="str">
        <f>IF('Plate organization+'!C28="","",'Plate organization+'!C28)</f>
        <v/>
      </c>
      <c r="J11" s="67" t="s">
        <v>21</v>
      </c>
      <c r="K11" s="67" t="str">
        <f>IF(I11="","",'Plate organization+'!$A$25)</f>
        <v/>
      </c>
    </row>
    <row r="12" spans="1:17" x14ac:dyDescent="0.25">
      <c r="A12" s="104" t="str">
        <f>IF('Plate organization+'!C5="","",'Plate organization+'!C5)</f>
        <v>aroC</v>
      </c>
      <c r="B12" s="104" t="s">
        <v>22</v>
      </c>
      <c r="C12" s="104" t="str">
        <f>IF(A12="","",'Plate organization+'!$A$1)</f>
        <v>mtp_dna_stocks</v>
      </c>
      <c r="E12" s="64" t="str">
        <f>IF('Plate organization+'!C17="","",'Plate organization+'!C17)</f>
        <v/>
      </c>
      <c r="F12" s="64" t="s">
        <v>22</v>
      </c>
      <c r="G12" s="64" t="str">
        <f>IF(E12="","",'Plate organization+'!$A$13)</f>
        <v/>
      </c>
      <c r="I12" s="67" t="str">
        <f>IF('Plate organization+'!C29="","",'Plate organization+'!C29)</f>
        <v>aroC</v>
      </c>
      <c r="J12" s="67" t="s">
        <v>22</v>
      </c>
      <c r="K12" s="67" t="str">
        <f>IF(I12="","",'Plate organization+'!$A$25)</f>
        <v>mtp_source</v>
      </c>
    </row>
    <row r="13" spans="1:17" x14ac:dyDescent="0.25">
      <c r="A13" s="104" t="str">
        <f>IF('Plate organization+'!C6="","",'Plate organization+'!C6)</f>
        <v/>
      </c>
      <c r="B13" s="104" t="s">
        <v>23</v>
      </c>
      <c r="C13" s="104" t="str">
        <f>IF(A13="","",'Plate organization+'!$A$1)</f>
        <v/>
      </c>
      <c r="E13" s="64" t="str">
        <f>IF('Plate organization+'!C18="","",'Plate organization+'!C18)</f>
        <v/>
      </c>
      <c r="F13" s="64" t="s">
        <v>23</v>
      </c>
      <c r="G13" s="64" t="str">
        <f>IF(E13="","",'Plate organization+'!$A$13)</f>
        <v/>
      </c>
      <c r="I13" s="67" t="str">
        <f>IF('Plate organization+'!C30="","",'Plate organization+'!C30)</f>
        <v/>
      </c>
      <c r="J13" s="67" t="s">
        <v>23</v>
      </c>
      <c r="K13" s="67" t="str">
        <f>IF(I13="","",'Plate organization+'!$A$25)</f>
        <v/>
      </c>
    </row>
    <row r="14" spans="1:17" x14ac:dyDescent="0.25">
      <c r="A14" s="104" t="str">
        <f>IF('Plate organization+'!C7="","",'Plate organization+'!C7)</f>
        <v/>
      </c>
      <c r="B14" s="104" t="s">
        <v>24</v>
      </c>
      <c r="C14" s="104" t="str">
        <f>IF(A14="","",'Plate organization+'!$A$1)</f>
        <v/>
      </c>
      <c r="E14" s="64" t="str">
        <f>IF('Plate organization+'!C19="","",'Plate organization+'!C19)</f>
        <v/>
      </c>
      <c r="F14" s="64" t="s">
        <v>24</v>
      </c>
      <c r="G14" s="64" t="str">
        <f>IF(E14="","",'Plate organization+'!$A$13)</f>
        <v/>
      </c>
      <c r="I14" s="67" t="str">
        <f>IF('Plate organization+'!C31="","",'Plate organization+'!C31)</f>
        <v/>
      </c>
      <c r="J14" s="67" t="s">
        <v>24</v>
      </c>
      <c r="K14" s="67" t="str">
        <f>IF(I14="","",'Plate organization+'!$A$25)</f>
        <v/>
      </c>
    </row>
    <row r="15" spans="1:17" x14ac:dyDescent="0.25">
      <c r="A15" s="104" t="str">
        <f>IF('Plate organization+'!C8="","",'Plate organization+'!C8)</f>
        <v/>
      </c>
      <c r="B15" s="104" t="s">
        <v>25</v>
      </c>
      <c r="C15" s="104" t="str">
        <f>IF(A15="","",'Plate organization+'!$A$1)</f>
        <v/>
      </c>
      <c r="E15" s="64" t="str">
        <f>IF('Plate organization+'!C20="","",'Plate organization+'!C20)</f>
        <v/>
      </c>
      <c r="F15" s="64" t="s">
        <v>25</v>
      </c>
      <c r="G15" s="64" t="str">
        <f>IF(E15="","",'Plate organization+'!$A$13)</f>
        <v/>
      </c>
      <c r="I15" s="67" t="str">
        <f>IF('Plate organization+'!C32="","",'Plate organization+'!C32)</f>
        <v/>
      </c>
      <c r="J15" s="67" t="s">
        <v>25</v>
      </c>
      <c r="K15" s="67" t="str">
        <f>IF(I15="","",'Plate organization+'!$A$25)</f>
        <v/>
      </c>
    </row>
    <row r="16" spans="1:17" x14ac:dyDescent="0.25">
      <c r="A16" s="104" t="str">
        <f>IF('Plate organization+'!C9="","",'Plate organization+'!C9)</f>
        <v/>
      </c>
      <c r="B16" s="104" t="s">
        <v>26</v>
      </c>
      <c r="C16" s="104" t="str">
        <f>IF(A16="","",'Plate organization+'!$A$1)</f>
        <v/>
      </c>
      <c r="E16" s="64" t="str">
        <f>IF('Plate organization+'!C21="","",'Plate organization+'!C21)</f>
        <v/>
      </c>
      <c r="F16" s="64" t="s">
        <v>26</v>
      </c>
      <c r="G16" s="64" t="str">
        <f>IF(E16="","",'Plate organization+'!$A$13)</f>
        <v/>
      </c>
      <c r="I16" s="67" t="str">
        <f>IF('Plate organization+'!C33="","",'Plate organization+'!C33)</f>
        <v/>
      </c>
      <c r="J16" s="67" t="s">
        <v>26</v>
      </c>
      <c r="K16" s="67" t="str">
        <f>IF(I16="","",'Plate organization+'!$A$25)</f>
        <v/>
      </c>
    </row>
    <row r="17" spans="1:11" ht="15.75" thickBot="1" x14ac:dyDescent="0.3">
      <c r="A17" s="105" t="str">
        <f>IF('Plate organization+'!C10="","",'Plate organization+'!C10)</f>
        <v/>
      </c>
      <c r="B17" s="105" t="s">
        <v>27</v>
      </c>
      <c r="C17" s="105" t="str">
        <f>IF(A17="","",'Plate organization+'!$A$1)</f>
        <v/>
      </c>
      <c r="E17" s="65" t="str">
        <f>IF('Plate organization+'!C22="","",'Plate organization+'!C22)</f>
        <v/>
      </c>
      <c r="F17" s="65" t="s">
        <v>27</v>
      </c>
      <c r="G17" s="65" t="str">
        <f>IF(E17="","",'Plate organization+'!$A$13)</f>
        <v/>
      </c>
      <c r="I17" s="68" t="str">
        <f>IF('Plate organization+'!C34="","",'Plate organization+'!C34)</f>
        <v/>
      </c>
      <c r="J17" s="68" t="s">
        <v>27</v>
      </c>
      <c r="K17" s="68" t="str">
        <f>IF(I17="","",'Plate organization+'!$A$25)</f>
        <v/>
      </c>
    </row>
    <row r="18" spans="1:11" x14ac:dyDescent="0.25">
      <c r="A18" s="103" t="str">
        <f>IF('Plate organization+'!D3="","",'Plate organization+'!D3)</f>
        <v/>
      </c>
      <c r="B18" s="103" t="s">
        <v>28</v>
      </c>
      <c r="C18" s="103" t="str">
        <f>IF(A18="","",'Plate organization+'!$A$1)</f>
        <v/>
      </c>
      <c r="E18" s="63" t="str">
        <f>IF('Plate organization+'!D15="","",'Plate organization+'!D15)</f>
        <v/>
      </c>
      <c r="F18" s="63" t="s">
        <v>28</v>
      </c>
      <c r="G18" s="63" t="str">
        <f>IF(E18="","",'Plate organization+'!$A$13)</f>
        <v/>
      </c>
      <c r="I18" s="66" t="str">
        <f>IF('Plate organization+'!D27="","",'Plate organization+'!D27)</f>
        <v/>
      </c>
      <c r="J18" s="66" t="s">
        <v>28</v>
      </c>
      <c r="K18" s="66" t="str">
        <f>IF(I18="","",'Plate organization+'!$A$25)</f>
        <v/>
      </c>
    </row>
    <row r="19" spans="1:11" x14ac:dyDescent="0.25">
      <c r="A19" s="104" t="str">
        <f>IF('Plate organization+'!D4="","",'Plate organization+'!D4)</f>
        <v/>
      </c>
      <c r="B19" s="104" t="s">
        <v>29</v>
      </c>
      <c r="C19" s="104" t="str">
        <f>IF(A19="","",'Plate organization+'!$A$1)</f>
        <v/>
      </c>
      <c r="E19" s="64" t="str">
        <f>IF('Plate organization+'!D16="","",'Plate organization+'!D16)</f>
        <v/>
      </c>
      <c r="F19" s="64" t="s">
        <v>29</v>
      </c>
      <c r="G19" s="64" t="str">
        <f>IF(E19="","",'Plate organization+'!$A$13)</f>
        <v/>
      </c>
      <c r="I19" s="67" t="str">
        <f>IF('Plate organization+'!D28="","",'Plate organization+'!D28)</f>
        <v/>
      </c>
      <c r="J19" s="67" t="s">
        <v>29</v>
      </c>
      <c r="K19" s="67" t="str">
        <f>IF(I19="","",'Plate organization+'!$A$25)</f>
        <v/>
      </c>
    </row>
    <row r="20" spans="1:11" x14ac:dyDescent="0.25">
      <c r="A20" s="104" t="str">
        <f>IF('Plate organization+'!D5="","",'Plate organization+'!D5)</f>
        <v/>
      </c>
      <c r="B20" s="104" t="s">
        <v>30</v>
      </c>
      <c r="C20" s="104" t="str">
        <f>IF(A20="","",'Plate organization+'!$A$1)</f>
        <v/>
      </c>
      <c r="E20" s="64" t="str">
        <f>IF('Plate organization+'!D17="","",'Plate organization+'!D17)</f>
        <v/>
      </c>
      <c r="F20" s="64" t="s">
        <v>30</v>
      </c>
      <c r="G20" s="64" t="str">
        <f>IF(E20="","",'Plate organization+'!$A$13)</f>
        <v/>
      </c>
      <c r="I20" s="67" t="str">
        <f>IF('Plate organization+'!D29="","",'Plate organization+'!D29)</f>
        <v/>
      </c>
      <c r="J20" s="67" t="s">
        <v>30</v>
      </c>
      <c r="K20" s="67" t="str">
        <f>IF(I20="","",'Plate organization+'!$A$25)</f>
        <v/>
      </c>
    </row>
    <row r="21" spans="1:11" x14ac:dyDescent="0.25">
      <c r="A21" s="104" t="str">
        <f>IF('Plate organization+'!D6="","",'Plate organization+'!D6)</f>
        <v/>
      </c>
      <c r="B21" s="104" t="s">
        <v>31</v>
      </c>
      <c r="C21" s="104" t="str">
        <f>IF(A21="","",'Plate organization+'!$A$1)</f>
        <v/>
      </c>
      <c r="E21" s="64" t="str">
        <f>IF('Plate organization+'!D18="","",'Plate organization+'!D18)</f>
        <v/>
      </c>
      <c r="F21" s="64" t="s">
        <v>31</v>
      </c>
      <c r="G21" s="64" t="str">
        <f>IF(E21="","",'Plate organization+'!$A$13)</f>
        <v/>
      </c>
      <c r="I21" s="67" t="str">
        <f>IF('Plate organization+'!D30="","",'Plate organization+'!D30)</f>
        <v/>
      </c>
      <c r="J21" s="67" t="s">
        <v>31</v>
      </c>
      <c r="K21" s="67" t="str">
        <f>IF(I21="","",'Plate organization+'!$A$25)</f>
        <v/>
      </c>
    </row>
    <row r="22" spans="1:11" x14ac:dyDescent="0.25">
      <c r="A22" s="104" t="str">
        <f>IF('Plate organization+'!D7="","",'Plate organization+'!D7)</f>
        <v/>
      </c>
      <c r="B22" s="104" t="s">
        <v>32</v>
      </c>
      <c r="C22" s="104" t="str">
        <f>IF(A22="","",'Plate organization+'!$A$1)</f>
        <v/>
      </c>
      <c r="E22" s="64" t="str">
        <f>IF('Plate organization+'!D19="","",'Plate organization+'!D19)</f>
        <v/>
      </c>
      <c r="F22" s="64" t="s">
        <v>32</v>
      </c>
      <c r="G22" s="64" t="str">
        <f>IF(E22="","",'Plate organization+'!$A$13)</f>
        <v/>
      </c>
      <c r="I22" s="67" t="str">
        <f>IF('Plate organization+'!D31="","",'Plate organization+'!D31)</f>
        <v/>
      </c>
      <c r="J22" s="67" t="s">
        <v>32</v>
      </c>
      <c r="K22" s="67" t="str">
        <f>IF(I22="","",'Plate organization+'!$A$25)</f>
        <v/>
      </c>
    </row>
    <row r="23" spans="1:11" x14ac:dyDescent="0.25">
      <c r="A23" s="104" t="str">
        <f>IF('Plate organization+'!D8="","",'Plate organization+'!D8)</f>
        <v/>
      </c>
      <c r="B23" s="104" t="s">
        <v>33</v>
      </c>
      <c r="C23" s="104" t="str">
        <f>IF(A23="","",'Plate organization+'!$A$1)</f>
        <v/>
      </c>
      <c r="E23" s="64" t="str">
        <f>IF('Plate organization+'!D20="","",'Plate organization+'!D20)</f>
        <v/>
      </c>
      <c r="F23" s="64" t="s">
        <v>33</v>
      </c>
      <c r="G23" s="64" t="str">
        <f>IF(E23="","",'Plate organization+'!$A$13)</f>
        <v/>
      </c>
      <c r="I23" s="67" t="str">
        <f>IF('Plate organization+'!D32="","",'Plate organization+'!D32)</f>
        <v/>
      </c>
      <c r="J23" s="67" t="s">
        <v>33</v>
      </c>
      <c r="K23" s="67" t="str">
        <f>IF(I23="","",'Plate organization+'!$A$25)</f>
        <v/>
      </c>
    </row>
    <row r="24" spans="1:11" x14ac:dyDescent="0.25">
      <c r="A24" s="104" t="str">
        <f>IF('Plate organization+'!D9="","",'Plate organization+'!D9)</f>
        <v/>
      </c>
      <c r="B24" s="104" t="s">
        <v>34</v>
      </c>
      <c r="C24" s="104" t="str">
        <f>IF(A24="","",'Plate organization+'!$A$1)</f>
        <v/>
      </c>
      <c r="E24" s="64" t="str">
        <f>IF('Plate organization+'!D21="","",'Plate organization+'!D21)</f>
        <v/>
      </c>
      <c r="F24" s="64" t="s">
        <v>34</v>
      </c>
      <c r="G24" s="64" t="str">
        <f>IF(E24="","",'Plate organization+'!$A$13)</f>
        <v/>
      </c>
      <c r="I24" s="67" t="str">
        <f>IF('Plate organization+'!D33="","",'Plate organization+'!D33)</f>
        <v/>
      </c>
      <c r="J24" s="67" t="s">
        <v>34</v>
      </c>
      <c r="K24" s="67" t="str">
        <f>IF(I24="","",'Plate organization+'!$A$25)</f>
        <v/>
      </c>
    </row>
    <row r="25" spans="1:11" ht="15.75" thickBot="1" x14ac:dyDescent="0.3">
      <c r="A25" s="105" t="str">
        <f>IF('Plate organization+'!D10="","",'Plate organization+'!D10)</f>
        <v/>
      </c>
      <c r="B25" s="105" t="s">
        <v>35</v>
      </c>
      <c r="C25" s="105" t="str">
        <f>IF(A25="","",'Plate organization+'!$A$1)</f>
        <v/>
      </c>
      <c r="E25" s="65" t="str">
        <f>IF('Plate organization+'!D22="","",'Plate organization+'!D22)</f>
        <v/>
      </c>
      <c r="F25" s="65" t="s">
        <v>35</v>
      </c>
      <c r="G25" s="65" t="str">
        <f>IF(E25="","",'Plate organization+'!$A$13)</f>
        <v/>
      </c>
      <c r="I25" s="68" t="str">
        <f>IF('Plate organization+'!D34="","",'Plate organization+'!D34)</f>
        <v/>
      </c>
      <c r="J25" s="68" t="s">
        <v>35</v>
      </c>
      <c r="K25" s="68" t="str">
        <f>IF(I25="","",'Plate organization+'!$A$25)</f>
        <v/>
      </c>
    </row>
    <row r="26" spans="1:11" x14ac:dyDescent="0.25">
      <c r="A26" s="103" t="str">
        <f>IF('Plate organization+'!E3="","",'Plate organization+'!E3)</f>
        <v/>
      </c>
      <c r="B26" s="103" t="s">
        <v>36</v>
      </c>
      <c r="C26" s="103" t="str">
        <f>IF(A26="","",'Plate organization+'!$A$1)</f>
        <v/>
      </c>
      <c r="E26" s="63" t="str">
        <f>IF('Plate organization+'!E15="","",'Plate organization+'!E15)</f>
        <v/>
      </c>
      <c r="F26" s="63" t="s">
        <v>36</v>
      </c>
      <c r="G26" s="63" t="str">
        <f>IF(E26="","",'Plate organization+'!$A$13)</f>
        <v/>
      </c>
      <c r="I26" s="66" t="str">
        <f>IF('Plate organization+'!E27="","",'Plate organization+'!E27)</f>
        <v/>
      </c>
      <c r="J26" s="66" t="s">
        <v>36</v>
      </c>
      <c r="K26" s="66" t="str">
        <f>IF(I26="","",'Plate organization+'!$A$25)</f>
        <v/>
      </c>
    </row>
    <row r="27" spans="1:11" x14ac:dyDescent="0.25">
      <c r="A27" s="104" t="str">
        <f>IF('Plate organization+'!E4="","",'Plate organization+'!E4)</f>
        <v/>
      </c>
      <c r="B27" s="104" t="s">
        <v>37</v>
      </c>
      <c r="C27" s="104" t="str">
        <f>IF(A27="","",'Plate organization+'!$A$1)</f>
        <v/>
      </c>
      <c r="E27" s="64" t="str">
        <f>IF('Plate organization+'!E16="","",'Plate organization+'!E16)</f>
        <v/>
      </c>
      <c r="F27" s="64" t="s">
        <v>37</v>
      </c>
      <c r="G27" s="64" t="str">
        <f>IF(E27="","",'Plate organization+'!$A$13)</f>
        <v/>
      </c>
      <c r="I27" s="67" t="str">
        <f>IF('Plate organization+'!E28="","",'Plate organization+'!E28)</f>
        <v/>
      </c>
      <c r="J27" s="67" t="s">
        <v>37</v>
      </c>
      <c r="K27" s="67" t="str">
        <f>IF(I27="","",'Plate organization+'!$A$25)</f>
        <v/>
      </c>
    </row>
    <row r="28" spans="1:11" x14ac:dyDescent="0.25">
      <c r="A28" s="104" t="str">
        <f>IF('Plate organization+'!E5="","",'Plate organization+'!E5)</f>
        <v/>
      </c>
      <c r="B28" s="104" t="s">
        <v>38</v>
      </c>
      <c r="C28" s="104" t="str">
        <f>IF(A28="","",'Plate organization+'!$A$1)</f>
        <v/>
      </c>
      <c r="E28" s="64" t="str">
        <f>IF('Plate organization+'!E17="","",'Plate organization+'!E17)</f>
        <v/>
      </c>
      <c r="F28" s="64" t="s">
        <v>38</v>
      </c>
      <c r="G28" s="64" t="str">
        <f>IF(E28="","",'Plate organization+'!$A$13)</f>
        <v/>
      </c>
      <c r="I28" s="67" t="str">
        <f>IF('Plate organization+'!E29="","",'Plate organization+'!E29)</f>
        <v/>
      </c>
      <c r="J28" s="67" t="s">
        <v>38</v>
      </c>
      <c r="K28" s="67" t="str">
        <f>IF(I28="","",'Plate organization+'!$A$25)</f>
        <v/>
      </c>
    </row>
    <row r="29" spans="1:11" x14ac:dyDescent="0.25">
      <c r="A29" s="104" t="str">
        <f>IF('Plate organization+'!E6="","",'Plate organization+'!E6)</f>
        <v/>
      </c>
      <c r="B29" s="104" t="s">
        <v>39</v>
      </c>
      <c r="C29" s="104" t="str">
        <f>IF(A29="","",'Plate organization+'!$A$1)</f>
        <v/>
      </c>
      <c r="E29" s="64"/>
      <c r="F29" s="64" t="s">
        <v>39</v>
      </c>
      <c r="G29" s="64" t="str">
        <f>IF(E29="","",'Plate organization+'!$A$13)</f>
        <v/>
      </c>
      <c r="I29" s="67" t="str">
        <f>IF('Plate organization+'!E30="","",'Plate organization+'!E30)</f>
        <v/>
      </c>
      <c r="J29" s="67" t="s">
        <v>39</v>
      </c>
      <c r="K29" s="67" t="str">
        <f>IF(I29="","",'Plate organization+'!$A$25)</f>
        <v/>
      </c>
    </row>
    <row r="30" spans="1:11" x14ac:dyDescent="0.25">
      <c r="A30" s="104" t="str">
        <f>IF('Plate organization+'!E7="","",'Plate organization+'!E7)</f>
        <v/>
      </c>
      <c r="B30" s="104" t="s">
        <v>40</v>
      </c>
      <c r="C30" s="104" t="str">
        <f>IF(A30="","",'Plate organization+'!$A$1)</f>
        <v/>
      </c>
      <c r="E30" s="64" t="str">
        <f>IF('Plate organization+'!E19="","",'Plate organization+'!E19)</f>
        <v/>
      </c>
      <c r="F30" s="64" t="s">
        <v>40</v>
      </c>
      <c r="G30" s="64" t="str">
        <f>IF(E30="","",'Plate organization+'!$A$13)</f>
        <v/>
      </c>
      <c r="I30" s="67" t="str">
        <f>IF('Plate organization+'!E31="","",'Plate organization+'!E31)</f>
        <v/>
      </c>
      <c r="J30" s="67" t="s">
        <v>40</v>
      </c>
      <c r="K30" s="67" t="str">
        <f>IF(I30="","",'Plate organization+'!$A$25)</f>
        <v/>
      </c>
    </row>
    <row r="31" spans="1:11" x14ac:dyDescent="0.25">
      <c r="A31" s="104" t="str">
        <f>IF('Plate organization+'!E8="","",'Plate organization+'!E8)</f>
        <v/>
      </c>
      <c r="B31" s="104" t="s">
        <v>41</v>
      </c>
      <c r="C31" s="104" t="str">
        <f>IF(A31="","",'Plate organization+'!$A$1)</f>
        <v/>
      </c>
      <c r="E31" s="64" t="str">
        <f>IF('Plate organization+'!E20="","",'Plate organization+'!E20)</f>
        <v/>
      </c>
      <c r="F31" s="64" t="s">
        <v>41</v>
      </c>
      <c r="G31" s="64" t="str">
        <f>IF(E31="","",'Plate organization+'!$A$13)</f>
        <v/>
      </c>
      <c r="I31" s="67" t="str">
        <f>IF('Plate organization+'!E32="","",'Plate organization+'!E32)</f>
        <v/>
      </c>
      <c r="J31" s="67" t="s">
        <v>41</v>
      </c>
      <c r="K31" s="67" t="str">
        <f>IF(I31="","",'Plate organization+'!$A$25)</f>
        <v/>
      </c>
    </row>
    <row r="32" spans="1:11" x14ac:dyDescent="0.25">
      <c r="A32" s="104" t="str">
        <f>IF('Plate organization+'!E9="","",'Plate organization+'!E9)</f>
        <v/>
      </c>
      <c r="B32" s="104" t="s">
        <v>42</v>
      </c>
      <c r="C32" s="104" t="str">
        <f>IF(A32="","",'Plate organization+'!$A$1)</f>
        <v/>
      </c>
      <c r="E32" s="64" t="str">
        <f>IF('Plate organization+'!E21="","",'Plate organization+'!E21)</f>
        <v/>
      </c>
      <c r="F32" s="64" t="s">
        <v>42</v>
      </c>
      <c r="G32" s="64" t="str">
        <f>IF(E32="","",'Plate organization+'!$A$13)</f>
        <v/>
      </c>
      <c r="I32" s="67" t="str">
        <f>IF('Plate organization+'!E33="","",'Plate organization+'!E33)</f>
        <v/>
      </c>
      <c r="J32" s="67" t="s">
        <v>42</v>
      </c>
      <c r="K32" s="67" t="str">
        <f>IF(I32="","",'Plate organization+'!$A$25)</f>
        <v/>
      </c>
    </row>
    <row r="33" spans="1:11" ht="15.75" thickBot="1" x14ac:dyDescent="0.3">
      <c r="A33" s="105" t="str">
        <f>IF('Plate organization+'!E10="","",'Plate organization+'!E10)</f>
        <v/>
      </c>
      <c r="B33" s="105" t="s">
        <v>43</v>
      </c>
      <c r="C33" s="105" t="str">
        <f>IF(A33="","",'Plate organization+'!$A$1)</f>
        <v/>
      </c>
      <c r="E33" s="65" t="str">
        <f>IF('Plate organization+'!E22="","",'Plate organization+'!E22)</f>
        <v/>
      </c>
      <c r="F33" s="65" t="s">
        <v>43</v>
      </c>
      <c r="G33" s="65" t="str">
        <f>IF(E33="","",'Plate organization+'!$A$13)</f>
        <v/>
      </c>
      <c r="I33" s="68" t="str">
        <f>IF('Plate organization+'!E34="","",'Plate organization+'!E34)</f>
        <v/>
      </c>
      <c r="J33" s="68" t="s">
        <v>43</v>
      </c>
      <c r="K33" s="68" t="str">
        <f>IF(I33="","",'Plate organization+'!$A$25)</f>
        <v/>
      </c>
    </row>
    <row r="34" spans="1:11" x14ac:dyDescent="0.25">
      <c r="A34" s="103" t="str">
        <f>IF('Plate organization+'!F3="","",'Plate organization+'!F3)</f>
        <v/>
      </c>
      <c r="B34" s="103" t="s">
        <v>44</v>
      </c>
      <c r="C34" s="103" t="str">
        <f>IF(A34="","",'Plate organization+'!$A$1)</f>
        <v/>
      </c>
      <c r="E34" s="63" t="str">
        <f>IF('Plate organization+'!F15="","",'Plate organization+'!F15)</f>
        <v/>
      </c>
      <c r="F34" s="63" t="s">
        <v>44</v>
      </c>
      <c r="G34" s="63" t="str">
        <f>IF(E34="","",'Plate organization+'!$A$13)</f>
        <v/>
      </c>
      <c r="I34" s="66" t="str">
        <f>IF('Plate organization+'!F27="","",'Plate organization+'!F27)</f>
        <v/>
      </c>
      <c r="J34" s="66" t="s">
        <v>44</v>
      </c>
      <c r="K34" s="66" t="str">
        <f>IF(I34="","",'Plate organization+'!$A$25)</f>
        <v/>
      </c>
    </row>
    <row r="35" spans="1:11" x14ac:dyDescent="0.25">
      <c r="A35" s="104" t="str">
        <f>IF('Plate organization+'!F4="","",'Plate organization+'!F4)</f>
        <v/>
      </c>
      <c r="B35" s="104" t="s">
        <v>45</v>
      </c>
      <c r="C35" s="104" t="str">
        <f>IF(A35="","",'Plate organization+'!$A$1)</f>
        <v/>
      </c>
      <c r="E35" s="64" t="str">
        <f>IF('Plate organization+'!F16="","",'Plate organization+'!F16)</f>
        <v/>
      </c>
      <c r="F35" s="64" t="s">
        <v>45</v>
      </c>
      <c r="G35" s="64" t="str">
        <f>IF(E35="","",'Plate organization+'!$A$13)</f>
        <v/>
      </c>
      <c r="I35" s="67" t="str">
        <f>IF('Plate organization+'!F28="","",'Plate organization+'!F28)</f>
        <v/>
      </c>
      <c r="J35" s="67" t="s">
        <v>45</v>
      </c>
      <c r="K35" s="67" t="str">
        <f>IF(I35="","",'Plate organization+'!$A$25)</f>
        <v/>
      </c>
    </row>
    <row r="36" spans="1:11" x14ac:dyDescent="0.25">
      <c r="A36" s="104" t="str">
        <f>IF('Plate organization+'!F5="","",'Plate organization+'!F5)</f>
        <v/>
      </c>
      <c r="B36" s="104" t="s">
        <v>46</v>
      </c>
      <c r="C36" s="104" t="str">
        <f>IF(A36="","",'Plate organization+'!$A$1)</f>
        <v/>
      </c>
      <c r="E36" s="64" t="str">
        <f>IF('Plate organization+'!F17="","",'Plate organization+'!F17)</f>
        <v/>
      </c>
      <c r="F36" s="64" t="s">
        <v>46</v>
      </c>
      <c r="G36" s="64" t="str">
        <f>IF(E36="","",'Plate organization+'!$A$13)</f>
        <v/>
      </c>
      <c r="I36" s="67" t="str">
        <f>IF('Plate organization+'!F29="","",'Plate organization+'!F29)</f>
        <v/>
      </c>
      <c r="J36" s="67" t="s">
        <v>46</v>
      </c>
      <c r="K36" s="67" t="str">
        <f>IF(I36="","",'Plate organization+'!$A$25)</f>
        <v/>
      </c>
    </row>
    <row r="37" spans="1:11" x14ac:dyDescent="0.25">
      <c r="A37" s="104" t="str">
        <f>IF('Plate organization+'!F6="","",'Plate organization+'!F6)</f>
        <v/>
      </c>
      <c r="B37" s="104" t="s">
        <v>47</v>
      </c>
      <c r="C37" s="104" t="str">
        <f>IF(A37="","",'Plate organization+'!$A$1)</f>
        <v/>
      </c>
      <c r="E37" s="64" t="str">
        <f>IF('Plate organization+'!F18="","",'Plate organization+'!F18)</f>
        <v/>
      </c>
      <c r="F37" s="64" t="s">
        <v>47</v>
      </c>
      <c r="G37" s="64" t="str">
        <f>IF(E37="","",'Plate organization+'!$A$13)</f>
        <v/>
      </c>
      <c r="I37" s="67" t="str">
        <f>IF('Plate organization+'!F30="","",'Plate organization+'!F30)</f>
        <v/>
      </c>
      <c r="J37" s="67" t="s">
        <v>47</v>
      </c>
      <c r="K37" s="67" t="str">
        <f>IF(I37="","",'Plate organization+'!$A$25)</f>
        <v/>
      </c>
    </row>
    <row r="38" spans="1:11" x14ac:dyDescent="0.25">
      <c r="A38" s="104" t="str">
        <f>IF('Plate organization+'!F7="","",'Plate organization+'!F7)</f>
        <v/>
      </c>
      <c r="B38" s="104" t="s">
        <v>48</v>
      </c>
      <c r="C38" s="104" t="str">
        <f>IF(A38="","",'Plate organization+'!$A$1)</f>
        <v/>
      </c>
      <c r="E38" s="64" t="str">
        <f>IF('Plate organization+'!F19="","",'Plate organization+'!F19)</f>
        <v/>
      </c>
      <c r="F38" s="64" t="s">
        <v>48</v>
      </c>
      <c r="G38" s="64" t="str">
        <f>IF(E38="","",'Plate organization+'!$A$13)</f>
        <v/>
      </c>
      <c r="I38" s="67" t="str">
        <f>IF('Plate organization+'!F31="","",'Plate organization+'!F31)</f>
        <v/>
      </c>
      <c r="J38" s="67" t="s">
        <v>48</v>
      </c>
      <c r="K38" s="67" t="str">
        <f>IF(I38="","",'Plate organization+'!$A$25)</f>
        <v/>
      </c>
    </row>
    <row r="39" spans="1:11" x14ac:dyDescent="0.25">
      <c r="A39" s="104" t="str">
        <f>IF('Plate organization+'!F8="","",'Plate organization+'!F8)</f>
        <v/>
      </c>
      <c r="B39" s="104" t="s">
        <v>49</v>
      </c>
      <c r="C39" s="104" t="str">
        <f>IF(A39="","",'Plate organization+'!$A$1)</f>
        <v/>
      </c>
      <c r="E39" s="64" t="str">
        <f>IF('Plate organization+'!F20="","",'Plate organization+'!F20)</f>
        <v/>
      </c>
      <c r="F39" s="64" t="s">
        <v>49</v>
      </c>
      <c r="G39" s="64" t="str">
        <f>IF(E39="","",'Plate organization+'!$A$13)</f>
        <v/>
      </c>
      <c r="I39" s="67" t="str">
        <f>IF('Plate organization+'!F32="","",'Plate organization+'!F32)</f>
        <v/>
      </c>
      <c r="J39" s="67" t="s">
        <v>49</v>
      </c>
      <c r="K39" s="67" t="str">
        <f>IF(I39="","",'Plate organization+'!$A$25)</f>
        <v/>
      </c>
    </row>
    <row r="40" spans="1:11" x14ac:dyDescent="0.25">
      <c r="A40" s="104" t="str">
        <f>IF('Plate organization+'!F9="","",'Plate organization+'!F9)</f>
        <v/>
      </c>
      <c r="B40" s="104" t="s">
        <v>50</v>
      </c>
      <c r="C40" s="104" t="str">
        <f>IF(A40="","",'Plate organization+'!$A$1)</f>
        <v/>
      </c>
      <c r="E40" s="64" t="str">
        <f>IF('Plate organization+'!F21="","",'Plate organization+'!F21)</f>
        <v/>
      </c>
      <c r="F40" s="64" t="s">
        <v>50</v>
      </c>
      <c r="G40" s="64" t="str">
        <f>IF(E40="","",'Plate organization+'!$A$13)</f>
        <v/>
      </c>
      <c r="I40" s="67" t="str">
        <f>IF('Plate organization+'!F33="","",'Plate organization+'!F33)</f>
        <v/>
      </c>
      <c r="J40" s="67" t="s">
        <v>50</v>
      </c>
      <c r="K40" s="67" t="str">
        <f>IF(I40="","",'Plate organization+'!$A$25)</f>
        <v/>
      </c>
    </row>
    <row r="41" spans="1:11" ht="15.75" thickBot="1" x14ac:dyDescent="0.3">
      <c r="A41" s="105" t="str">
        <f>IF('Plate organization+'!F10="","",'Plate organization+'!F10)</f>
        <v/>
      </c>
      <c r="B41" s="105" t="s">
        <v>51</v>
      </c>
      <c r="C41" s="105" t="str">
        <f>IF(A41="","",'Plate organization+'!$A$1)</f>
        <v/>
      </c>
      <c r="E41" s="65" t="str">
        <f>IF('Plate organization+'!F22="","",'Plate organization+'!F22)</f>
        <v/>
      </c>
      <c r="F41" s="65" t="s">
        <v>51</v>
      </c>
      <c r="G41" s="65" t="str">
        <f>IF(E41="","",'Plate organization+'!$A$13)</f>
        <v/>
      </c>
      <c r="I41" s="68" t="str">
        <f>IF('Plate organization+'!F34="","",'Plate organization+'!F34)</f>
        <v/>
      </c>
      <c r="J41" s="68" t="s">
        <v>51</v>
      </c>
      <c r="K41" s="68" t="str">
        <f>IF(I41="","",'Plate organization+'!$A$25)</f>
        <v/>
      </c>
    </row>
    <row r="42" spans="1:11" x14ac:dyDescent="0.25">
      <c r="A42" s="103" t="str">
        <f>IF('Plate organization+'!G3="","",'Plate organization+'!G3)</f>
        <v/>
      </c>
      <c r="B42" s="103" t="s">
        <v>52</v>
      </c>
      <c r="C42" s="103" t="str">
        <f>IF(A42="","",'Plate organization+'!$A$1)</f>
        <v/>
      </c>
      <c r="E42" s="63" t="str">
        <f>IF('Plate organization+'!G15="","",'Plate organization+'!G15)</f>
        <v/>
      </c>
      <c r="F42" s="63" t="s">
        <v>52</v>
      </c>
      <c r="G42" s="63" t="str">
        <f>IF(E42="","",'Plate organization+'!$A$13)</f>
        <v/>
      </c>
      <c r="I42" s="66" t="str">
        <f>IF('Plate organization+'!G27="","",'Plate organization+'!G27)</f>
        <v/>
      </c>
      <c r="J42" s="66" t="s">
        <v>52</v>
      </c>
      <c r="K42" s="66" t="str">
        <f>IF(I42="","",'Plate organization+'!$A$25)</f>
        <v/>
      </c>
    </row>
    <row r="43" spans="1:11" x14ac:dyDescent="0.25">
      <c r="A43" s="104" t="str">
        <f>IF('Plate organization+'!G4="","",'Plate organization+'!G4)</f>
        <v/>
      </c>
      <c r="B43" s="104" t="s">
        <v>53</v>
      </c>
      <c r="C43" s="104" t="str">
        <f>IF(A43="","",'Plate organization+'!$A$1)</f>
        <v/>
      </c>
      <c r="E43" s="64" t="str">
        <f>IF('Plate organization+'!G16="","",'Plate organization+'!G16)</f>
        <v/>
      </c>
      <c r="F43" s="64" t="s">
        <v>53</v>
      </c>
      <c r="G43" s="64" t="str">
        <f>IF(E43="","",'Plate organization+'!$A$13)</f>
        <v/>
      </c>
      <c r="I43" s="67" t="str">
        <f>IF('Plate organization+'!G28="","",'Plate organization+'!G28)</f>
        <v/>
      </c>
      <c r="J43" s="67" t="s">
        <v>53</v>
      </c>
      <c r="K43" s="67" t="str">
        <f>IF(I43="","",'Plate organization+'!$A$25)</f>
        <v/>
      </c>
    </row>
    <row r="44" spans="1:11" x14ac:dyDescent="0.25">
      <c r="A44" s="104" t="str">
        <f>IF('Plate organization+'!G5="","",'Plate organization+'!G5)</f>
        <v/>
      </c>
      <c r="B44" s="104" t="s">
        <v>54</v>
      </c>
      <c r="C44" s="104" t="str">
        <f>IF(A44="","",'Plate organization+'!$A$1)</f>
        <v/>
      </c>
      <c r="E44" s="64" t="str">
        <f>IF('Plate organization+'!G17="","",'Plate organization+'!G17)</f>
        <v/>
      </c>
      <c r="F44" s="64" t="s">
        <v>54</v>
      </c>
      <c r="G44" s="64" t="str">
        <f>IF(E44="","",'Plate organization+'!$A$13)</f>
        <v/>
      </c>
      <c r="I44" s="67" t="str">
        <f>IF('Plate organization+'!G29="","",'Plate organization+'!G29)</f>
        <v/>
      </c>
      <c r="J44" s="67" t="s">
        <v>54</v>
      </c>
      <c r="K44" s="67" t="str">
        <f>IF(I44="","",'Plate organization+'!$A$25)</f>
        <v/>
      </c>
    </row>
    <row r="45" spans="1:11" x14ac:dyDescent="0.25">
      <c r="A45" s="104" t="str">
        <f>IF('Plate organization+'!G6="","",'Plate organization+'!G6)</f>
        <v/>
      </c>
      <c r="B45" s="104" t="s">
        <v>55</v>
      </c>
      <c r="C45" s="104" t="str">
        <f>IF(A45="","",'Plate organization+'!$A$1)</f>
        <v/>
      </c>
      <c r="E45" s="64" t="str">
        <f>IF('Plate organization+'!G18="","",'Plate organization+'!G18)</f>
        <v/>
      </c>
      <c r="F45" s="64" t="s">
        <v>55</v>
      </c>
      <c r="G45" s="64" t="str">
        <f>IF(E45="","",'Plate organization+'!$A$13)</f>
        <v/>
      </c>
      <c r="I45" s="67" t="str">
        <f>IF('Plate organization+'!G30="","",'Plate organization+'!G30)</f>
        <v/>
      </c>
      <c r="J45" s="67" t="s">
        <v>55</v>
      </c>
      <c r="K45" s="67" t="str">
        <f>IF(I45="","",'Plate organization+'!$A$25)</f>
        <v/>
      </c>
    </row>
    <row r="46" spans="1:11" x14ac:dyDescent="0.25">
      <c r="A46" s="104" t="str">
        <f>IF('Plate organization+'!G7="","",'Plate organization+'!G7)</f>
        <v/>
      </c>
      <c r="B46" s="104" t="s">
        <v>56</v>
      </c>
      <c r="C46" s="104" t="str">
        <f>IF(A46="","",'Plate organization+'!$A$1)</f>
        <v/>
      </c>
      <c r="E46" s="64" t="str">
        <f>IF('Plate organization+'!G19="","",'Plate organization+'!G19)</f>
        <v/>
      </c>
      <c r="F46" s="64" t="s">
        <v>56</v>
      </c>
      <c r="G46" s="64" t="str">
        <f>IF(E46="","",'Plate organization+'!$A$13)</f>
        <v/>
      </c>
      <c r="I46" s="67" t="str">
        <f>IF('Plate organization+'!G31="","",'Plate organization+'!G31)</f>
        <v/>
      </c>
      <c r="J46" s="67" t="s">
        <v>56</v>
      </c>
      <c r="K46" s="67" t="str">
        <f>IF(I46="","",'Plate organization+'!$A$25)</f>
        <v/>
      </c>
    </row>
    <row r="47" spans="1:11" x14ac:dyDescent="0.25">
      <c r="A47" s="104" t="str">
        <f>IF('Plate organization+'!G8="","",'Plate organization+'!G8)</f>
        <v/>
      </c>
      <c r="B47" s="104" t="s">
        <v>57</v>
      </c>
      <c r="C47" s="104" t="str">
        <f>IF(A47="","",'Plate organization+'!$A$1)</f>
        <v/>
      </c>
      <c r="E47" s="64" t="str">
        <f>IF('Plate organization+'!G20="","",'Plate organization+'!G20)</f>
        <v/>
      </c>
      <c r="F47" s="64" t="s">
        <v>57</v>
      </c>
      <c r="G47" s="64" t="str">
        <f>IF(E47="","",'Plate organization+'!$A$13)</f>
        <v/>
      </c>
      <c r="I47" s="67" t="str">
        <f>IF('Plate organization+'!G32="","",'Plate organization+'!G32)</f>
        <v/>
      </c>
      <c r="J47" s="67" t="s">
        <v>57</v>
      </c>
      <c r="K47" s="67" t="str">
        <f>IF(I47="","",'Plate organization+'!$A$25)</f>
        <v/>
      </c>
    </row>
    <row r="48" spans="1:11" x14ac:dyDescent="0.25">
      <c r="A48" s="104" t="str">
        <f>IF('Plate organization+'!G9="","",'Plate organization+'!G9)</f>
        <v/>
      </c>
      <c r="B48" s="104" t="s">
        <v>58</v>
      </c>
      <c r="C48" s="104" t="str">
        <f>IF(A48="","",'Plate organization+'!$A$1)</f>
        <v/>
      </c>
      <c r="E48" s="64" t="str">
        <f>IF('Plate organization+'!G21="","",'Plate organization+'!G21)</f>
        <v/>
      </c>
      <c r="F48" s="64" t="s">
        <v>58</v>
      </c>
      <c r="G48" s="64" t="str">
        <f>IF(E48="","",'Plate organization+'!$A$13)</f>
        <v/>
      </c>
      <c r="I48" s="67" t="str">
        <f>IF('Plate organization+'!G33="","",'Plate organization+'!G33)</f>
        <v/>
      </c>
      <c r="J48" s="67" t="s">
        <v>58</v>
      </c>
      <c r="K48" s="67" t="str">
        <f>IF(I48="","",'Plate organization+'!$A$25)</f>
        <v/>
      </c>
    </row>
    <row r="49" spans="1:11" ht="15.75" thickBot="1" x14ac:dyDescent="0.3">
      <c r="A49" s="105" t="str">
        <f>IF('Plate organization+'!G10="","",'Plate organization+'!G10)</f>
        <v/>
      </c>
      <c r="B49" s="105" t="s">
        <v>59</v>
      </c>
      <c r="C49" s="105" t="str">
        <f>IF(A49="","",'Plate organization+'!$A$1)</f>
        <v/>
      </c>
      <c r="E49" s="65" t="str">
        <f>IF('Plate organization+'!G22="","",'Plate organization+'!G22)</f>
        <v/>
      </c>
      <c r="F49" s="65" t="s">
        <v>59</v>
      </c>
      <c r="G49" s="65" t="str">
        <f>IF(E49="","",'Plate organization+'!$A$13)</f>
        <v/>
      </c>
      <c r="I49" s="68" t="str">
        <f>IF('Plate organization+'!G34="","",'Plate organization+'!G34)</f>
        <v/>
      </c>
      <c r="J49" s="68" t="s">
        <v>59</v>
      </c>
      <c r="K49" s="68" t="str">
        <f>IF(I49="","",'Plate organization+'!$A$25)</f>
        <v/>
      </c>
    </row>
    <row r="50" spans="1:11" x14ac:dyDescent="0.25">
      <c r="A50" s="103" t="str">
        <f>IF('Plate organization+'!H3="","",'Plate organization+'!H3)</f>
        <v/>
      </c>
      <c r="B50" s="103" t="s">
        <v>60</v>
      </c>
      <c r="C50" s="103" t="str">
        <f>IF(A50="","",'Plate organization+'!$A$1)</f>
        <v/>
      </c>
      <c r="E50" s="63" t="str">
        <f>IF('Plate organization+'!H15="","",'Plate organization+'!H15)</f>
        <v/>
      </c>
      <c r="F50" s="63" t="s">
        <v>60</v>
      </c>
      <c r="G50" s="63" t="str">
        <f>IF(E50="","",'Plate organization+'!$A$13)</f>
        <v/>
      </c>
      <c r="I50" s="66" t="str">
        <f>IF('Plate organization+'!H27="","",'Plate organization+'!H27)</f>
        <v/>
      </c>
      <c r="J50" s="66" t="s">
        <v>60</v>
      </c>
      <c r="K50" s="66" t="str">
        <f>IF(I50="","",'Plate organization+'!$A$25)</f>
        <v/>
      </c>
    </row>
    <row r="51" spans="1:11" x14ac:dyDescent="0.25">
      <c r="A51" s="104" t="str">
        <f>IF('Plate organization+'!H4="","",'Plate organization+'!H4)</f>
        <v/>
      </c>
      <c r="B51" s="104" t="s">
        <v>61</v>
      </c>
      <c r="C51" s="104" t="str">
        <f>IF(A51="","",'Plate organization+'!$A$1)</f>
        <v/>
      </c>
      <c r="E51" s="64" t="str">
        <f>IF('Plate organization+'!H16="","",'Plate organization+'!H16)</f>
        <v/>
      </c>
      <c r="F51" s="64" t="s">
        <v>61</v>
      </c>
      <c r="G51" s="64" t="str">
        <f>IF(E51="","",'Plate organization+'!$A$13)</f>
        <v/>
      </c>
      <c r="I51" s="67" t="str">
        <f>IF('Plate organization+'!H28="","",'Plate organization+'!H28)</f>
        <v/>
      </c>
      <c r="J51" s="67" t="s">
        <v>61</v>
      </c>
      <c r="K51" s="67" t="str">
        <f>IF(I51="","",'Plate organization+'!$A$25)</f>
        <v/>
      </c>
    </row>
    <row r="52" spans="1:11" x14ac:dyDescent="0.25">
      <c r="A52" s="104" t="str">
        <f>IF('Plate organization+'!H5="","",'Plate organization+'!H5)</f>
        <v/>
      </c>
      <c r="B52" s="104" t="s">
        <v>62</v>
      </c>
      <c r="C52" s="104" t="str">
        <f>IF(A52="","",'Plate organization+'!$A$1)</f>
        <v/>
      </c>
      <c r="E52" s="64" t="str">
        <f>IF('Plate organization+'!H17="","",'Plate organization+'!H17)</f>
        <v/>
      </c>
      <c r="F52" s="64" t="s">
        <v>62</v>
      </c>
      <c r="G52" s="64" t="str">
        <f>IF(E52="","",'Plate organization+'!$A$13)</f>
        <v/>
      </c>
      <c r="I52" s="67" t="str">
        <f>IF('Plate organization+'!H29="","",'Plate organization+'!H29)</f>
        <v/>
      </c>
      <c r="J52" s="67" t="s">
        <v>62</v>
      </c>
      <c r="K52" s="67" t="str">
        <f>IF(I52="","",'Plate organization+'!$A$25)</f>
        <v/>
      </c>
    </row>
    <row r="53" spans="1:11" x14ac:dyDescent="0.25">
      <c r="A53" s="104" t="str">
        <f>IF('Plate organization+'!H6="","",'Plate organization+'!H6)</f>
        <v/>
      </c>
      <c r="B53" s="104" t="s">
        <v>63</v>
      </c>
      <c r="C53" s="104" t="str">
        <f>IF(A53="","",'Plate organization+'!$A$1)</f>
        <v/>
      </c>
      <c r="E53" s="64" t="str">
        <f>IF('Plate organization+'!H18="","",'Plate organization+'!H18)</f>
        <v/>
      </c>
      <c r="F53" s="64" t="s">
        <v>63</v>
      </c>
      <c r="G53" s="64" t="str">
        <f>IF(E53="","",'Plate organization+'!$A$13)</f>
        <v/>
      </c>
      <c r="I53" s="67" t="str">
        <f>IF('Plate organization+'!H30="","",'Plate organization+'!H30)</f>
        <v/>
      </c>
      <c r="J53" s="67" t="s">
        <v>63</v>
      </c>
      <c r="K53" s="67" t="str">
        <f>IF(I53="","",'Plate organization+'!$A$25)</f>
        <v/>
      </c>
    </row>
    <row r="54" spans="1:11" x14ac:dyDescent="0.25">
      <c r="A54" s="104" t="str">
        <f>IF('Plate organization+'!H7="","",'Plate organization+'!H7)</f>
        <v/>
      </c>
      <c r="B54" s="104" t="s">
        <v>64</v>
      </c>
      <c r="C54" s="104" t="str">
        <f>IF(A54="","",'Plate organization+'!$A$1)</f>
        <v/>
      </c>
      <c r="E54" s="64" t="str">
        <f>IF('Plate organization+'!H19="","",'Plate organization+'!H19)</f>
        <v/>
      </c>
      <c r="F54" s="64" t="s">
        <v>64</v>
      </c>
      <c r="G54" s="64" t="str">
        <f>IF(E54="","",'Plate organization+'!$A$13)</f>
        <v/>
      </c>
      <c r="I54" s="67" t="str">
        <f>IF('Plate organization+'!H31="","",'Plate organization+'!H31)</f>
        <v/>
      </c>
      <c r="J54" s="67" t="s">
        <v>64</v>
      </c>
      <c r="K54" s="67" t="str">
        <f>IF(I54="","",'Plate organization+'!$A$25)</f>
        <v/>
      </c>
    </row>
    <row r="55" spans="1:11" x14ac:dyDescent="0.25">
      <c r="A55" s="104" t="str">
        <f>IF('Plate organization+'!H8="","",'Plate organization+'!H8)</f>
        <v/>
      </c>
      <c r="B55" s="104" t="s">
        <v>65</v>
      </c>
      <c r="C55" s="104" t="str">
        <f>IF(A55="","",'Plate organization+'!$A$1)</f>
        <v/>
      </c>
      <c r="E55" s="64" t="str">
        <f>IF('Plate organization+'!H20="","",'Plate organization+'!H20)</f>
        <v/>
      </c>
      <c r="F55" s="64" t="s">
        <v>65</v>
      </c>
      <c r="G55" s="64" t="str">
        <f>IF(E55="","",'Plate organization+'!$A$13)</f>
        <v/>
      </c>
      <c r="I55" s="67" t="str">
        <f>IF('Plate organization+'!H32="","",'Plate organization+'!H32)</f>
        <v/>
      </c>
      <c r="J55" s="67" t="s">
        <v>65</v>
      </c>
      <c r="K55" s="67" t="str">
        <f>IF(I55="","",'Plate organization+'!$A$25)</f>
        <v/>
      </c>
    </row>
    <row r="56" spans="1:11" x14ac:dyDescent="0.25">
      <c r="A56" s="104" t="str">
        <f>IF('Plate organization+'!H9="","",'Plate organization+'!H9)</f>
        <v/>
      </c>
      <c r="B56" s="104" t="s">
        <v>66</v>
      </c>
      <c r="C56" s="104" t="str">
        <f>IF(A56="","",'Plate organization+'!$A$1)</f>
        <v/>
      </c>
      <c r="E56" s="64" t="str">
        <f>IF('Plate organization+'!H21="","",'Plate organization+'!H21)</f>
        <v/>
      </c>
      <c r="F56" s="64" t="s">
        <v>66</v>
      </c>
      <c r="G56" s="64" t="str">
        <f>IF(E56="","",'Plate organization+'!$A$13)</f>
        <v/>
      </c>
      <c r="I56" s="67" t="str">
        <f>IF('Plate organization+'!H33="","",'Plate organization+'!H33)</f>
        <v/>
      </c>
      <c r="J56" s="67" t="s">
        <v>66</v>
      </c>
      <c r="K56" s="67" t="str">
        <f>IF(I56="","",'Plate organization+'!$A$25)</f>
        <v/>
      </c>
    </row>
    <row r="57" spans="1:11" ht="15.75" thickBot="1" x14ac:dyDescent="0.3">
      <c r="A57" s="105" t="str">
        <f>IF('Plate organization+'!H10="","",'Plate organization+'!H10)</f>
        <v/>
      </c>
      <c r="B57" s="105" t="s">
        <v>67</v>
      </c>
      <c r="C57" s="105" t="str">
        <f>IF(A57="","",'Plate organization+'!$A$1)</f>
        <v/>
      </c>
      <c r="E57" s="65" t="str">
        <f>IF('Plate organization+'!H22="","",'Plate organization+'!H22)</f>
        <v/>
      </c>
      <c r="F57" s="65" t="s">
        <v>67</v>
      </c>
      <c r="G57" s="65" t="str">
        <f>IF(E57="","",'Plate organization+'!$A$13)</f>
        <v/>
      </c>
      <c r="I57" s="68" t="str">
        <f>IF('Plate organization+'!H34="","",'Plate organization+'!H34)</f>
        <v/>
      </c>
      <c r="J57" s="68" t="s">
        <v>67</v>
      </c>
      <c r="K57" s="68" t="str">
        <f>IF(I57="","",'Plate organization+'!$A$25)</f>
        <v/>
      </c>
    </row>
    <row r="58" spans="1:11" x14ac:dyDescent="0.25">
      <c r="A58" s="103" t="str">
        <f>IF('Plate organization+'!I3="","",'Plate organization+'!I3)</f>
        <v/>
      </c>
      <c r="B58" s="103" t="s">
        <v>71</v>
      </c>
      <c r="C58" s="103" t="str">
        <f>IF(A58="","",'Plate organization+'!$A$1)</f>
        <v/>
      </c>
      <c r="E58" s="63" t="str">
        <f>IF('Plate organization+'!I15="","",'Plate organization+'!I15)</f>
        <v/>
      </c>
      <c r="F58" s="63" t="s">
        <v>71</v>
      </c>
      <c r="G58" s="63" t="str">
        <f>IF(E58="","",'Plate organization+'!$A$13)</f>
        <v/>
      </c>
      <c r="I58" s="66" t="str">
        <f>IF('Plate organization+'!I27="","",'Plate organization+'!I27)</f>
        <v/>
      </c>
      <c r="J58" s="66" t="s">
        <v>71</v>
      </c>
      <c r="K58" s="66" t="str">
        <f>IF(I58="","",'Plate organization+'!$A$25)</f>
        <v/>
      </c>
    </row>
    <row r="59" spans="1:11" x14ac:dyDescent="0.25">
      <c r="A59" s="104" t="str">
        <f>IF('Plate organization+'!I4="","",'Plate organization+'!I4)</f>
        <v/>
      </c>
      <c r="B59" s="104" t="s">
        <v>72</v>
      </c>
      <c r="C59" s="104" t="str">
        <f>IF(A59="","",'Plate organization+'!$A$1)</f>
        <v/>
      </c>
      <c r="E59" s="64" t="str">
        <f>IF('Plate organization+'!I16="","",'Plate organization+'!I16)</f>
        <v/>
      </c>
      <c r="F59" s="64" t="s">
        <v>72</v>
      </c>
      <c r="G59" s="64" t="str">
        <f>IF(E59="","",'Plate organization+'!$A$13)</f>
        <v/>
      </c>
      <c r="I59" s="67" t="str">
        <f>IF('Plate organization+'!I28="","",'Plate organization+'!I28)</f>
        <v/>
      </c>
      <c r="J59" s="67" t="s">
        <v>72</v>
      </c>
      <c r="K59" s="67" t="str">
        <f>IF(I59="","",'Plate organization+'!$A$25)</f>
        <v/>
      </c>
    </row>
    <row r="60" spans="1:11" x14ac:dyDescent="0.25">
      <c r="A60" s="104" t="str">
        <f>IF('Plate organization+'!I5="","",'Plate organization+'!I5)</f>
        <v/>
      </c>
      <c r="B60" s="104" t="s">
        <v>73</v>
      </c>
      <c r="C60" s="104" t="str">
        <f>IF(A60="","",'Plate organization+'!$A$1)</f>
        <v/>
      </c>
      <c r="E60" s="64" t="str">
        <f>IF('Plate organization+'!I17="","",'Plate organization+'!I17)</f>
        <v/>
      </c>
      <c r="F60" s="64" t="s">
        <v>73</v>
      </c>
      <c r="G60" s="64" t="str">
        <f>IF(E60="","",'Plate organization+'!$A$13)</f>
        <v/>
      </c>
      <c r="I60" s="67" t="str">
        <f>IF('Plate organization+'!I29="","",'Plate organization+'!I29)</f>
        <v/>
      </c>
      <c r="J60" s="67" t="s">
        <v>73</v>
      </c>
      <c r="K60" s="67" t="str">
        <f>IF(I60="","",'Plate organization+'!$A$25)</f>
        <v/>
      </c>
    </row>
    <row r="61" spans="1:11" x14ac:dyDescent="0.25">
      <c r="A61" s="104" t="str">
        <f>IF('Plate organization+'!I6="","",'Plate organization+'!I6)</f>
        <v/>
      </c>
      <c r="B61" s="104" t="s">
        <v>74</v>
      </c>
      <c r="C61" s="104" t="str">
        <f>IF(A61="","",'Plate organization+'!$A$1)</f>
        <v/>
      </c>
      <c r="E61" s="64" t="str">
        <f>IF('Plate organization+'!I18="","",'Plate organization+'!I18)</f>
        <v/>
      </c>
      <c r="F61" s="64" t="s">
        <v>74</v>
      </c>
      <c r="G61" s="64" t="str">
        <f>IF(E61="","",'Plate organization+'!$A$13)</f>
        <v/>
      </c>
      <c r="I61" s="67" t="str">
        <f>IF('Plate organization+'!I30="","",'Plate organization+'!I30)</f>
        <v/>
      </c>
      <c r="J61" s="67" t="s">
        <v>74</v>
      </c>
      <c r="K61" s="67" t="str">
        <f>IF(I61="","",'Plate organization+'!$A$25)</f>
        <v/>
      </c>
    </row>
    <row r="62" spans="1:11" x14ac:dyDescent="0.25">
      <c r="A62" s="104" t="str">
        <f>IF('Plate organization+'!I7="","",'Plate organization+'!I7)</f>
        <v/>
      </c>
      <c r="B62" s="104" t="s">
        <v>75</v>
      </c>
      <c r="C62" s="104" t="str">
        <f>IF(A62="","",'Plate organization+'!$A$1)</f>
        <v/>
      </c>
      <c r="E62" s="64" t="str">
        <f>IF('Plate organization+'!I19="","",'Plate organization+'!I19)</f>
        <v/>
      </c>
      <c r="F62" s="64" t="s">
        <v>75</v>
      </c>
      <c r="G62" s="64" t="str">
        <f>IF(E62="","",'Plate organization+'!$A$13)</f>
        <v/>
      </c>
      <c r="I62" s="67" t="str">
        <f>IF('Plate organization+'!I31="","",'Plate organization+'!I31)</f>
        <v/>
      </c>
      <c r="J62" s="67" t="s">
        <v>75</v>
      </c>
      <c r="K62" s="67" t="str">
        <f>IF(I62="","",'Plate organization+'!$A$25)</f>
        <v/>
      </c>
    </row>
    <row r="63" spans="1:11" x14ac:dyDescent="0.25">
      <c r="A63" s="104" t="str">
        <f>IF('Plate organization+'!I8="","",'Plate organization+'!I8)</f>
        <v/>
      </c>
      <c r="B63" s="104" t="s">
        <v>76</v>
      </c>
      <c r="C63" s="104" t="str">
        <f>IF(A63="","",'Plate organization+'!$A$1)</f>
        <v/>
      </c>
      <c r="E63" s="64" t="str">
        <f>IF('Plate organization+'!I20="","",'Plate organization+'!I20)</f>
        <v/>
      </c>
      <c r="F63" s="64" t="s">
        <v>76</v>
      </c>
      <c r="G63" s="64" t="str">
        <f>IF(E63="","",'Plate organization+'!$A$13)</f>
        <v/>
      </c>
      <c r="I63" s="67" t="str">
        <f>IF('Plate organization+'!I32="","",'Plate organization+'!I32)</f>
        <v/>
      </c>
      <c r="J63" s="67" t="s">
        <v>76</v>
      </c>
      <c r="K63" s="67" t="str">
        <f>IF(I63="","",'Plate organization+'!$A$25)</f>
        <v/>
      </c>
    </row>
    <row r="64" spans="1:11" x14ac:dyDescent="0.25">
      <c r="A64" s="104" t="str">
        <f>IF('Plate organization+'!I9="","",'Plate organization+'!I9)</f>
        <v/>
      </c>
      <c r="B64" s="104" t="s">
        <v>77</v>
      </c>
      <c r="C64" s="104" t="str">
        <f>IF(A64="","",'Plate organization+'!$A$1)</f>
        <v/>
      </c>
      <c r="E64" s="64" t="str">
        <f>IF('Plate organization+'!I21="","",'Plate organization+'!I21)</f>
        <v/>
      </c>
      <c r="F64" s="64" t="s">
        <v>77</v>
      </c>
      <c r="G64" s="64" t="str">
        <f>IF(E64="","",'Plate organization+'!$A$13)</f>
        <v/>
      </c>
      <c r="I64" s="67" t="str">
        <f>IF('Plate organization+'!I33="","",'Plate organization+'!I33)</f>
        <v/>
      </c>
      <c r="J64" s="67" t="s">
        <v>77</v>
      </c>
      <c r="K64" s="67" t="str">
        <f>IF(I64="","",'Plate organization+'!$A$25)</f>
        <v/>
      </c>
    </row>
    <row r="65" spans="1:11" ht="15.75" thickBot="1" x14ac:dyDescent="0.3">
      <c r="A65" s="105" t="str">
        <f>IF('Plate organization+'!I10="","",'Plate organization+'!I10)</f>
        <v/>
      </c>
      <c r="B65" s="105" t="s">
        <v>78</v>
      </c>
      <c r="C65" s="105" t="str">
        <f>IF(A65="","",'Plate organization+'!$A$1)</f>
        <v/>
      </c>
      <c r="E65" s="65" t="str">
        <f>IF('Plate organization+'!I22="","",'Plate organization+'!I22)</f>
        <v/>
      </c>
      <c r="F65" s="65" t="s">
        <v>78</v>
      </c>
      <c r="G65" s="65" t="str">
        <f>IF(E65="","",'Plate organization+'!$A$13)</f>
        <v/>
      </c>
      <c r="I65" s="68" t="str">
        <f>IF('Plate organization+'!I34="","",'Plate organization+'!I34)</f>
        <v/>
      </c>
      <c r="J65" s="68" t="s">
        <v>78</v>
      </c>
      <c r="K65" s="68" t="str">
        <f>IF(I65="","",'Plate organization+'!$A$25)</f>
        <v/>
      </c>
    </row>
    <row r="66" spans="1:11" x14ac:dyDescent="0.25">
      <c r="A66" s="103" t="str">
        <f>IF('Plate organization+'!J3="","",'Plate organization+'!J3)</f>
        <v/>
      </c>
      <c r="B66" s="103" t="s">
        <v>79</v>
      </c>
      <c r="C66" s="103" t="str">
        <f>IF(A66="","",'Plate organization+'!$A$1)</f>
        <v/>
      </c>
      <c r="E66" s="63" t="str">
        <f>IF('Plate organization+'!J15="","",'Plate organization+'!J15)</f>
        <v/>
      </c>
      <c r="F66" s="63" t="s">
        <v>79</v>
      </c>
      <c r="G66" s="63" t="str">
        <f>IF(E66="","",'Plate organization+'!$A$13)</f>
        <v/>
      </c>
      <c r="I66" s="66" t="str">
        <f>IF('Plate organization+'!J27="","",'Plate organization+'!J27)</f>
        <v/>
      </c>
      <c r="J66" s="66" t="s">
        <v>79</v>
      </c>
      <c r="K66" s="66" t="str">
        <f>IF(I66="","",'Plate organization+'!$A$25)</f>
        <v/>
      </c>
    </row>
    <row r="67" spans="1:11" x14ac:dyDescent="0.25">
      <c r="A67" s="104" t="str">
        <f>IF('Plate organization+'!J4="","",'Plate organization+'!J4)</f>
        <v/>
      </c>
      <c r="B67" s="104" t="s">
        <v>80</v>
      </c>
      <c r="C67" s="104" t="str">
        <f>IF(A67="","",'Plate organization+'!$A$1)</f>
        <v/>
      </c>
      <c r="E67" s="64" t="str">
        <f>IF('Plate organization+'!J16="","",'Plate organization+'!J16)</f>
        <v/>
      </c>
      <c r="F67" s="64" t="s">
        <v>80</v>
      </c>
      <c r="G67" s="64" t="str">
        <f>IF(E67="","",'Plate organization+'!$A$13)</f>
        <v/>
      </c>
      <c r="I67" s="67" t="str">
        <f>IF('Plate organization+'!J28="","",'Plate organization+'!J28)</f>
        <v/>
      </c>
      <c r="J67" s="67" t="s">
        <v>80</v>
      </c>
      <c r="K67" s="67" t="str">
        <f>IF(I67="","",'Plate organization+'!$A$25)</f>
        <v/>
      </c>
    </row>
    <row r="68" spans="1:11" x14ac:dyDescent="0.25">
      <c r="A68" s="104" t="str">
        <f>IF('Plate organization+'!J5="","",'Plate organization+'!J5)</f>
        <v/>
      </c>
      <c r="B68" s="104" t="s">
        <v>81</v>
      </c>
      <c r="C68" s="104" t="str">
        <f>IF(A68="","",'Plate organization+'!$A$1)</f>
        <v/>
      </c>
      <c r="E68" s="64" t="str">
        <f>IF('Plate organization+'!J17="","",'Plate organization+'!J17)</f>
        <v/>
      </c>
      <c r="F68" s="64" t="s">
        <v>81</v>
      </c>
      <c r="G68" s="64" t="str">
        <f>IF(E68="","",'Plate organization+'!$A$13)</f>
        <v/>
      </c>
      <c r="I68" s="67" t="str">
        <f>IF('Plate organization+'!J29="","",'Plate organization+'!J29)</f>
        <v/>
      </c>
      <c r="J68" s="67" t="s">
        <v>81</v>
      </c>
      <c r="K68" s="67" t="str">
        <f>IF(I68="","",'Plate organization+'!$A$25)</f>
        <v/>
      </c>
    </row>
    <row r="69" spans="1:11" x14ac:dyDescent="0.25">
      <c r="A69" s="104" t="str">
        <f>IF('Plate organization+'!J6="","",'Plate organization+'!J6)</f>
        <v/>
      </c>
      <c r="B69" s="104" t="s">
        <v>82</v>
      </c>
      <c r="C69" s="104" t="str">
        <f>IF(A69="","",'Plate organization+'!$A$1)</f>
        <v/>
      </c>
      <c r="E69" s="64" t="str">
        <f>IF('Plate organization+'!J18="","",'Plate organization+'!J18)</f>
        <v/>
      </c>
      <c r="F69" s="64" t="s">
        <v>82</v>
      </c>
      <c r="G69" s="64" t="str">
        <f>IF(E69="","",'Plate organization+'!$A$13)</f>
        <v/>
      </c>
      <c r="I69" s="67" t="str">
        <f>IF('Plate organization+'!J30="","",'Plate organization+'!J30)</f>
        <v/>
      </c>
      <c r="J69" s="67" t="s">
        <v>82</v>
      </c>
      <c r="K69" s="67" t="str">
        <f>IF(I69="","",'Plate organization+'!$A$25)</f>
        <v/>
      </c>
    </row>
    <row r="70" spans="1:11" x14ac:dyDescent="0.25">
      <c r="A70" s="104" t="str">
        <f>IF('Plate organization+'!J7="","",'Plate organization+'!J7)</f>
        <v/>
      </c>
      <c r="B70" s="104" t="s">
        <v>83</v>
      </c>
      <c r="C70" s="104" t="str">
        <f>IF(A70="","",'Plate organization+'!$A$1)</f>
        <v/>
      </c>
      <c r="E70" s="64" t="str">
        <f>IF('Plate organization+'!J19="","",'Plate organization+'!J19)</f>
        <v/>
      </c>
      <c r="F70" s="64" t="s">
        <v>83</v>
      </c>
      <c r="G70" s="64" t="str">
        <f>IF(E70="","",'Plate organization+'!$A$13)</f>
        <v/>
      </c>
      <c r="I70" s="67" t="str">
        <f>IF('Plate organization+'!J31="","",'Plate organization+'!J31)</f>
        <v/>
      </c>
      <c r="J70" s="67" t="s">
        <v>83</v>
      </c>
      <c r="K70" s="67" t="str">
        <f>IF(I70="","",'Plate organization+'!$A$25)</f>
        <v/>
      </c>
    </row>
    <row r="71" spans="1:11" x14ac:dyDescent="0.25">
      <c r="A71" s="104" t="str">
        <f>IF('Plate organization+'!J8="","",'Plate organization+'!J8)</f>
        <v/>
      </c>
      <c r="B71" s="104" t="s">
        <v>84</v>
      </c>
      <c r="C71" s="104" t="str">
        <f>IF(A71="","",'Plate organization+'!$A$1)</f>
        <v/>
      </c>
      <c r="E71" s="64" t="str">
        <f>IF('Plate organization+'!J20="","",'Plate organization+'!J20)</f>
        <v/>
      </c>
      <c r="F71" s="64" t="s">
        <v>84</v>
      </c>
      <c r="G71" s="64" t="str">
        <f>IF(E71="","",'Plate organization+'!$A$13)</f>
        <v/>
      </c>
      <c r="I71" s="67" t="str">
        <f>IF('Plate organization+'!J32="","",'Plate organization+'!J32)</f>
        <v/>
      </c>
      <c r="J71" s="67" t="s">
        <v>84</v>
      </c>
      <c r="K71" s="67" t="str">
        <f>IF(I71="","",'Plate organization+'!$A$25)</f>
        <v/>
      </c>
    </row>
    <row r="72" spans="1:11" x14ac:dyDescent="0.25">
      <c r="A72" s="104" t="str">
        <f>IF('Plate organization+'!J9="","",'Plate organization+'!J9)</f>
        <v/>
      </c>
      <c r="B72" s="104" t="s">
        <v>85</v>
      </c>
      <c r="C72" s="104" t="str">
        <f>IF(A72="","",'Plate organization+'!$A$1)</f>
        <v/>
      </c>
      <c r="E72" s="64" t="str">
        <f>IF('Plate organization+'!J21="","",'Plate organization+'!J21)</f>
        <v/>
      </c>
      <c r="F72" s="64" t="s">
        <v>85</v>
      </c>
      <c r="G72" s="64" t="str">
        <f>IF(E72="","",'Plate organization+'!$A$13)</f>
        <v/>
      </c>
      <c r="I72" s="67" t="str">
        <f>IF('Plate organization+'!J33="","",'Plate organization+'!J33)</f>
        <v/>
      </c>
      <c r="J72" s="67" t="s">
        <v>85</v>
      </c>
      <c r="K72" s="67" t="str">
        <f>IF(I72="","",'Plate organization+'!$A$25)</f>
        <v/>
      </c>
    </row>
    <row r="73" spans="1:11" ht="15.75" thickBot="1" x14ac:dyDescent="0.3">
      <c r="A73" s="105" t="str">
        <f>IF('Plate organization+'!J10="","",'Plate organization+'!J10)</f>
        <v/>
      </c>
      <c r="B73" s="105" t="s">
        <v>86</v>
      </c>
      <c r="C73" s="105" t="str">
        <f>IF(A73="","",'Plate organization+'!$A$1)</f>
        <v/>
      </c>
      <c r="E73" s="65" t="str">
        <f>IF('Plate organization+'!J22="","",'Plate organization+'!J22)</f>
        <v/>
      </c>
      <c r="F73" s="65" t="s">
        <v>86</v>
      </c>
      <c r="G73" s="65" t="str">
        <f>IF(E73="","",'Plate organization+'!$A$13)</f>
        <v/>
      </c>
      <c r="I73" s="68" t="str">
        <f>IF('Plate organization+'!J34="","",'Plate organization+'!J34)</f>
        <v/>
      </c>
      <c r="J73" s="68" t="s">
        <v>86</v>
      </c>
      <c r="K73" s="68" t="str">
        <f>IF(I73="","",'Plate organization+'!$A$25)</f>
        <v/>
      </c>
    </row>
    <row r="74" spans="1:11" x14ac:dyDescent="0.25">
      <c r="A74" s="103" t="str">
        <f>IF('Plate organization+'!K3="","",'Plate organization+'!K3)</f>
        <v/>
      </c>
      <c r="B74" s="103" t="s">
        <v>87</v>
      </c>
      <c r="C74" s="103" t="str">
        <f>IF(A74="","",'Plate organization+'!$A$1)</f>
        <v/>
      </c>
      <c r="E74" s="63" t="str">
        <f>IF('Plate organization+'!K15="","",'Plate organization+'!K15)</f>
        <v/>
      </c>
      <c r="F74" s="63" t="s">
        <v>87</v>
      </c>
      <c r="G74" s="63" t="str">
        <f>IF(E74="","",'Plate organization+'!$A$13)</f>
        <v/>
      </c>
      <c r="I74" s="66" t="str">
        <f>IF('Plate organization+'!K27="","",'Plate organization+'!K27)</f>
        <v/>
      </c>
      <c r="J74" s="66" t="s">
        <v>87</v>
      </c>
      <c r="K74" s="66" t="str">
        <f>IF(I74="","",'Plate organization+'!$A$25)</f>
        <v/>
      </c>
    </row>
    <row r="75" spans="1:11" x14ac:dyDescent="0.25">
      <c r="A75" s="104" t="str">
        <f>IF('Plate organization+'!K4="","",'Plate organization+'!K4)</f>
        <v/>
      </c>
      <c r="B75" s="104" t="s">
        <v>88</v>
      </c>
      <c r="C75" s="104" t="str">
        <f>IF(A75="","",'Plate organization+'!$A$1)</f>
        <v/>
      </c>
      <c r="E75" s="64" t="str">
        <f>IF('Plate organization+'!K16="","",'Plate organization+'!K16)</f>
        <v/>
      </c>
      <c r="F75" s="64" t="s">
        <v>88</v>
      </c>
      <c r="G75" s="64" t="str">
        <f>IF(E75="","",'Plate organization+'!$A$13)</f>
        <v/>
      </c>
      <c r="I75" s="67" t="str">
        <f>IF('Plate organization+'!K28="","",'Plate organization+'!K28)</f>
        <v/>
      </c>
      <c r="J75" s="67" t="s">
        <v>88</v>
      </c>
      <c r="K75" s="67" t="str">
        <f>IF(I75="","",'Plate organization+'!$A$25)</f>
        <v/>
      </c>
    </row>
    <row r="76" spans="1:11" x14ac:dyDescent="0.25">
      <c r="A76" s="104" t="str">
        <f>IF('Plate organization+'!K5="","",'Plate organization+'!K5)</f>
        <v/>
      </c>
      <c r="B76" s="104" t="s">
        <v>89</v>
      </c>
      <c r="C76" s="104" t="str">
        <f>IF(A76="","",'Plate organization+'!$A$1)</f>
        <v/>
      </c>
      <c r="E76" s="64" t="str">
        <f>IF('Plate organization+'!K17="","",'Plate organization+'!K17)</f>
        <v/>
      </c>
      <c r="F76" s="64" t="s">
        <v>89</v>
      </c>
      <c r="G76" s="64" t="str">
        <f>IF(E76="","",'Plate organization+'!$A$13)</f>
        <v/>
      </c>
      <c r="I76" s="67" t="str">
        <f>IF('Plate organization+'!K29="","",'Plate organization+'!K29)</f>
        <v/>
      </c>
      <c r="J76" s="67" t="s">
        <v>89</v>
      </c>
      <c r="K76" s="67" t="str">
        <f>IF(I76="","",'Plate organization+'!$A$25)</f>
        <v/>
      </c>
    </row>
    <row r="77" spans="1:11" x14ac:dyDescent="0.25">
      <c r="A77" s="104" t="str">
        <f>IF('Plate organization+'!K6="","",'Plate organization+'!K6)</f>
        <v/>
      </c>
      <c r="B77" s="104" t="s">
        <v>90</v>
      </c>
      <c r="C77" s="104" t="str">
        <f>IF(A77="","",'Plate organization+'!$A$1)</f>
        <v/>
      </c>
      <c r="E77" s="64" t="str">
        <f>IF('Plate organization+'!K18="","",'Plate organization+'!K18)</f>
        <v/>
      </c>
      <c r="F77" s="64" t="s">
        <v>90</v>
      </c>
      <c r="G77" s="64" t="str">
        <f>IF(E77="","",'Plate organization+'!$A$13)</f>
        <v/>
      </c>
      <c r="I77" s="67" t="str">
        <f>IF('Plate organization+'!K30="","",'Plate organization+'!K30)</f>
        <v/>
      </c>
      <c r="J77" s="67" t="s">
        <v>90</v>
      </c>
      <c r="K77" s="67" t="str">
        <f>IF(I77="","",'Plate organization+'!$A$25)</f>
        <v/>
      </c>
    </row>
    <row r="78" spans="1:11" x14ac:dyDescent="0.25">
      <c r="A78" s="104" t="str">
        <f>IF('Plate organization+'!K7="","",'Plate organization+'!K7)</f>
        <v/>
      </c>
      <c r="B78" s="104" t="s">
        <v>91</v>
      </c>
      <c r="C78" s="104" t="str">
        <f>IF(A78="","",'Plate organization+'!$A$1)</f>
        <v/>
      </c>
      <c r="E78" s="64" t="str">
        <f>IF('Plate organization+'!K19="","",'Plate organization+'!K19)</f>
        <v/>
      </c>
      <c r="F78" s="64" t="s">
        <v>91</v>
      </c>
      <c r="G78" s="64" t="str">
        <f>IF(E78="","",'Plate organization+'!$A$13)</f>
        <v/>
      </c>
      <c r="I78" s="67" t="str">
        <f>IF('Plate organization+'!K31="","",'Plate organization+'!K31)</f>
        <v/>
      </c>
      <c r="J78" s="67" t="s">
        <v>91</v>
      </c>
      <c r="K78" s="67" t="str">
        <f>IF(I78="","",'Plate organization+'!$A$25)</f>
        <v/>
      </c>
    </row>
    <row r="79" spans="1:11" x14ac:dyDescent="0.25">
      <c r="A79" s="104" t="str">
        <f>IF('Plate organization+'!K8="","",'Plate organization+'!K8)</f>
        <v/>
      </c>
      <c r="B79" s="104" t="s">
        <v>92</v>
      </c>
      <c r="C79" s="104" t="str">
        <f>IF(A79="","",'Plate organization+'!$A$1)</f>
        <v/>
      </c>
      <c r="E79" s="64" t="str">
        <f>IF('Plate organization+'!K20="","",'Plate organization+'!K20)</f>
        <v/>
      </c>
      <c r="F79" s="64" t="s">
        <v>92</v>
      </c>
      <c r="G79" s="64" t="str">
        <f>IF(E79="","",'Plate organization+'!$A$13)</f>
        <v/>
      </c>
      <c r="I79" s="67" t="str">
        <f>IF('Plate organization+'!K32="","",'Plate organization+'!K32)</f>
        <v/>
      </c>
      <c r="J79" s="67" t="s">
        <v>92</v>
      </c>
      <c r="K79" s="67" t="str">
        <f>IF(I79="","",'Plate organization+'!$A$25)</f>
        <v/>
      </c>
    </row>
    <row r="80" spans="1:11" x14ac:dyDescent="0.25">
      <c r="A80" s="104" t="str">
        <f>IF('Plate organization+'!K9="","",'Plate organization+'!K9)</f>
        <v/>
      </c>
      <c r="B80" s="104" t="s">
        <v>93</v>
      </c>
      <c r="C80" s="104" t="str">
        <f>IF(A80="","",'Plate organization+'!$A$1)</f>
        <v/>
      </c>
      <c r="E80" s="64" t="str">
        <f>IF('Plate organization+'!K21="","",'Plate organization+'!K21)</f>
        <v/>
      </c>
      <c r="F80" s="64" t="s">
        <v>93</v>
      </c>
      <c r="G80" s="64" t="str">
        <f>IF(E80="","",'Plate organization+'!$A$13)</f>
        <v/>
      </c>
      <c r="I80" s="67" t="str">
        <f>IF('Plate organization+'!K33="","",'Plate organization+'!K33)</f>
        <v/>
      </c>
      <c r="J80" s="67" t="s">
        <v>93</v>
      </c>
      <c r="K80" s="67" t="str">
        <f>IF(I80="","",'Plate organization+'!$A$25)</f>
        <v/>
      </c>
    </row>
    <row r="81" spans="1:11" ht="15.75" thickBot="1" x14ac:dyDescent="0.3">
      <c r="A81" s="105" t="str">
        <f>IF('Plate organization+'!K10="","",'Plate organization+'!K10)</f>
        <v/>
      </c>
      <c r="B81" s="105" t="s">
        <v>94</v>
      </c>
      <c r="C81" s="105" t="str">
        <f>IF(A81="","",'Plate organization+'!$A$1)</f>
        <v/>
      </c>
      <c r="E81" s="65" t="str">
        <f>IF('Plate organization+'!K22="","",'Plate organization+'!K22)</f>
        <v/>
      </c>
      <c r="F81" s="65" t="s">
        <v>94</v>
      </c>
      <c r="G81" s="65" t="str">
        <f>IF(E81="","",'Plate organization+'!$A$13)</f>
        <v/>
      </c>
      <c r="I81" s="68" t="str">
        <f>IF('Plate organization+'!K34="","",'Plate organization+'!K34)</f>
        <v/>
      </c>
      <c r="J81" s="68" t="s">
        <v>94</v>
      </c>
      <c r="K81" s="68" t="str">
        <f>IF(I81="","",'Plate organization+'!$A$25)</f>
        <v/>
      </c>
    </row>
    <row r="82" spans="1:11" x14ac:dyDescent="0.25">
      <c r="A82" s="103" t="str">
        <f>IF('Plate organization+'!L3="","",'Plate organization+'!L3)</f>
        <v/>
      </c>
      <c r="B82" s="103" t="s">
        <v>95</v>
      </c>
      <c r="C82" s="103" t="str">
        <f>IF(A82="","",'Plate organization+'!$A$1)</f>
        <v/>
      </c>
      <c r="E82" s="63" t="str">
        <f>IF('Plate organization+'!L15="","",'Plate organization+'!L15)</f>
        <v/>
      </c>
      <c r="F82" s="63" t="s">
        <v>95</v>
      </c>
      <c r="G82" s="63" t="str">
        <f>IF(E82="","",'Plate organization+'!$A$13)</f>
        <v/>
      </c>
      <c r="I82" s="66" t="str">
        <f>IF('Plate organization+'!L27="","",'Plate organization+'!L27)</f>
        <v/>
      </c>
      <c r="J82" s="66" t="s">
        <v>95</v>
      </c>
      <c r="K82" s="66" t="str">
        <f>IF(I82="","",'Plate organization+'!$A$25)</f>
        <v/>
      </c>
    </row>
    <row r="83" spans="1:11" x14ac:dyDescent="0.25">
      <c r="A83" s="104" t="str">
        <f>IF('Plate organization+'!L4="","",'Plate organization+'!L4)</f>
        <v/>
      </c>
      <c r="B83" s="104" t="s">
        <v>96</v>
      </c>
      <c r="C83" s="104" t="str">
        <f>IF(A83="","",'Plate organization+'!$A$1)</f>
        <v/>
      </c>
      <c r="E83" s="64" t="str">
        <f>IF('Plate organization+'!L16="","",'Plate organization+'!L16)</f>
        <v/>
      </c>
      <c r="F83" s="64" t="s">
        <v>96</v>
      </c>
      <c r="G83" s="64" t="str">
        <f>IF(E83="","",'Plate organization+'!$A$13)</f>
        <v/>
      </c>
      <c r="I83" s="67" t="str">
        <f>IF('Plate organization+'!L28="","",'Plate organization+'!L28)</f>
        <v/>
      </c>
      <c r="J83" s="67" t="s">
        <v>96</v>
      </c>
      <c r="K83" s="67" t="str">
        <f>IF(I83="","",'Plate organization+'!$A$25)</f>
        <v/>
      </c>
    </row>
    <row r="84" spans="1:11" x14ac:dyDescent="0.25">
      <c r="A84" s="104" t="str">
        <f>IF('Plate organization+'!L5="","",'Plate organization+'!L5)</f>
        <v/>
      </c>
      <c r="B84" s="104" t="s">
        <v>97</v>
      </c>
      <c r="C84" s="104" t="str">
        <f>IF(A84="","",'Plate organization+'!$A$1)</f>
        <v/>
      </c>
      <c r="E84" s="64" t="str">
        <f>IF('Plate organization+'!L17="","",'Plate organization+'!L17)</f>
        <v/>
      </c>
      <c r="F84" s="64" t="s">
        <v>97</v>
      </c>
      <c r="G84" s="64" t="str">
        <f>IF(E84="","",'Plate organization+'!$A$13)</f>
        <v/>
      </c>
      <c r="I84" s="67" t="str">
        <f>IF('Plate organization+'!L29="","",'Plate organization+'!L29)</f>
        <v/>
      </c>
      <c r="J84" s="67" t="s">
        <v>97</v>
      </c>
      <c r="K84" s="67" t="str">
        <f>IF(I84="","",'Plate organization+'!$A$25)</f>
        <v/>
      </c>
    </row>
    <row r="85" spans="1:11" x14ac:dyDescent="0.25">
      <c r="A85" s="104" t="str">
        <f>IF('Plate organization+'!L6="","",'Plate organization+'!L6)</f>
        <v/>
      </c>
      <c r="B85" s="104" t="s">
        <v>98</v>
      </c>
      <c r="C85" s="104" t="str">
        <f>IF(A85="","",'Plate organization+'!$A$1)</f>
        <v/>
      </c>
      <c r="E85" s="64" t="str">
        <f>IF('Plate organization+'!L18="","",'Plate organization+'!L18)</f>
        <v/>
      </c>
      <c r="F85" s="64" t="s">
        <v>98</v>
      </c>
      <c r="G85" s="64" t="str">
        <f>IF(E85="","",'Plate organization+'!$A$13)</f>
        <v/>
      </c>
      <c r="I85" s="67" t="str">
        <f>IF('Plate organization+'!L30="","",'Plate organization+'!L30)</f>
        <v/>
      </c>
      <c r="J85" s="67" t="s">
        <v>98</v>
      </c>
      <c r="K85" s="67" t="str">
        <f>IF(I85="","",'Plate organization+'!$A$25)</f>
        <v/>
      </c>
    </row>
    <row r="86" spans="1:11" x14ac:dyDescent="0.25">
      <c r="A86" s="104" t="str">
        <f>IF('Plate organization+'!L7="","",'Plate organization+'!L7)</f>
        <v/>
      </c>
      <c r="B86" s="104" t="s">
        <v>99</v>
      </c>
      <c r="C86" s="104" t="str">
        <f>IF(A86="","",'Plate organization+'!$A$1)</f>
        <v/>
      </c>
      <c r="E86" s="64" t="str">
        <f>IF('Plate organization+'!L19="","",'Plate organization+'!L19)</f>
        <v/>
      </c>
      <c r="F86" s="64" t="s">
        <v>99</v>
      </c>
      <c r="G86" s="64" t="str">
        <f>IF(E86="","",'Plate organization+'!$A$13)</f>
        <v/>
      </c>
      <c r="I86" s="67" t="str">
        <f>IF('Plate organization+'!L31="","",'Plate organization+'!L31)</f>
        <v/>
      </c>
      <c r="J86" s="67" t="s">
        <v>99</v>
      </c>
      <c r="K86" s="67" t="str">
        <f>IF(I86="","",'Plate organization+'!$A$25)</f>
        <v/>
      </c>
    </row>
    <row r="87" spans="1:11" x14ac:dyDescent="0.25">
      <c r="A87" s="104" t="str">
        <f>IF('Plate organization+'!L8="","",'Plate organization+'!L8)</f>
        <v/>
      </c>
      <c r="B87" s="104" t="s">
        <v>100</v>
      </c>
      <c r="C87" s="104" t="str">
        <f>IF(A87="","",'Plate organization+'!$A$1)</f>
        <v/>
      </c>
      <c r="E87" s="64" t="str">
        <f>IF('Plate organization+'!L20="","",'Plate organization+'!L20)</f>
        <v/>
      </c>
      <c r="F87" s="64" t="s">
        <v>100</v>
      </c>
      <c r="G87" s="64" t="str">
        <f>IF(E87="","",'Plate organization+'!$A$13)</f>
        <v/>
      </c>
      <c r="I87" s="67" t="str">
        <f>IF('Plate organization+'!L32="","",'Plate organization+'!L32)</f>
        <v/>
      </c>
      <c r="J87" s="67" t="s">
        <v>100</v>
      </c>
      <c r="K87" s="67" t="str">
        <f>IF(I87="","",'Plate organization+'!$A$25)</f>
        <v/>
      </c>
    </row>
    <row r="88" spans="1:11" x14ac:dyDescent="0.25">
      <c r="A88" s="104" t="str">
        <f>IF('Plate organization+'!L9="","",'Plate organization+'!L9)</f>
        <v/>
      </c>
      <c r="B88" s="104" t="s">
        <v>101</v>
      </c>
      <c r="C88" s="104" t="str">
        <f>IF(A88="","",'Plate organization+'!$A$1)</f>
        <v/>
      </c>
      <c r="E88" s="64" t="str">
        <f>IF('Plate organization+'!L21="","",'Plate organization+'!L21)</f>
        <v/>
      </c>
      <c r="F88" s="64" t="s">
        <v>101</v>
      </c>
      <c r="G88" s="64" t="str">
        <f>IF(E88="","",'Plate organization+'!$A$13)</f>
        <v/>
      </c>
      <c r="I88" s="67" t="str">
        <f>IF('Plate organization+'!L33="","",'Plate organization+'!L33)</f>
        <v/>
      </c>
      <c r="J88" s="67" t="s">
        <v>101</v>
      </c>
      <c r="K88" s="67" t="str">
        <f>IF(I88="","",'Plate organization+'!$A$25)</f>
        <v/>
      </c>
    </row>
    <row r="89" spans="1:11" ht="15.75" thickBot="1" x14ac:dyDescent="0.3">
      <c r="A89" s="105" t="str">
        <f>IF('Plate organization+'!L10="","",'Plate organization+'!L10)</f>
        <v/>
      </c>
      <c r="B89" s="105" t="s">
        <v>102</v>
      </c>
      <c r="C89" s="105" t="str">
        <f>IF(A89="","",'Plate organization+'!$A$1)</f>
        <v/>
      </c>
      <c r="E89" s="65" t="str">
        <f>IF('Plate organization+'!L22="","",'Plate organization+'!L22)</f>
        <v/>
      </c>
      <c r="F89" s="65" t="s">
        <v>102</v>
      </c>
      <c r="G89" s="65" t="str">
        <f>IF(E89="","",'Plate organization+'!$A$13)</f>
        <v/>
      </c>
      <c r="I89" s="68" t="str">
        <f>IF('Plate organization+'!L34="","",'Plate organization+'!L34)</f>
        <v/>
      </c>
      <c r="J89" s="68" t="s">
        <v>102</v>
      </c>
      <c r="K89" s="68" t="str">
        <f>IF(I89="","",'Plate organization+'!$A$25)</f>
        <v/>
      </c>
    </row>
    <row r="90" spans="1:11" x14ac:dyDescent="0.25">
      <c r="A90" s="103" t="str">
        <f>IF('Plate organization+'!M3="","",'Plate organization+'!M3)</f>
        <v/>
      </c>
      <c r="B90" s="103" t="s">
        <v>103</v>
      </c>
      <c r="C90" s="103" t="str">
        <f>IF(A90="","",'Plate organization+'!$A$1)</f>
        <v/>
      </c>
      <c r="E90" s="63" t="str">
        <f>IF('Plate organization+'!M15="","",'Plate organization+'!M15)</f>
        <v/>
      </c>
      <c r="F90" s="63" t="s">
        <v>103</v>
      </c>
      <c r="G90" s="63" t="str">
        <f>IF(E90="","",'Plate organization+'!$A$13)</f>
        <v/>
      </c>
      <c r="I90" s="66" t="str">
        <f>IF('Plate organization+'!M27="","",'Plate organization+'!M27)</f>
        <v/>
      </c>
      <c r="J90" s="66" t="s">
        <v>103</v>
      </c>
      <c r="K90" s="66" t="str">
        <f>IF(I90="","",'Plate organization+'!$A$25)</f>
        <v/>
      </c>
    </row>
    <row r="91" spans="1:11" x14ac:dyDescent="0.25">
      <c r="A91" s="104" t="str">
        <f>IF('Plate organization+'!M4="","",'Plate organization+'!M4)</f>
        <v/>
      </c>
      <c r="B91" s="104" t="s">
        <v>104</v>
      </c>
      <c r="C91" s="104" t="str">
        <f>IF(A91="","",'Plate organization+'!$A$1)</f>
        <v/>
      </c>
      <c r="E91" s="64" t="str">
        <f>IF('Plate organization+'!M16="","",'Plate organization+'!M16)</f>
        <v/>
      </c>
      <c r="F91" s="64" t="s">
        <v>104</v>
      </c>
      <c r="G91" s="64" t="str">
        <f>IF(E91="","",'Plate organization+'!$A$13)</f>
        <v/>
      </c>
      <c r="I91" s="67" t="str">
        <f>IF('Plate organization+'!M28="","",'Plate organization+'!M28)</f>
        <v/>
      </c>
      <c r="J91" s="67" t="s">
        <v>104</v>
      </c>
      <c r="K91" s="67" t="str">
        <f>IF(I91="","",'Plate organization+'!$A$25)</f>
        <v/>
      </c>
    </row>
    <row r="92" spans="1:11" x14ac:dyDescent="0.25">
      <c r="A92" s="104" t="str">
        <f>IF('Plate organization+'!M5="","",'Plate organization+'!M5)</f>
        <v/>
      </c>
      <c r="B92" s="104" t="s">
        <v>105</v>
      </c>
      <c r="C92" s="104" t="str">
        <f>IF(A92="","",'Plate organization+'!$A$1)</f>
        <v/>
      </c>
      <c r="E92" s="64" t="str">
        <f>IF('Plate organization+'!M17="","",'Plate organization+'!M17)</f>
        <v/>
      </c>
      <c r="F92" s="64" t="s">
        <v>105</v>
      </c>
      <c r="G92" s="64" t="str">
        <f>IF(E92="","",'Plate organization+'!$A$13)</f>
        <v/>
      </c>
      <c r="I92" s="67" t="str">
        <f>IF('Plate organization+'!M29="","",'Plate organization+'!M29)</f>
        <v/>
      </c>
      <c r="J92" s="67" t="s">
        <v>105</v>
      </c>
      <c r="K92" s="67" t="str">
        <f>IF(I92="","",'Plate organization+'!$A$25)</f>
        <v/>
      </c>
    </row>
    <row r="93" spans="1:11" x14ac:dyDescent="0.25">
      <c r="A93" s="104" t="str">
        <f>IF('Plate organization+'!M6="","",'Plate organization+'!M6)</f>
        <v/>
      </c>
      <c r="B93" s="104" t="s">
        <v>106</v>
      </c>
      <c r="C93" s="104" t="str">
        <f>IF(A93="","",'Plate organization+'!$A$1)</f>
        <v/>
      </c>
      <c r="E93" s="64" t="str">
        <f>IF('Plate organization+'!M18="","",'Plate organization+'!M18)</f>
        <v/>
      </c>
      <c r="F93" s="64" t="s">
        <v>106</v>
      </c>
      <c r="G93" s="64" t="str">
        <f>IF(E93="","",'Plate organization+'!$A$13)</f>
        <v/>
      </c>
      <c r="I93" s="67" t="str">
        <f>IF('Plate organization+'!M30="","",'Plate organization+'!M30)</f>
        <v/>
      </c>
      <c r="J93" s="67" t="s">
        <v>106</v>
      </c>
      <c r="K93" s="67" t="str">
        <f>IF(I93="","",'Plate organization+'!$A$25)</f>
        <v/>
      </c>
    </row>
    <row r="94" spans="1:11" x14ac:dyDescent="0.25">
      <c r="A94" s="104" t="str">
        <f>IF('Plate organization+'!M7="","",'Plate organization+'!M7)</f>
        <v/>
      </c>
      <c r="B94" s="104" t="s">
        <v>107</v>
      </c>
      <c r="C94" s="104" t="str">
        <f>IF(A94="","",'Plate organization+'!$A$1)</f>
        <v/>
      </c>
      <c r="E94" s="64" t="str">
        <f>IF('Plate organization+'!M19="","",'Plate organization+'!M19)</f>
        <v/>
      </c>
      <c r="F94" s="64" t="s">
        <v>107</v>
      </c>
      <c r="G94" s="64" t="str">
        <f>IF(E94="","",'Plate organization+'!$A$13)</f>
        <v/>
      </c>
      <c r="I94" s="67" t="str">
        <f>IF('Plate organization+'!M31="","",'Plate organization+'!M31)</f>
        <v/>
      </c>
      <c r="J94" s="67" t="s">
        <v>107</v>
      </c>
      <c r="K94" s="67" t="str">
        <f>IF(I94="","",'Plate organization+'!$A$25)</f>
        <v/>
      </c>
    </row>
    <row r="95" spans="1:11" x14ac:dyDescent="0.25">
      <c r="A95" s="104" t="str">
        <f>IF('Plate organization+'!M8="","",'Plate organization+'!M8)</f>
        <v/>
      </c>
      <c r="B95" s="104" t="s">
        <v>108</v>
      </c>
      <c r="C95" s="104" t="str">
        <f>IF(A95="","",'Plate organization+'!$A$1)</f>
        <v/>
      </c>
      <c r="E95" s="64" t="str">
        <f>IF('Plate organization+'!M20="","",'Plate organization+'!M20)</f>
        <v/>
      </c>
      <c r="F95" s="64" t="s">
        <v>108</v>
      </c>
      <c r="G95" s="64" t="str">
        <f>IF(E95="","",'Plate organization+'!$A$13)</f>
        <v/>
      </c>
      <c r="I95" s="67" t="str">
        <f>IF('Plate organization+'!M32="","",'Plate organization+'!M32)</f>
        <v/>
      </c>
      <c r="J95" s="67" t="s">
        <v>108</v>
      </c>
      <c r="K95" s="67" t="str">
        <f>IF(I95="","",'Plate organization+'!$A$25)</f>
        <v/>
      </c>
    </row>
    <row r="96" spans="1:11" x14ac:dyDescent="0.25">
      <c r="A96" s="104" t="str">
        <f>IF('Plate organization+'!M9="","",'Plate organization+'!M9)</f>
        <v/>
      </c>
      <c r="B96" s="104" t="s">
        <v>109</v>
      </c>
      <c r="C96" s="104" t="str">
        <f>IF(A96="","",'Plate organization+'!$A$1)</f>
        <v/>
      </c>
      <c r="E96" s="64" t="str">
        <f>IF('Plate organization+'!M21="","",'Plate organization+'!M21)</f>
        <v/>
      </c>
      <c r="F96" s="64" t="s">
        <v>109</v>
      </c>
      <c r="G96" s="64" t="str">
        <f>IF(E96="","",'Plate organization+'!$A$13)</f>
        <v/>
      </c>
      <c r="I96" s="67" t="str">
        <f>IF('Plate organization+'!M33="","",'Plate organization+'!M33)</f>
        <v/>
      </c>
      <c r="J96" s="67" t="s">
        <v>109</v>
      </c>
      <c r="K96" s="67" t="str">
        <f>IF(I96="","",'Plate organization+'!$A$25)</f>
        <v/>
      </c>
    </row>
    <row r="97" spans="1:11" ht="15.75" thickBot="1" x14ac:dyDescent="0.3">
      <c r="A97" s="105" t="str">
        <f>IF('Plate organization+'!M10="","",'Plate organization+'!M10)</f>
        <v/>
      </c>
      <c r="B97" s="105" t="s">
        <v>110</v>
      </c>
      <c r="C97" s="105" t="str">
        <f>IF(A97="","",'Plate organization+'!$A$1)</f>
        <v/>
      </c>
      <c r="E97" s="65" t="str">
        <f>IF('Plate organization+'!M22="","",'Plate organization+'!M22)</f>
        <v/>
      </c>
      <c r="F97" s="65" t="s">
        <v>110</v>
      </c>
      <c r="G97" s="65" t="str">
        <f>IF(E97="","",'Plate organization+'!$A$13)</f>
        <v/>
      </c>
      <c r="I97" s="68" t="str">
        <f>IF('Plate organization+'!M34="","",'Plate organization+'!M34)</f>
        <v/>
      </c>
      <c r="J97" s="68" t="s">
        <v>110</v>
      </c>
      <c r="K97" s="68" t="str">
        <f>IF(I97="","",'Plate organization+'!$A$25)</f>
        <v/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2"/>
  <sheetViews>
    <sheetView workbookViewId="0">
      <selection activeCell="C1" sqref="C1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>A01</v>
      </c>
      <c r="B2" s="3" t="str">
        <f>IF(C2="","",'Plan+'!K2)</f>
        <v>A01</v>
      </c>
      <c r="C2" s="110" t="str">
        <f>IF('DNA_dilution+'!I2="","",Source_Plate!$M$2)</f>
        <v>water</v>
      </c>
      <c r="D2" s="69">
        <f>IF(C2="","",'DNA_dilution+'!M2-'DNA_dilution+'!L2)</f>
        <v>82.350581866666658</v>
      </c>
      <c r="E2" t="str">
        <f>Source_Plate!$E$1</f>
        <v>Content</v>
      </c>
    </row>
    <row r="3" spans="1:5" x14ac:dyDescent="0.25">
      <c r="A3" s="3" t="str">
        <f>IF(C3="","",VLOOKUP(C3,Source_Plate!$M$2:$N$9,2,FALSE))</f>
        <v>A01</v>
      </c>
      <c r="B3" s="3" t="str">
        <f>IF(C3="","",'Plan+'!K3)</f>
        <v>B01</v>
      </c>
      <c r="C3" s="110" t="str">
        <f>IF('DNA_dilution+'!I3="","",Source_Plate!$M$2)</f>
        <v>water</v>
      </c>
      <c r="D3" s="69">
        <f>IF(C3="","",'DNA_dilution+'!M3-'DNA_dilution+'!L3)</f>
        <v>90.743312167832158</v>
      </c>
      <c r="E3" t="str">
        <f>Source_Plate!$E$1</f>
        <v>Content</v>
      </c>
    </row>
    <row r="4" spans="1:5" x14ac:dyDescent="0.25">
      <c r="A4" s="3" t="str">
        <f>IF(C4="","",VLOOKUP(C4,Source_Plate!$M$2:$N$9,2,FALSE))</f>
        <v>A01</v>
      </c>
      <c r="B4" s="3" t="str">
        <f>IF(C4="","",'Plan+'!K4)</f>
        <v>C01</v>
      </c>
      <c r="C4" s="110" t="str">
        <f>IF('DNA_dilution+'!I4="","",Source_Plate!$M$2)</f>
        <v>water</v>
      </c>
      <c r="D4" s="69">
        <f>IF(C4="","",'DNA_dilution+'!M4-'DNA_dilution+'!L4)</f>
        <v>88.931755307262563</v>
      </c>
      <c r="E4" t="str">
        <f>Source_Plate!$E$1</f>
        <v>Content</v>
      </c>
    </row>
    <row r="5" spans="1:5" x14ac:dyDescent="0.25">
      <c r="A5" s="3" t="str">
        <f>IF(C5="","",VLOOKUP(C5,Source_Plate!$M$2:$N$9,2,FALSE))</f>
        <v>A01</v>
      </c>
      <c r="B5" s="3" t="str">
        <f>IF(C5="","",'Plan+'!K5)</f>
        <v>D01</v>
      </c>
      <c r="C5" s="110" t="str">
        <f>IF('DNA_dilution+'!I5="","",Source_Plate!$M$2)</f>
        <v>water</v>
      </c>
      <c r="D5" s="69">
        <f>IF(C5="","",'DNA_dilution+'!M5-'DNA_dilution+'!L5)</f>
        <v>77.036819047619048</v>
      </c>
      <c r="E5" t="str">
        <f>Source_Plate!$E$1</f>
        <v>Content</v>
      </c>
    </row>
    <row r="6" spans="1:5" x14ac:dyDescent="0.25">
      <c r="A6" s="3" t="str">
        <f>IF(C6="","",VLOOKUP(C6,Source_Plate!$M$2:$N$9,2,FALSE))</f>
        <v>A01</v>
      </c>
      <c r="B6" s="3" t="str">
        <f>IF(C6="","",'Plan+'!K6)</f>
        <v>E01</v>
      </c>
      <c r="C6" s="110" t="str">
        <f>IF('DNA_dilution+'!I6="","",Source_Plate!$M$2)</f>
        <v>water</v>
      </c>
      <c r="D6" s="69">
        <f>IF(C6="","",'DNA_dilution+'!M6-'DNA_dilution+'!L6)</f>
        <v>99.793712999999997</v>
      </c>
      <c r="E6" t="str">
        <f>Source_Plate!$E$1</f>
        <v>Content</v>
      </c>
    </row>
    <row r="7" spans="1:5" x14ac:dyDescent="0.25">
      <c r="A7" s="3" t="str">
        <f>IF(C7="","",VLOOKUP(C7,Source_Plate!$M$2:$N$9,2,FALSE))</f>
        <v/>
      </c>
      <c r="B7" s="3" t="str">
        <f>IF(C7="","",'Plan+'!K7)</f>
        <v/>
      </c>
      <c r="C7" s="110" t="str">
        <f>IF('DNA_dilution+'!I7="","",Source_Plate!$M$2)</f>
        <v/>
      </c>
      <c r="D7" s="69" t="str">
        <f>IF(C7="","",'DNA_dilution+'!M7-'DNA_dilution+'!L7)</f>
        <v/>
      </c>
      <c r="E7" t="str">
        <f>Source_Plate!$E$1</f>
        <v>Content</v>
      </c>
    </row>
    <row r="8" spans="1:5" x14ac:dyDescent="0.25">
      <c r="A8" s="3" t="str">
        <f>IF(C8="","",VLOOKUP(C8,Source_Plate!$M$2:$N$9,2,FALSE))</f>
        <v/>
      </c>
      <c r="B8" s="3" t="str">
        <f>IF(C8="","",'Plan+'!K8)</f>
        <v/>
      </c>
      <c r="C8" s="110" t="str">
        <f>IF('DNA_dilution+'!I8="","",Source_Plate!$M$2)</f>
        <v/>
      </c>
      <c r="D8" s="69" t="str">
        <f>IF(C8="","",'DNA_dilution+'!M8-'DNA_dilution+'!L8)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IF(C9="","",VLOOKUP(C9,Source_Plate!$M$2:$N$9,2,FALSE))</f>
        <v/>
      </c>
      <c r="B9" s="3" t="str">
        <f>IF(C9="","",'Plan+'!K9)</f>
        <v/>
      </c>
      <c r="C9" s="110" t="str">
        <f>IF('DNA_dilution+'!I9="","",Source_Plate!$M$2)</f>
        <v/>
      </c>
      <c r="D9" s="69" t="str">
        <f>IF(C9="","",'DNA_dilution+'!M9-'DNA_dilution+'!L9)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IF(C10="","",VLOOKUP(C10,Source_Plate!$M$2:$N$9,2,FALSE))</f>
        <v>A01</v>
      </c>
      <c r="B10" s="3" t="str">
        <f>IF(C10="","",'Plan+'!K10)</f>
        <v>A02</v>
      </c>
      <c r="C10" s="110" t="str">
        <f>IF('DNA_dilution+'!I10="","",Source_Plate!$M$2)</f>
        <v>water</v>
      </c>
      <c r="D10" s="69">
        <f>IF(C10="","",'DNA_dilution+'!M10-'DNA_dilution+'!L10)</f>
        <v>84.21285860465116</v>
      </c>
      <c r="E10" t="str">
        <f>Source_Plate!$E$1</f>
        <v>Content</v>
      </c>
    </row>
    <row r="11" spans="1:5" x14ac:dyDescent="0.25">
      <c r="A11" s="3" t="str">
        <f>IF(C11="","",VLOOKUP(C11,Source_Plate!$M$2:$N$9,2,FALSE))</f>
        <v/>
      </c>
      <c r="B11" s="3" t="str">
        <f>IF(C11="","",'Plan+'!K11)</f>
        <v/>
      </c>
      <c r="C11" s="110" t="str">
        <f>IF('DNA_dilution+'!I11="","",Source_Plate!$M$2)</f>
        <v/>
      </c>
      <c r="D11" s="69" t="str">
        <f>IF(C11="","",'DNA_dilution+'!M11-'DNA_dilution+'!L11)</f>
        <v/>
      </c>
      <c r="E11" t="str">
        <f>Source_Plate!$E$1</f>
        <v>Content</v>
      </c>
    </row>
    <row r="12" spans="1:5" x14ac:dyDescent="0.25">
      <c r="A12" s="3" t="str">
        <f>IF(C12="","",VLOOKUP(C12,Source_Plate!$M$2:$N$9,2,FALSE))</f>
        <v>A01</v>
      </c>
      <c r="B12" s="3" t="str">
        <f>IF(C12="","",'Plan+'!K12)</f>
        <v>C02</v>
      </c>
      <c r="C12" s="110" t="str">
        <f>IF('DNA_dilution+'!I12="","",Source_Plate!$M$2)</f>
        <v>water</v>
      </c>
      <c r="D12" s="69">
        <f>IF(C12="","",'DNA_dilution+'!M12-'DNA_dilution+'!L12)</f>
        <v>93.320698441558449</v>
      </c>
      <c r="E12" t="str">
        <f>Source_Plate!$E$1</f>
        <v>Content</v>
      </c>
    </row>
    <row r="13" spans="1:5" x14ac:dyDescent="0.25">
      <c r="A13" s="3" t="str">
        <f>IF(C13="","",VLOOKUP(C13,Source_Plate!$M$2:$N$9,2,FALSE))</f>
        <v/>
      </c>
      <c r="B13" s="3" t="str">
        <f>IF(C13="","",'Plan+'!K13)</f>
        <v/>
      </c>
      <c r="C13" s="110" t="str">
        <f>IF('DNA_dilution+'!I13="","",Source_Plate!$M$2)</f>
        <v/>
      </c>
      <c r="D13" s="69" t="str">
        <f>IF(C13="","",'DNA_dilution+'!M13-'DNA_dilution+'!L13)</f>
        <v/>
      </c>
      <c r="E13" t="str">
        <f>Source_Plate!$E$1</f>
        <v>Content</v>
      </c>
    </row>
    <row r="14" spans="1:5" x14ac:dyDescent="0.25">
      <c r="A14" s="3" t="str">
        <f>IF(C14="","",VLOOKUP(C14,Source_Plate!$M$2:$N$9,2,FALSE))</f>
        <v/>
      </c>
      <c r="B14" s="3" t="str">
        <f>IF(C14="","",'Plan+'!K14)</f>
        <v/>
      </c>
      <c r="C14" s="110" t="str">
        <f>IF('DNA_dilution+'!I14="","",Source_Plate!$M$2)</f>
        <v/>
      </c>
      <c r="D14" s="69" t="str">
        <f>IF(C14="","",'DNA_dilution+'!M14-'DNA_dilution+'!L14)</f>
        <v/>
      </c>
      <c r="E14" t="str">
        <f>Source_Plate!$E$1</f>
        <v>Content</v>
      </c>
    </row>
    <row r="15" spans="1:5" x14ac:dyDescent="0.25">
      <c r="A15" s="3" t="str">
        <f>IF(C15="","",VLOOKUP(C15,Source_Plate!$M$2:$N$9,2,FALSE))</f>
        <v/>
      </c>
      <c r="B15" s="3" t="str">
        <f>IF(C15="","",'Plan+'!K15)</f>
        <v/>
      </c>
      <c r="C15" s="110" t="str">
        <f>IF('DNA_dilution+'!I15="","",Source_Plate!$M$2)</f>
        <v/>
      </c>
      <c r="D15" s="69" t="str">
        <f>IF(C15="","",'DNA_dilution+'!M15-'DNA_dilution+'!L15)</f>
        <v/>
      </c>
      <c r="E15" t="str">
        <f>Source_Plate!$E$1</f>
        <v>Content</v>
      </c>
    </row>
    <row r="16" spans="1:5" x14ac:dyDescent="0.25">
      <c r="A16" s="3" t="str">
        <f>IF(C16="","",VLOOKUP(C16,Source_Plate!$M$2:$N$9,2,FALSE))</f>
        <v/>
      </c>
      <c r="B16" s="3" t="str">
        <f>IF(C16="","",'Plan+'!K16)</f>
        <v/>
      </c>
      <c r="C16" s="110" t="str">
        <f>IF('DNA_dilution+'!I16="","",Source_Plate!$M$2)</f>
        <v/>
      </c>
      <c r="D16" s="69" t="str">
        <f>IF(C16="","",'DNA_dilution+'!M16-'DNA_dilution+'!L16)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IF(C17="","",VLOOKUP(C17,Source_Plate!$M$2:$N$9,2,FALSE))</f>
        <v/>
      </c>
      <c r="B17" s="3" t="str">
        <f>IF(C17="","",'Plan+'!K17)</f>
        <v/>
      </c>
      <c r="C17" s="110" t="str">
        <f>IF('DNA_dilution+'!I17="","",Source_Plate!$M$2)</f>
        <v/>
      </c>
      <c r="D17" s="69" t="str">
        <f>IF(C17="","",'DNA_dilution+'!M17-'DNA_dilution+'!L17)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IF(C18="","",VLOOKUP(C18,Source_Plate!$M$2:$N$9,2,FALSE))</f>
        <v/>
      </c>
      <c r="B18" s="3" t="str">
        <f>IF(C18="","",'Plan+'!K18)</f>
        <v/>
      </c>
      <c r="C18" s="110" t="str">
        <f>IF('DNA_dilution+'!I18="","",Source_Plate!$M$2)</f>
        <v/>
      </c>
      <c r="D18" s="69" t="str">
        <f>IF(C18="","",'DNA_dilution+'!M18-'DNA_dilution+'!L18)</f>
        <v/>
      </c>
      <c r="E18" t="str">
        <f>Source_Plate!$E$1</f>
        <v>Content</v>
      </c>
    </row>
    <row r="19" spans="1:5" x14ac:dyDescent="0.25">
      <c r="A19" s="3" t="str">
        <f>IF(C19="","",VLOOKUP(C19,Source_Plate!$M$2:$N$9,2,FALSE))</f>
        <v/>
      </c>
      <c r="B19" s="3" t="str">
        <f>IF(C19="","",'Plan+'!K19)</f>
        <v/>
      </c>
      <c r="C19" s="110" t="str">
        <f>IF('DNA_dilution+'!I19="","",Source_Plate!$M$2)</f>
        <v/>
      </c>
      <c r="D19" s="69" t="str">
        <f>IF(C19="","",'DNA_dilution+'!M19-'DNA_dilution+'!L19)</f>
        <v/>
      </c>
      <c r="E19" t="str">
        <f>Source_Plate!$E$1</f>
        <v>Content</v>
      </c>
    </row>
    <row r="20" spans="1:5" x14ac:dyDescent="0.25">
      <c r="A20" s="3" t="str">
        <f>IF(C20="","",VLOOKUP(C20,Source_Plate!$M$2:$N$9,2,FALSE))</f>
        <v/>
      </c>
      <c r="B20" s="3" t="str">
        <f>IF(C20="","",'Plan+'!K20)</f>
        <v/>
      </c>
      <c r="C20" s="110" t="str">
        <f>IF('DNA_dilution+'!I20="","",Source_Plate!$M$2)</f>
        <v/>
      </c>
      <c r="D20" s="69" t="str">
        <f>IF(C20="","",'DNA_dilution+'!M20-'DNA_dilution+'!L20)</f>
        <v/>
      </c>
      <c r="E20" t="str">
        <f>Source_Plate!$E$1</f>
        <v>Content</v>
      </c>
    </row>
    <row r="21" spans="1:5" x14ac:dyDescent="0.25">
      <c r="A21" s="3" t="str">
        <f>IF(C21="","",VLOOKUP(C21,Source_Plate!$M$2:$N$9,2,FALSE))</f>
        <v/>
      </c>
      <c r="B21" s="3" t="str">
        <f>IF(C21="","",'Plan+'!K21)</f>
        <v/>
      </c>
      <c r="C21" s="110" t="str">
        <f>IF('DNA_dilution+'!I21="","",Source_Plate!$M$2)</f>
        <v/>
      </c>
      <c r="D21" s="69" t="str">
        <f>IF(C21="","",'DNA_dilution+'!M21-'DNA_dilution+'!L21)</f>
        <v/>
      </c>
      <c r="E21" t="str">
        <f>Source_Plate!$E$1</f>
        <v>Content</v>
      </c>
    </row>
    <row r="22" spans="1:5" x14ac:dyDescent="0.25">
      <c r="A22" s="3" t="str">
        <f>IF(C22="","",VLOOKUP(C22,Source_Plate!$M$2:$N$9,2,FALSE))</f>
        <v/>
      </c>
      <c r="B22" s="3" t="str">
        <f>IF(C22="","",'Plan+'!K22)</f>
        <v/>
      </c>
      <c r="C22" s="110" t="str">
        <f>IF('DNA_dilution+'!I22="","",Source_Plate!$M$2)</f>
        <v/>
      </c>
      <c r="D22" s="69" t="str">
        <f>IF(C22="","",'DNA_dilution+'!M22-'DNA_dilution+'!L22)</f>
        <v/>
      </c>
      <c r="E22" t="str">
        <f>Source_Plate!$E$1</f>
        <v>Content</v>
      </c>
    </row>
    <row r="23" spans="1:5" x14ac:dyDescent="0.25">
      <c r="A23" s="3" t="str">
        <f>IF(C23="","",VLOOKUP(C23,Source_Plate!$M$2:$N$9,2,FALSE))</f>
        <v/>
      </c>
      <c r="B23" s="3" t="str">
        <f>IF(C23="","",'Plan+'!K23)</f>
        <v/>
      </c>
      <c r="C23" s="110" t="str">
        <f>IF('DNA_dilution+'!I23="","",Source_Plate!$M$2)</f>
        <v/>
      </c>
      <c r="D23" s="69" t="str">
        <f>IF(C23="","",'DNA_dilution+'!M23-'DNA_dilution+'!L23)</f>
        <v/>
      </c>
      <c r="E23" t="str">
        <f>Source_Plate!$E$1</f>
        <v>Content</v>
      </c>
    </row>
    <row r="24" spans="1:5" x14ac:dyDescent="0.25">
      <c r="A24" s="3" t="str">
        <f>IF(C24="","",VLOOKUP(C24,Source_Plate!$M$2:$N$9,2,FALSE))</f>
        <v/>
      </c>
      <c r="B24" s="3" t="str">
        <f>IF(C24="","",'Plan+'!K24)</f>
        <v/>
      </c>
      <c r="C24" s="110" t="str">
        <f>IF('DNA_dilution+'!I24="","",Source_Plate!$M$2)</f>
        <v/>
      </c>
      <c r="D24" s="69" t="str">
        <f>IF(C24="","",'DNA_dilution+'!M24-'DNA_dilution+'!L24)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IF(C25="","",VLOOKUP(C25,Source_Plate!$M$2:$N$9,2,FALSE))</f>
        <v/>
      </c>
      <c r="B25" s="3" t="str">
        <f>IF(C25="","",'Plan+'!K25)</f>
        <v/>
      </c>
      <c r="C25" s="110" t="str">
        <f>IF('DNA_dilution+'!I25="","",Source_Plate!$M$2)</f>
        <v/>
      </c>
      <c r="D25" s="69" t="str">
        <f>IF(C25="","",'DNA_dilution+'!M25-'DNA_dilution+'!L25)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IF(C26="","",VLOOKUP(C26,Source_Plate!$M$2:$N$9,2,FALSE))</f>
        <v/>
      </c>
      <c r="B26" s="3" t="str">
        <f>IF(C26="","",'Plan+'!K26)</f>
        <v/>
      </c>
      <c r="C26" s="110" t="str">
        <f>IF('DNA_dilution+'!I26="","",Source_Plate!$M$2)</f>
        <v/>
      </c>
      <c r="D26" s="69" t="str">
        <f>IF(C26="","",'DNA_dilution+'!M26-'DNA_dilution+'!L26)</f>
        <v/>
      </c>
      <c r="E26" t="str">
        <f>Source_Plate!$E$1</f>
        <v>Content</v>
      </c>
    </row>
    <row r="27" spans="1:5" x14ac:dyDescent="0.25">
      <c r="A27" s="3" t="str">
        <f>IF(C27="","",VLOOKUP(C27,Source_Plate!$M$2:$N$9,2,FALSE))</f>
        <v/>
      </c>
      <c r="B27" s="3" t="str">
        <f>IF(C27="","",'Plan+'!K27)</f>
        <v/>
      </c>
      <c r="C27" s="110" t="str">
        <f>IF('DNA_dilution+'!I27="","",Source_Plate!$M$2)</f>
        <v/>
      </c>
      <c r="D27" s="69" t="str">
        <f>IF(C27="","",'DNA_dilution+'!M27-'DNA_dilution+'!L27)</f>
        <v/>
      </c>
      <c r="E27" t="str">
        <f>Source_Plate!$E$1</f>
        <v>Content</v>
      </c>
    </row>
    <row r="28" spans="1:5" x14ac:dyDescent="0.25">
      <c r="A28" s="3" t="str">
        <f>IF(C28="","",VLOOKUP(C28,Source_Plate!$M$2:$N$9,2,FALSE))</f>
        <v/>
      </c>
      <c r="B28" s="3" t="str">
        <f>IF(C28="","",'Plan+'!K28)</f>
        <v/>
      </c>
      <c r="C28" s="110" t="str">
        <f>IF('DNA_dilution+'!I28="","",Source_Plate!$M$2)</f>
        <v/>
      </c>
      <c r="D28" s="69" t="str">
        <f>IF(C28="","",'DNA_dilution+'!M28-'DNA_dilution+'!L28)</f>
        <v/>
      </c>
      <c r="E28" t="str">
        <f>Source_Plate!$E$1</f>
        <v>Content</v>
      </c>
    </row>
    <row r="29" spans="1:5" x14ac:dyDescent="0.25">
      <c r="A29" s="3" t="str">
        <f>IF(C29="","",VLOOKUP(C29,Source_Plate!$M$2:$N$9,2,FALSE))</f>
        <v/>
      </c>
      <c r="B29" s="3" t="str">
        <f>IF(C29="","",'Plan+'!K29)</f>
        <v/>
      </c>
      <c r="C29" s="110" t="str">
        <f>IF('DNA_dilution+'!I29="","",Source_Plate!$M$2)</f>
        <v/>
      </c>
      <c r="D29" s="69" t="str">
        <f>IF(C29="","",'DNA_dilution+'!M29-'DNA_dilution+'!L29)</f>
        <v/>
      </c>
      <c r="E29" t="str">
        <f>Source_Plate!$E$1</f>
        <v>Content</v>
      </c>
    </row>
    <row r="30" spans="1:5" x14ac:dyDescent="0.25">
      <c r="A30" s="3" t="str">
        <f>IF(C30="","",VLOOKUP(C30,Source_Plate!$M$2:$N$9,2,FALSE))</f>
        <v/>
      </c>
      <c r="B30" s="3" t="str">
        <f>IF(C30="","",'Plan+'!K30)</f>
        <v/>
      </c>
      <c r="C30" s="110" t="str">
        <f>IF('DNA_dilution+'!I30="","",Source_Plate!$M$2)</f>
        <v/>
      </c>
      <c r="D30" s="69" t="str">
        <f>IF(C30="","",'DNA_dilution+'!M30-'DNA_dilution+'!L30)</f>
        <v/>
      </c>
      <c r="E30" t="str">
        <f>Source_Plate!$E$1</f>
        <v>Content</v>
      </c>
    </row>
    <row r="31" spans="1:5" x14ac:dyDescent="0.25">
      <c r="A31" s="3" t="str">
        <f>IF(C31="","",VLOOKUP(C31,Source_Plate!$M$2:$N$9,2,FALSE))</f>
        <v/>
      </c>
      <c r="B31" s="3" t="str">
        <f>IF(C31="","",'Plan+'!K31)</f>
        <v/>
      </c>
      <c r="C31" s="110" t="str">
        <f>IF('DNA_dilution+'!I31="","",Source_Plate!$M$2)</f>
        <v/>
      </c>
      <c r="D31" s="69" t="str">
        <f>IF(C31="","",'DNA_dilution+'!M31-'DNA_dilution+'!L31)</f>
        <v/>
      </c>
      <c r="E31" t="str">
        <f>Source_Plate!$E$1</f>
        <v>Content</v>
      </c>
    </row>
    <row r="32" spans="1:5" x14ac:dyDescent="0.25">
      <c r="A32" s="3" t="str">
        <f>IF(C32="","",VLOOKUP(C32,Source_Plate!$M$2:$N$9,2,FALSE))</f>
        <v/>
      </c>
      <c r="B32" s="3" t="str">
        <f>IF(C32="","",'Plan+'!K32)</f>
        <v/>
      </c>
      <c r="C32" s="110" t="str">
        <f>IF('DNA_dilution+'!I32="","",Source_Plate!$M$2)</f>
        <v/>
      </c>
      <c r="D32" s="69" t="str">
        <f>IF(C32="","",'DNA_dilution+'!M32-'DNA_dilution+'!L32)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IF(C33="","",VLOOKUP(C33,Source_Plate!$M$2:$N$9,2,FALSE))</f>
        <v/>
      </c>
      <c r="B33" s="3" t="str">
        <f>IF(C33="","",'Plan+'!K33)</f>
        <v/>
      </c>
      <c r="C33" s="110" t="str">
        <f>IF('DNA_dilution+'!I33="","",Source_Plate!$M$2)</f>
        <v/>
      </c>
      <c r="D33" s="69" t="str">
        <f>IF(C33="","",'DNA_dilution+'!M33-'DNA_dilution+'!L33)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IF(C34="","",VLOOKUP(C34,Source_Plate!$M$2:$N$9,2,FALSE))</f>
        <v/>
      </c>
      <c r="B34" s="3" t="str">
        <f>IF(C34="","",'Plan+'!K34)</f>
        <v/>
      </c>
      <c r="C34" s="110" t="str">
        <f>IF('DNA_dilution+'!I34="","",Source_Plate!$M$2)</f>
        <v/>
      </c>
      <c r="D34" s="69" t="str">
        <f>IF(C34="","",'DNA_dilution+'!M34-'DNA_dilution+'!L34)</f>
        <v/>
      </c>
      <c r="E34" t="str">
        <f>Source_Plate!$E$1</f>
        <v>Content</v>
      </c>
    </row>
    <row r="35" spans="1:5" x14ac:dyDescent="0.25">
      <c r="A35" s="3" t="str">
        <f>IF(C35="","",VLOOKUP(C35,Source_Plate!$M$2:$N$9,2,FALSE))</f>
        <v/>
      </c>
      <c r="B35" s="3" t="str">
        <f>IF(C35="","",'Plan+'!K35)</f>
        <v/>
      </c>
      <c r="C35" s="110" t="str">
        <f>IF('DNA_dilution+'!I35="","",Source_Plate!$M$2)</f>
        <v/>
      </c>
      <c r="D35" s="69" t="str">
        <f>IF(C35="","",'DNA_dilution+'!M35-'DNA_dilution+'!L35)</f>
        <v/>
      </c>
      <c r="E35" t="str">
        <f>Source_Plate!$E$1</f>
        <v>Content</v>
      </c>
    </row>
    <row r="36" spans="1:5" x14ac:dyDescent="0.25">
      <c r="A36" s="3" t="str">
        <f>IF(C36="","",VLOOKUP(C36,Source_Plate!$M$2:$N$9,2,FALSE))</f>
        <v/>
      </c>
      <c r="B36" s="3" t="str">
        <f>IF(C36="","",'Plan+'!K36)</f>
        <v/>
      </c>
      <c r="C36" s="110" t="str">
        <f>IF('DNA_dilution+'!I36="","",Source_Plate!$M$2)</f>
        <v/>
      </c>
      <c r="D36" s="69" t="str">
        <f>IF(C36="","",'DNA_dilution+'!M36-'DNA_dilution+'!L36)</f>
        <v/>
      </c>
      <c r="E36" t="str">
        <f>Source_Plate!$E$1</f>
        <v>Content</v>
      </c>
    </row>
    <row r="37" spans="1:5" x14ac:dyDescent="0.25">
      <c r="A37" s="3" t="str">
        <f>IF(C37="","",VLOOKUP(C37,Source_Plate!$M$2:$N$9,2,FALSE))</f>
        <v/>
      </c>
      <c r="B37" s="3" t="str">
        <f>IF(C37="","",'Plan+'!K37)</f>
        <v/>
      </c>
      <c r="C37" s="110" t="str">
        <f>IF('DNA_dilution+'!I37="","",Source_Plate!$M$2)</f>
        <v/>
      </c>
      <c r="D37" s="69" t="str">
        <f>IF(C37="","",'DNA_dilution+'!M37-'DNA_dilution+'!L37)</f>
        <v/>
      </c>
      <c r="E37" t="str">
        <f>Source_Plate!$E$1</f>
        <v>Content</v>
      </c>
    </row>
    <row r="38" spans="1:5" x14ac:dyDescent="0.25">
      <c r="A38" s="3" t="str">
        <f>IF(C38="","",VLOOKUP(C38,Source_Plate!$M$2:$N$9,2,FALSE))</f>
        <v/>
      </c>
      <c r="B38" s="3" t="str">
        <f>IF(C38="","",'Plan+'!K38)</f>
        <v/>
      </c>
      <c r="C38" s="110" t="str">
        <f>IF('DNA_dilution+'!I38="","",Source_Plate!$M$2)</f>
        <v/>
      </c>
      <c r="D38" s="69" t="str">
        <f>IF(C38="","",'DNA_dilution+'!M38-'DNA_dilution+'!L38)</f>
        <v/>
      </c>
      <c r="E38" t="str">
        <f>Source_Plate!$E$1</f>
        <v>Content</v>
      </c>
    </row>
    <row r="39" spans="1:5" x14ac:dyDescent="0.25">
      <c r="A39" s="3" t="str">
        <f>IF(C39="","",VLOOKUP(C39,Source_Plate!$M$2:$N$9,2,FALSE))</f>
        <v/>
      </c>
      <c r="B39" s="3" t="str">
        <f>IF(C39="","",'Plan+'!K39)</f>
        <v/>
      </c>
      <c r="C39" s="110" t="str">
        <f>IF('DNA_dilution+'!I39="","",Source_Plate!$M$2)</f>
        <v/>
      </c>
      <c r="D39" s="69" t="str">
        <f>IF(C39="","",'DNA_dilution+'!M39-'DNA_dilution+'!L39)</f>
        <v/>
      </c>
      <c r="E39" t="str">
        <f>Source_Plate!$E$1</f>
        <v>Content</v>
      </c>
    </row>
    <row r="40" spans="1:5" x14ac:dyDescent="0.25">
      <c r="A40" s="3" t="str">
        <f>IF(C40="","",VLOOKUP(C40,Source_Plate!$M$2:$N$9,2,FALSE))</f>
        <v/>
      </c>
      <c r="B40" s="3" t="str">
        <f>IF(C40="","",'Plan+'!K40)</f>
        <v/>
      </c>
      <c r="C40" s="110" t="str">
        <f>IF('DNA_dilution+'!I40="","",Source_Plate!$M$2)</f>
        <v/>
      </c>
      <c r="D40" s="69" t="str">
        <f>IF(C40="","",'DNA_dilution+'!M40-'DNA_dilution+'!L40)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IF(C41="","",VLOOKUP(C41,Source_Plate!$M$2:$N$9,2,FALSE))</f>
        <v/>
      </c>
      <c r="B41" s="3" t="str">
        <f>IF(C41="","",'Plan+'!K41)</f>
        <v/>
      </c>
      <c r="C41" s="110" t="str">
        <f>IF('DNA_dilution+'!I41="","",Source_Plate!$M$2)</f>
        <v/>
      </c>
      <c r="D41" s="69" t="str">
        <f>IF(C41="","",'DNA_dilution+'!M41-'DNA_dilution+'!L41)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IF(C42="","",VLOOKUP(C42,Source_Plate!$M$2:$N$9,2,FALSE))</f>
        <v/>
      </c>
      <c r="B42" s="3" t="str">
        <f>IF(C42="","",'Plan+'!K42)</f>
        <v/>
      </c>
      <c r="C42" s="110" t="str">
        <f>IF('DNA_dilution+'!I42="","",Source_Plate!$M$2)</f>
        <v/>
      </c>
      <c r="D42" s="69" t="str">
        <f>IF(C42="","",'DNA_dilution+'!M42-'DNA_dilution+'!L42)</f>
        <v/>
      </c>
      <c r="E42" t="str">
        <f>Source_Plate!$E$1</f>
        <v>Content</v>
      </c>
    </row>
    <row r="43" spans="1:5" x14ac:dyDescent="0.25">
      <c r="A43" s="3" t="str">
        <f>IF(C43="","",VLOOKUP(C43,Source_Plate!$M$2:$N$9,2,FALSE))</f>
        <v/>
      </c>
      <c r="B43" s="3" t="str">
        <f>IF(C43="","",'Plan+'!K43)</f>
        <v/>
      </c>
      <c r="C43" s="110" t="str">
        <f>IF('DNA_dilution+'!I43="","",Source_Plate!$M$2)</f>
        <v/>
      </c>
      <c r="D43" s="69" t="str">
        <f>IF(C43="","",'DNA_dilution+'!M43-'DNA_dilution+'!L43)</f>
        <v/>
      </c>
      <c r="E43" t="str">
        <f>Source_Plate!$E$1</f>
        <v>Content</v>
      </c>
    </row>
    <row r="44" spans="1:5" x14ac:dyDescent="0.25">
      <c r="A44" s="3" t="str">
        <f>IF(C44="","",VLOOKUP(C44,Source_Plate!$M$2:$N$9,2,FALSE))</f>
        <v/>
      </c>
      <c r="B44" s="3" t="str">
        <f>IF(C44="","",'Plan+'!K44)</f>
        <v/>
      </c>
      <c r="C44" s="110" t="str">
        <f>IF('DNA_dilution+'!I44="","",Source_Plate!$M$2)</f>
        <v/>
      </c>
      <c r="D44" s="69" t="str">
        <f>IF(C44="","",'DNA_dilution+'!M44-'DNA_dilution+'!L44)</f>
        <v/>
      </c>
      <c r="E44" t="str">
        <f>Source_Plate!$E$1</f>
        <v>Content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110" t="str">
        <f>IF('DNA_dilution+'!I45="","",Source_Plate!$M$2)</f>
        <v/>
      </c>
      <c r="D45" s="69" t="str">
        <f>IF(C45="","",'DNA_dilution+'!M45-'DNA_dilution+'!L45)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IF(C46="","",VLOOKUP(C46,Source_Plate!$M$2:$N$9,2,FALSE))</f>
        <v/>
      </c>
      <c r="B46" s="3" t="str">
        <f>IF(C46="","",'Plan+'!K46)</f>
        <v/>
      </c>
      <c r="C46" s="110" t="str">
        <f>IF('DNA_dilution+'!I46="","",Source_Plate!$M$2)</f>
        <v/>
      </c>
      <c r="D46" s="69" t="str">
        <f>IF(C46="","",'DNA_dilution+'!M46-'DNA_dilution+'!L46)</f>
        <v/>
      </c>
      <c r="E46" t="str">
        <f>Source_Plate!$E$1</f>
        <v>Content</v>
      </c>
    </row>
    <row r="47" spans="1:5" x14ac:dyDescent="0.25">
      <c r="A47" s="3" t="str">
        <f>IF(C47="","",VLOOKUP(C47,Source_Plate!$M$2:$N$9,2,FALSE))</f>
        <v/>
      </c>
      <c r="B47" s="3" t="str">
        <f>IF(C47="","",'Plan+'!K47)</f>
        <v/>
      </c>
      <c r="C47" s="110" t="str">
        <f>IF('DNA_dilution+'!I47="","",Source_Plate!$M$2)</f>
        <v/>
      </c>
      <c r="D47" s="69" t="str">
        <f>IF(C47="","",'DNA_dilution+'!M47-'DNA_dilution+'!L47)</f>
        <v/>
      </c>
      <c r="E47" t="str">
        <f>Source_Plate!$E$1</f>
        <v>Content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110" t="str">
        <f>IF('DNA_dilution+'!I48="","",Source_Plate!$M$2)</f>
        <v/>
      </c>
      <c r="D48" s="69" t="str">
        <f>IF(C48="","",'DNA_dilution+'!M48-'DNA_dilution+'!L48)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110" t="str">
        <f>IF('DNA_dilution+'!I49="","",Source_Plate!$M$2)</f>
        <v/>
      </c>
      <c r="D49" s="69" t="str">
        <f>IF(C49="","",'DNA_dilution+'!M49-'DNA_dilution+'!L49)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IF(C50="","",VLOOKUP(C50,Source_Plate!$M$2:$N$9,2,FALSE))</f>
        <v/>
      </c>
      <c r="B50" s="3" t="str">
        <f>IF(C50="","",'Plan+'!K50)</f>
        <v/>
      </c>
      <c r="C50" s="110" t="str">
        <f>IF('DNA_dilution+'!I50="","",Source_Plate!$M$2)</f>
        <v/>
      </c>
      <c r="D50" s="69" t="str">
        <f>IF(C50="","",'DNA_dilution+'!M50-'DNA_dilution+'!L50)</f>
        <v/>
      </c>
      <c r="E50" t="str">
        <f>Source_Plate!$E$1</f>
        <v>Content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110" t="str">
        <f>IF('DNA_dilution+'!I51="","",Source_Plate!$M$2)</f>
        <v/>
      </c>
      <c r="D51" s="69" t="str">
        <f>IF(C51="","",'DNA_dilution+'!M51-'DNA_dilution+'!L51)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110" t="str">
        <f>IF('DNA_dilution+'!I52="","",Source_Plate!$M$2)</f>
        <v/>
      </c>
      <c r="D52" s="69" t="str">
        <f>IF(C52="","",'DNA_dilution+'!M52-'DNA_dilution+'!L52)</f>
        <v/>
      </c>
      <c r="E52" t="str">
        <f>Source_Plate!$E$1</f>
        <v>Content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110" t="str">
        <f>IF('DNA_dilution+'!I53="","",Source_Plate!$M$2)</f>
        <v/>
      </c>
      <c r="D53" s="69" t="str">
        <f>IF(C53="","",'DNA_dilution+'!M53-'DNA_dilution+'!L53)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110" t="str">
        <f>IF('DNA_dilution+'!I54="","",Source_Plate!$M$2)</f>
        <v/>
      </c>
      <c r="D54" s="69" t="str">
        <f>IF(C54="","",'DNA_dilution+'!M54-'DNA_dilution+'!L54)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110" t="str">
        <f>IF('DNA_dilution+'!I55="","",Source_Plate!$M$2)</f>
        <v/>
      </c>
      <c r="D55" s="69" t="str">
        <f>IF(C55="","",'DNA_dilution+'!M55-'DNA_dilution+'!L55)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110" t="str">
        <f>IF('DNA_dilution+'!I56="","",Source_Plate!$M$2)</f>
        <v/>
      </c>
      <c r="D56" s="69" t="str">
        <f>IF(C56="","",'DNA_dilution+'!M56-'DNA_dilution+'!L56)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110" t="str">
        <f>IF('DNA_dilution+'!I57="","",Source_Plate!$M$2)</f>
        <v/>
      </c>
      <c r="D57" s="69" t="str">
        <f>IF(C57="","",'DNA_dilution+'!M57-'DNA_dilution+'!L57)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110" t="str">
        <f>IF('DNA_dilution+'!I58="","",Source_Plate!$M$2)</f>
        <v/>
      </c>
      <c r="D58" s="69" t="str">
        <f>IF(C58="","",'DNA_dilution+'!M58-'DNA_dilution+'!L58)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110" t="str">
        <f>IF('DNA_dilution+'!I59="","",Source_Plate!$M$2)</f>
        <v/>
      </c>
      <c r="D59" s="69" t="str">
        <f>IF(C59="","",'DNA_dilution+'!M59-'DNA_dilution+'!L59)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110" t="str">
        <f>IF('DNA_dilution+'!I60="","",Source_Plate!$M$2)</f>
        <v/>
      </c>
      <c r="D60" s="69" t="str">
        <f>IF(C60="","",'DNA_dilution+'!M60-'DNA_dilution+'!L60)</f>
        <v/>
      </c>
      <c r="E60" t="str">
        <f>Source_Plate!$E$1</f>
        <v>Content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110" t="str">
        <f>IF('DNA_dilution+'!I61="","",Source_Plate!$M$2)</f>
        <v/>
      </c>
      <c r="D61" s="69" t="str">
        <f>IF(C61="","",'DNA_dilution+'!M61-'DNA_dilution+'!L61)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110" t="str">
        <f>IF('DNA_dilution+'!I62="","",Source_Plate!$M$2)</f>
        <v/>
      </c>
      <c r="D62" s="69" t="str">
        <f>IF(C62="","",'DNA_dilution+'!M62-'DNA_dilution+'!L62)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110" t="str">
        <f>IF('DNA_dilution+'!I63="","",Source_Plate!$M$2)</f>
        <v/>
      </c>
      <c r="D63" s="69" t="str">
        <f>IF(C63="","",'DNA_dilution+'!M63-'DNA_dilution+'!L63)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110" t="str">
        <f>IF('DNA_dilution+'!I64="","",Source_Plate!$M$2)</f>
        <v/>
      </c>
      <c r="D64" s="69" t="str">
        <f>IF(C64="","",'DNA_dilution+'!M64-'DNA_dilution+'!L64)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110" t="str">
        <f>IF('DNA_dilution+'!I65="","",Source_Plate!$M$2)</f>
        <v/>
      </c>
      <c r="D65" s="69" t="str">
        <f>IF(C65="","",'DNA_dilution+'!M65-'DNA_dilution+'!L65)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110" t="str">
        <f>IF('DNA_dilution+'!I66="","",Source_Plate!$M$2)</f>
        <v/>
      </c>
      <c r="D66" s="69" t="str">
        <f>IF(C66="","",'DNA_dilution+'!M66-'DNA_dilution+'!L66)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110" t="str">
        <f>IF('DNA_dilution+'!I67="","",Source_Plate!$M$2)</f>
        <v/>
      </c>
      <c r="D67" s="69" t="str">
        <f>IF(C67="","",'DNA_dilution+'!M67-'DNA_dilution+'!L67)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110" t="str">
        <f>IF('DNA_dilution+'!I68="","",Source_Plate!$M$2)</f>
        <v/>
      </c>
      <c r="D68" s="69" t="str">
        <f>IF(C68="","",'DNA_dilution+'!M68-'DNA_dilution+'!L68)</f>
        <v/>
      </c>
      <c r="E68" t="str">
        <f>Source_Plate!$E$1</f>
        <v>Content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110" t="str">
        <f>IF('DNA_dilution+'!I69="","",Source_Plate!$M$2)</f>
        <v/>
      </c>
      <c r="D69" s="69" t="str">
        <f>IF(C69="","",'DNA_dilution+'!M69-'DNA_dilution+'!L69)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110" t="str">
        <f>IF('DNA_dilution+'!I70="","",Source_Plate!$M$2)</f>
        <v/>
      </c>
      <c r="D70" s="69" t="str">
        <f>IF(C70="","",'DNA_dilution+'!M70-'DNA_dilution+'!L70)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110" t="str">
        <f>IF('DNA_dilution+'!I71="","",Source_Plate!$M$2)</f>
        <v/>
      </c>
      <c r="D71" s="69" t="str">
        <f>IF(C71="","",'DNA_dilution+'!M71-'DNA_dilution+'!L71)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110" t="str">
        <f>IF('DNA_dilution+'!I72="","",Source_Plate!$M$2)</f>
        <v/>
      </c>
      <c r="D72" s="69" t="str">
        <f>IF(C72="","",'DNA_dilution+'!M72-'DNA_dilution+'!L72)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110" t="str">
        <f>IF('DNA_dilution+'!I73="","",Source_Plate!$M$2)</f>
        <v/>
      </c>
      <c r="D73" s="69" t="str">
        <f>IF(C73="","",'DNA_dilution+'!M73-'DNA_dilution+'!L73)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110" t="str">
        <f>IF('DNA_dilution+'!I74="","",Source_Plate!$M$2)</f>
        <v/>
      </c>
      <c r="D74" s="69" t="str">
        <f>IF(C74="","",'DNA_dilution+'!M74-'DNA_dilution+'!L74)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110" t="str">
        <f>IF('DNA_dilution+'!I75="","",Source_Plate!$M$2)</f>
        <v/>
      </c>
      <c r="D75" s="69" t="str">
        <f>IF(C75="","",'DNA_dilution+'!M75-'DNA_dilution+'!L75)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110" t="str">
        <f>IF('DNA_dilution+'!I76="","",Source_Plate!$M$2)</f>
        <v/>
      </c>
      <c r="D76" s="69" t="str">
        <f>IF(C76="","",'DNA_dilution+'!M76-'DNA_dilution+'!L76)</f>
        <v/>
      </c>
      <c r="E76" t="str">
        <f>Source_Plate!$E$1</f>
        <v>Content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110" t="str">
        <f>IF('DNA_dilution+'!I77="","",Source_Plate!$M$2)</f>
        <v/>
      </c>
      <c r="D77" s="69" t="str">
        <f>IF(C77="","",'DNA_dilution+'!M77-'DNA_dilution+'!L77)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110" t="str">
        <f>IF('DNA_dilution+'!I78="","",Source_Plate!$M$2)</f>
        <v/>
      </c>
      <c r="D78" s="69" t="str">
        <f>IF(C78="","",'DNA_dilution+'!M78-'DNA_dilution+'!L78)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110" t="str">
        <f>IF('DNA_dilution+'!I79="","",Source_Plate!$M$2)</f>
        <v/>
      </c>
      <c r="D79" s="69" t="str">
        <f>IF(C79="","",'DNA_dilution+'!M79-'DNA_dilution+'!L79)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110" t="str">
        <f>IF('DNA_dilution+'!I80="","",Source_Plate!$M$2)</f>
        <v/>
      </c>
      <c r="D80" s="69" t="str">
        <f>IF(C80="","",'DNA_dilution+'!M80-'DNA_dilution+'!L80)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110" t="str">
        <f>IF('DNA_dilution+'!I81="","",Source_Plate!$M$2)</f>
        <v/>
      </c>
      <c r="D81" s="69" t="str">
        <f>IF(C81="","",'DNA_dilution+'!M81-'DNA_dilution+'!L81)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110" t="str">
        <f>IF('DNA_dilution+'!I82="","",Source_Plate!$M$2)</f>
        <v/>
      </c>
      <c r="D82" s="69" t="str">
        <f>IF(C82="","",'DNA_dilution+'!M82-'DNA_dilution+'!L82)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110" t="str">
        <f>IF('DNA_dilution+'!I83="","",Source_Plate!$M$2)</f>
        <v/>
      </c>
      <c r="D83" s="69" t="str">
        <f>IF(C83="","",'DNA_dilution+'!M83-'DNA_dilution+'!L83)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110" t="str">
        <f>IF('DNA_dilution+'!I84="","",Source_Plate!$M$2)</f>
        <v/>
      </c>
      <c r="D84" s="69" t="str">
        <f>IF(C84="","",'DNA_dilution+'!M84-'DNA_dilution+'!L84)</f>
        <v/>
      </c>
      <c r="E84" t="str">
        <f>Source_Plate!$E$1</f>
        <v>Content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110" t="str">
        <f>IF('DNA_dilution+'!I85="","",Source_Plate!$M$2)</f>
        <v/>
      </c>
      <c r="D85" s="69" t="str">
        <f>IF(C85="","",'DNA_dilution+'!M85-'DNA_dilution+'!L85)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110" t="str">
        <f>IF('DNA_dilution+'!I86="","",Source_Plate!$M$2)</f>
        <v/>
      </c>
      <c r="D86" s="69" t="str">
        <f>IF(C86="","",'DNA_dilution+'!M86-'DNA_dilution+'!L86)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110" t="str">
        <f>IF('DNA_dilution+'!I87="","",Source_Plate!$M$2)</f>
        <v/>
      </c>
      <c r="D87" s="69" t="str">
        <f>IF(C87="","",'DNA_dilution+'!M87-'DNA_dilution+'!L87)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110" t="str">
        <f>IF('DNA_dilution+'!I88="","",Source_Plate!$M$2)</f>
        <v/>
      </c>
      <c r="D88" s="69" t="str">
        <f>IF(C88="","",'DNA_dilution+'!M88-'DNA_dilution+'!L88)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110" t="str">
        <f>IF('DNA_dilution+'!I89="","",Source_Plate!$M$2)</f>
        <v/>
      </c>
      <c r="D89" s="69" t="str">
        <f>IF(C89="","",'DNA_dilution+'!M89-'DNA_dilution+'!L89)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110" t="str">
        <f>IF('DNA_dilution+'!I90="","",Source_Plate!$M$2)</f>
        <v/>
      </c>
      <c r="D90" s="69" t="str">
        <f>IF(C90="","",'DNA_dilution+'!M90-'DNA_dilution+'!L90)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110" t="str">
        <f>IF('DNA_dilution+'!I91="","",Source_Plate!$M$2)</f>
        <v/>
      </c>
      <c r="D91" s="69" t="str">
        <f>IF(C91="","",'DNA_dilution+'!M91-'DNA_dilution+'!L91)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110" t="str">
        <f>IF('DNA_dilution+'!I92="","",Source_Plate!$M$2)</f>
        <v/>
      </c>
      <c r="D92" s="69" t="str">
        <f>IF(C92="","",'DNA_dilution+'!M92-'DNA_dilution+'!L92)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110" t="str">
        <f>IF('DNA_dilution+'!I93="","",Source_Plate!$M$2)</f>
        <v/>
      </c>
      <c r="D93" s="69" t="str">
        <f>IF(C93="","",'DNA_dilution+'!M93-'DNA_dilution+'!L93)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110" t="str">
        <f>IF('DNA_dilution+'!I94="","",Source_Plate!$M$2)</f>
        <v/>
      </c>
      <c r="D94" s="69" t="str">
        <f>IF(C94="","",'DNA_dilution+'!M94-'DNA_dilution+'!L94)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110" t="str">
        <f>IF('DNA_dilution+'!I95="","",Source_Plate!$M$2)</f>
        <v/>
      </c>
      <c r="D95" s="69" t="str">
        <f>IF(C95="","",'DNA_dilution+'!M95-'DNA_dilution+'!L95)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110" t="str">
        <f>IF('DNA_dilution+'!I96="","",Source_Plate!$M$2)</f>
        <v/>
      </c>
      <c r="D96" s="69" t="str">
        <f>IF(C96="","",'DNA_dilution+'!M96-'DNA_dilution+'!L96)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110" t="str">
        <f>IF('DNA_dilution+'!I97="","",Source_Plate!$M$2)</f>
        <v/>
      </c>
      <c r="D97" s="69" t="str">
        <f>IF(C97="","",'DNA_dilution+'!M97-'DNA_dilution+'!L97)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IF(C98="","",VLOOKUP(C98,Source_Plate!$M$2:$N$9,2,FALSE))</f>
        <v/>
      </c>
      <c r="B98" s="3" t="str">
        <f>IF(C98="","",'Plan+'!#REF!)</f>
        <v/>
      </c>
      <c r="C98" s="110" t="str">
        <f>IF('DNA_dilution+'!I98="","",Source_Plate!$M$2)</f>
        <v/>
      </c>
      <c r="D98" s="69" t="str">
        <f>IF(C98="","",'DNA_dilution+'!M98-'DNA_dilution+'!L98)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IF(C99="","",VLOOKUP(C99,Source_Plate!$M$2:$N$9,2,FALSE))</f>
        <v/>
      </c>
      <c r="B99" s="3" t="str">
        <f>IF(C99="","",'Plan+'!#REF!)</f>
        <v/>
      </c>
      <c r="C99" s="110" t="str">
        <f>IF('DNA_dilution+'!I99="","",Source_Plate!$M$2)</f>
        <v/>
      </c>
      <c r="D99" s="69" t="str">
        <f>IF(C99="","",'DNA_dilution+'!M99-'DNA_dilution+'!L99)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IF(C100="","",VLOOKUP(C100,Source_Plate!$M$2:$N$9,2,FALSE))</f>
        <v/>
      </c>
      <c r="B100" s="3" t="str">
        <f>IF(C100="","",'Plan+'!#REF!)</f>
        <v/>
      </c>
      <c r="C100" s="110" t="str">
        <f>IF('DNA_dilution+'!I100="","",Source_Plate!$M$2)</f>
        <v/>
      </c>
      <c r="D100" s="69" t="str">
        <f>IF(C100="","",'DNA_dilution+'!M100-'DNA_dilution+'!L100)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IF(C101="","",VLOOKUP(C101,Source_Plate!$M$2:$N$9,2,FALSE))</f>
        <v/>
      </c>
      <c r="B101" s="3" t="str">
        <f>IF(C101="","",'Plan+'!#REF!)</f>
        <v/>
      </c>
      <c r="C101" s="110" t="str">
        <f>IF('DNA_dilution+'!I101="","",Source_Plate!$M$2)</f>
        <v/>
      </c>
      <c r="D101" s="69" t="str">
        <f>IF(C101="","",'DNA_dilution+'!M101-'DNA_dilution+'!L101)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IF(C102="","",VLOOKUP(C102,Source_Plate!$M$2:$N$9,2,FALSE))</f>
        <v/>
      </c>
      <c r="B102" s="3" t="str">
        <f>IF(C102="","",'Plan+'!#REF!)</f>
        <v/>
      </c>
      <c r="C102" s="110" t="str">
        <f>IF('DNA_dilution+'!I102="","",Source_Plate!$M$2)</f>
        <v/>
      </c>
      <c r="D102" s="69" t="str">
        <f>IF(C102="","",'DNA_dilution+'!M102-'DNA_dilution+'!L102)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IF(C103="","",VLOOKUP(C103,Source_Plate!$M$2:$N$9,2,FALSE))</f>
        <v/>
      </c>
      <c r="B103" s="3" t="str">
        <f>IF(C103="","",'Plan+'!#REF!)</f>
        <v/>
      </c>
      <c r="C103" s="110" t="str">
        <f>IF('DNA_dilution+'!I103="","",Source_Plate!$M$2)</f>
        <v/>
      </c>
      <c r="D103" s="69" t="str">
        <f>IF(C103="","",'DNA_dilution+'!M103-'DNA_dilution+'!L103)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IF(C104="","",VLOOKUP(C104,Source_Plate!$M$2:$N$9,2,FALSE))</f>
        <v/>
      </c>
      <c r="B104" s="3" t="str">
        <f>IF(C104="","",'Plan+'!#REF!)</f>
        <v/>
      </c>
      <c r="C104" s="110" t="str">
        <f>IF('DNA_dilution+'!I104="","",Source_Plate!$M$2)</f>
        <v/>
      </c>
      <c r="D104" s="69" t="str">
        <f>IF(C104="","",'DNA_dilution+'!M104-'DNA_dilution+'!L104)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IF(C105="","",VLOOKUP(C105,Source_Plate!$M$2:$N$9,2,FALSE))</f>
        <v/>
      </c>
      <c r="B105" s="3" t="str">
        <f>IF(C105="","",'Plan+'!#REF!)</f>
        <v/>
      </c>
      <c r="C105" s="110" t="str">
        <f>IF('DNA_dilution+'!I105="","",Source_Plate!$M$2)</f>
        <v/>
      </c>
      <c r="D105" s="69" t="str">
        <f>IF(C105="","",'DNA_dilution+'!M105-'DNA_dilution+'!L105)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IF(C106="","",VLOOKUP(C106,Source_Plate!$M$2:$N$9,2,FALSE))</f>
        <v/>
      </c>
      <c r="B106" s="3" t="str">
        <f>IF(C106="","",'Plan+'!#REF!)</f>
        <v/>
      </c>
      <c r="C106" s="110" t="str">
        <f>IF('DNA_dilution+'!I106="","",Source_Plate!$M$2)</f>
        <v/>
      </c>
      <c r="D106" s="69" t="str">
        <f>IF(C106="","",'DNA_dilution+'!M106-'DNA_dilution+'!L106)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IF(C107="","",VLOOKUP(C107,Source_Plate!$M$2:$N$9,2,FALSE))</f>
        <v/>
      </c>
      <c r="B107" s="3" t="str">
        <f>IF(C107="","",'Plan+'!#REF!)</f>
        <v/>
      </c>
      <c r="C107" s="110" t="str">
        <f>IF('DNA_dilution+'!I107="","",Source_Plate!$M$2)</f>
        <v/>
      </c>
      <c r="D107" s="69" t="str">
        <f>IF(C107="","",'DNA_dilution+'!M107-'DNA_dilution+'!L107)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IF(C108="","",VLOOKUP(C108,Source_Plate!$M$2:$N$9,2,FALSE))</f>
        <v/>
      </c>
      <c r="B108" s="3" t="str">
        <f>IF(C108="","",'Plan+'!#REF!)</f>
        <v/>
      </c>
      <c r="C108" s="110" t="str">
        <f>IF('DNA_dilution+'!I108="","",Source_Plate!$M$2)</f>
        <v/>
      </c>
      <c r="D108" s="69" t="str">
        <f>IF(C108="","",'DNA_dilution+'!M108-'DNA_dilution+'!L108)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IF(C109="","",VLOOKUP(C109,Source_Plate!$M$2:$N$9,2,FALSE))</f>
        <v/>
      </c>
      <c r="B109" s="3" t="str">
        <f>IF(C109="","",'Plan+'!#REF!)</f>
        <v/>
      </c>
      <c r="C109" s="110" t="str">
        <f>IF('DNA_dilution+'!I109="","",Source_Plate!$M$2)</f>
        <v/>
      </c>
      <c r="D109" s="69" t="str">
        <f>IF(C109="","",'DNA_dilution+'!M109-'DNA_dilution+'!L109)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IF(C110="","",VLOOKUP(C110,Source_Plate!$M$2:$N$9,2,FALSE))</f>
        <v/>
      </c>
      <c r="B110" s="3" t="str">
        <f>IF(C110="","",'Plan+'!#REF!)</f>
        <v/>
      </c>
      <c r="C110" s="110" t="str">
        <f>IF('DNA_dilution+'!I110="","",Source_Plate!$M$2)</f>
        <v/>
      </c>
      <c r="D110" s="69" t="str">
        <f>IF(C110="","",'DNA_dilution+'!M110-'DNA_dilution+'!L110)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IF(C111="","",VLOOKUP(C111,Source_Plate!$M$2:$N$9,2,FALSE))</f>
        <v/>
      </c>
      <c r="B111" s="3" t="str">
        <f>IF(C111="","",'Plan+'!#REF!)</f>
        <v/>
      </c>
      <c r="C111" s="110" t="str">
        <f>IF('DNA_dilution+'!I111="","",Source_Plate!$M$2)</f>
        <v/>
      </c>
      <c r="D111" s="69" t="str">
        <f>IF(C111="","",'DNA_dilution+'!M111-'DNA_dilution+'!L111)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IF(C112="","",VLOOKUP(C112,Source_Plate!$M$2:$N$9,2,FALSE))</f>
        <v/>
      </c>
      <c r="B112" s="3" t="str">
        <f>IF(C112="","",'Plan+'!#REF!)</f>
        <v/>
      </c>
      <c r="C112" s="110" t="str">
        <f>IF('DNA_dilution+'!I112="","",Source_Plate!$M$2)</f>
        <v/>
      </c>
      <c r="D112" s="69" t="str">
        <f>IF(C112="","",'DNA_dilution+'!M112-'DNA_dilution+'!L112)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IF(C113="","",VLOOKUP(C113,Source_Plate!$M$2:$N$9,2,FALSE))</f>
        <v/>
      </c>
      <c r="B113" s="3" t="str">
        <f>IF(C113="","",'Plan+'!#REF!)</f>
        <v/>
      </c>
      <c r="C113" s="110" t="str">
        <f>IF('DNA_dilution+'!I113="","",Source_Plate!$M$2)</f>
        <v/>
      </c>
      <c r="D113" s="69" t="str">
        <f>IF(C113="","",'DNA_dilution+'!M113-'DNA_dilution+'!L113)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IF(C114="","",VLOOKUP(C114,Source_Plate!$M$2:$N$9,2,FALSE))</f>
        <v/>
      </c>
      <c r="B114" s="3" t="str">
        <f>IF(C114="","",'Plan+'!#REF!)</f>
        <v/>
      </c>
      <c r="C114" s="110" t="str">
        <f>IF('DNA_dilution+'!I114="","",Source_Plate!$M$2)</f>
        <v/>
      </c>
      <c r="D114" s="69" t="str">
        <f>IF(C114="","",'DNA_dilution+'!M114-'DNA_dilution+'!L114)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IF(C115="","",VLOOKUP(C115,Source_Plate!$M$2:$N$9,2,FALSE))</f>
        <v/>
      </c>
      <c r="B115" s="3" t="str">
        <f>IF(C115="","",'Plan+'!#REF!)</f>
        <v/>
      </c>
      <c r="C115" s="110" t="str">
        <f>IF('DNA_dilution+'!I115="","",Source_Plate!$M$2)</f>
        <v/>
      </c>
      <c r="D115" s="69" t="str">
        <f>IF(C115="","",'DNA_dilution+'!M115-'DNA_dilution+'!L115)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IF(C116="","",VLOOKUP(C116,Source_Plate!$M$2:$N$9,2,FALSE))</f>
        <v/>
      </c>
      <c r="B116" s="3" t="str">
        <f>IF(C116="","",'Plan+'!#REF!)</f>
        <v/>
      </c>
      <c r="C116" s="110" t="str">
        <f>IF('DNA_dilution+'!I116="","",Source_Plate!$M$2)</f>
        <v/>
      </c>
      <c r="D116" s="69" t="str">
        <f>IF(C116="","",'DNA_dilution+'!M116-'DNA_dilution+'!L116)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IF(C117="","",VLOOKUP(C117,Source_Plate!$M$2:$N$9,2,FALSE))</f>
        <v/>
      </c>
      <c r="B117" s="3" t="str">
        <f>IF(C117="","",'Plan+'!#REF!)</f>
        <v/>
      </c>
      <c r="C117" s="110" t="str">
        <f>IF('DNA_dilution+'!I117="","",Source_Plate!$M$2)</f>
        <v/>
      </c>
      <c r="D117" s="69" t="str">
        <f>IF(C117="","",'DNA_dilution+'!M117-'DNA_dilution+'!L117)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IF(C118="","",VLOOKUP(C118,Source_Plate!$M$2:$N$9,2,FALSE))</f>
        <v/>
      </c>
      <c r="B118" s="3" t="str">
        <f>IF(C118="","",'Plan+'!#REF!)</f>
        <v/>
      </c>
      <c r="C118" s="110" t="str">
        <f>IF('DNA_dilution+'!I118="","",Source_Plate!$M$2)</f>
        <v/>
      </c>
      <c r="D118" s="69" t="str">
        <f>IF(C118="","",'DNA_dilution+'!M118-'DNA_dilution+'!L118)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IF(C119="","",VLOOKUP(C119,Source_Plate!$M$2:$N$9,2,FALSE))</f>
        <v/>
      </c>
      <c r="B119" s="3" t="str">
        <f>IF(C119="","",'Plan+'!#REF!)</f>
        <v/>
      </c>
      <c r="C119" s="110" t="str">
        <f>IF('DNA_dilution+'!I119="","",Source_Plate!$M$2)</f>
        <v/>
      </c>
      <c r="D119" s="69" t="str">
        <f>IF(C119="","",'DNA_dilution+'!M119-'DNA_dilution+'!L119)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IF(C120="","",VLOOKUP(C120,Source_Plate!$M$2:$N$9,2,FALSE))</f>
        <v/>
      </c>
      <c r="B120" s="3" t="str">
        <f>IF(C120="","",'Plan+'!#REF!)</f>
        <v/>
      </c>
      <c r="C120" s="110" t="str">
        <f>IF('DNA_dilution+'!I120="","",Source_Plate!$M$2)</f>
        <v/>
      </c>
      <c r="D120" s="69" t="str">
        <f>IF(C120="","",'DNA_dilution+'!M120-'DNA_dilution+'!L120)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IF(C121="","",VLOOKUP(C121,Source_Plate!$M$2:$N$9,2,FALSE))</f>
        <v/>
      </c>
      <c r="B121" s="3" t="str">
        <f>IF(C121="","",'Plan+'!#REF!)</f>
        <v/>
      </c>
      <c r="C121" s="110" t="str">
        <f>IF('DNA_dilution+'!I121="","",Source_Plate!$M$2)</f>
        <v/>
      </c>
      <c r="D121" s="69" t="str">
        <f>IF(C121="","",'DNA_dilution+'!M121-'DNA_dilution+'!L121)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IF(C122="","",VLOOKUP(C122,Source_Plate!$M$2:$N$9,2,FALSE))</f>
        <v/>
      </c>
      <c r="B122" s="3" t="str">
        <f>IF(C122="","",'Plan+'!#REF!)</f>
        <v/>
      </c>
      <c r="C122" s="110" t="str">
        <f>IF('DNA_dilution+'!I122="","",Source_Plate!$M$2)</f>
        <v/>
      </c>
      <c r="D122" s="69" t="str">
        <f>IF(C122="","",'DNA_dilution+'!M122-'DNA_dilution+'!L122)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IF(C123="","",VLOOKUP(C123,Source_Plate!$M$2:$N$9,2,FALSE))</f>
        <v/>
      </c>
      <c r="B123" s="3" t="str">
        <f>IF(C123="","",'Plan+'!#REF!)</f>
        <v/>
      </c>
      <c r="C123" s="110" t="str">
        <f>IF('DNA_dilution+'!I123="","",Source_Plate!$M$2)</f>
        <v/>
      </c>
      <c r="D123" s="69" t="str">
        <f>IF(C123="","",'DNA_dilution+'!M123-'DNA_dilution+'!L123)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IF(C124="","",VLOOKUP(C124,Source_Plate!$M$2:$N$9,2,FALSE))</f>
        <v/>
      </c>
      <c r="B124" s="3" t="str">
        <f>IF(C124="","",'Plan+'!#REF!)</f>
        <v/>
      </c>
      <c r="C124" s="110" t="str">
        <f>IF('DNA_dilution+'!I124="","",Source_Plate!$M$2)</f>
        <v/>
      </c>
      <c r="D124" s="69" t="str">
        <f>IF(C124="","",'DNA_dilution+'!M124-'DNA_dilution+'!L124)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IF(C125="","",VLOOKUP(C125,Source_Plate!$M$2:$N$9,2,FALSE))</f>
        <v/>
      </c>
      <c r="B125" s="3" t="str">
        <f>IF(C125="","",'Plan+'!#REF!)</f>
        <v/>
      </c>
      <c r="C125" s="110" t="str">
        <f>IF('DNA_dilution+'!I125="","",Source_Plate!$M$2)</f>
        <v/>
      </c>
      <c r="D125" s="69" t="str">
        <f>IF(C125="","",'DNA_dilution+'!M125-'DNA_dilution+'!L125)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IF(C126="","",VLOOKUP(C126,Source_Plate!$M$2:$N$9,2,FALSE))</f>
        <v/>
      </c>
      <c r="B126" s="3" t="str">
        <f>IF(C126="","",'Plan+'!#REF!)</f>
        <v/>
      </c>
      <c r="C126" s="110" t="str">
        <f>IF('DNA_dilution+'!I126="","",Source_Plate!$M$2)</f>
        <v/>
      </c>
      <c r="D126" s="69" t="str">
        <f>IF(C126="","",'DNA_dilution+'!M126-'DNA_dilution+'!L126)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IF(C127="","",VLOOKUP(C127,Source_Plate!$M$2:$N$9,2,FALSE))</f>
        <v/>
      </c>
      <c r="B127" s="3" t="str">
        <f>IF(C127="","",'Plan+'!#REF!)</f>
        <v/>
      </c>
      <c r="C127" s="110" t="str">
        <f>IF('DNA_dilution+'!I127="","",Source_Plate!$M$2)</f>
        <v/>
      </c>
      <c r="D127" s="69" t="str">
        <f>IF(C127="","",'DNA_dilution+'!M127-'DNA_dilution+'!L127)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IF(C128="","",VLOOKUP(C128,Source_Plate!$M$2:$N$9,2,FALSE))</f>
        <v/>
      </c>
      <c r="B128" s="3" t="str">
        <f>IF(C128="","",'Plan+'!#REF!)</f>
        <v/>
      </c>
      <c r="C128" s="110" t="str">
        <f>IF('DNA_dilution+'!I128="","",Source_Plate!$M$2)</f>
        <v/>
      </c>
      <c r="D128" s="69" t="str">
        <f>IF(C128="","",'DNA_dilution+'!M128-'DNA_dilution+'!L128)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IF(C129="","",VLOOKUP(C129,Source_Plate!$M$2:$N$9,2,FALSE))</f>
        <v/>
      </c>
      <c r="B129" s="3" t="str">
        <f>IF(C129="","",'Plan+'!#REF!)</f>
        <v/>
      </c>
      <c r="C129" s="110" t="str">
        <f>IF('DNA_dilution+'!I129="","",Source_Plate!$M$2)</f>
        <v/>
      </c>
      <c r="D129" s="69" t="str">
        <f>IF(C129="","",'DNA_dilution+'!M129-'DNA_dilution+'!L129)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IF(C130="","",VLOOKUP(C130,Source_Plate!$M$2:$N$9,2,FALSE))</f>
        <v/>
      </c>
      <c r="B130" s="3" t="str">
        <f>IF(C130="","",'Plan+'!#REF!)</f>
        <v/>
      </c>
      <c r="C130" s="110" t="str">
        <f>IF('DNA_dilution+'!I130="","",Source_Plate!$M$2)</f>
        <v/>
      </c>
      <c r="D130" s="69" t="str">
        <f>IF(C130="","",'DNA_dilution+'!M130-'DNA_dilution+'!L130)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IF(C131="","",VLOOKUP(C131,Source_Plate!$M$2:$N$9,2,FALSE))</f>
        <v/>
      </c>
      <c r="B131" s="3" t="str">
        <f>IF(C131="","",'Plan+'!#REF!)</f>
        <v/>
      </c>
      <c r="C131" s="110" t="str">
        <f>IF('DNA_dilution+'!I131="","",Source_Plate!$M$2)</f>
        <v/>
      </c>
      <c r="D131" s="69" t="str">
        <f>IF(C131="","",'DNA_dilution+'!M131-'DNA_dilution+'!L131)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IF(C132="","",VLOOKUP(C132,Source_Plate!$M$2:$N$9,2,FALSE))</f>
        <v/>
      </c>
      <c r="B132" s="3" t="str">
        <f>IF(C132="","",'Plan+'!#REF!)</f>
        <v/>
      </c>
      <c r="C132" s="110" t="str">
        <f>IF('DNA_dilution+'!I132="","",Source_Plate!$M$2)</f>
        <v/>
      </c>
      <c r="D132" s="69" t="str">
        <f>IF(C132="","",'DNA_dilution+'!M132-'DNA_dilution+'!L132)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IF(C133="","",VLOOKUP(C133,Source_Plate!$M$2:$N$9,2,FALSE))</f>
        <v/>
      </c>
      <c r="B133" s="3" t="str">
        <f>IF(C133="","",'Plan+'!#REF!)</f>
        <v/>
      </c>
      <c r="C133" s="110" t="str">
        <f>IF('DNA_dilution+'!I133="","",Source_Plate!$M$2)</f>
        <v/>
      </c>
      <c r="D133" s="69" t="str">
        <f>IF(C133="","",'DNA_dilution+'!M133-'DNA_dilution+'!L133)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IF(C134="","",VLOOKUP(C134,Source_Plate!$M$2:$N$9,2,FALSE))</f>
        <v/>
      </c>
      <c r="B134" s="3" t="str">
        <f>IF(C134="","",'Plan+'!#REF!)</f>
        <v/>
      </c>
      <c r="C134" s="110" t="str">
        <f>IF('DNA_dilution+'!I134="","",Source_Plate!$M$2)</f>
        <v/>
      </c>
      <c r="D134" s="69" t="str">
        <f>IF(C134="","",'DNA_dilution+'!M134-'DNA_dilution+'!L134)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IF(C135="","",VLOOKUP(C135,Source_Plate!$M$2:$N$9,2,FALSE))</f>
        <v/>
      </c>
      <c r="B135" s="3" t="str">
        <f>IF(C135="","",'Plan+'!#REF!)</f>
        <v/>
      </c>
      <c r="C135" s="110" t="str">
        <f>IF('DNA_dilution+'!I135="","",Source_Plate!$M$2)</f>
        <v/>
      </c>
      <c r="D135" s="69" t="str">
        <f>IF(C135="","",'DNA_dilution+'!M135-'DNA_dilution+'!L135)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IF(C136="","",VLOOKUP(C136,Source_Plate!$M$2:$N$9,2,FALSE))</f>
        <v/>
      </c>
      <c r="B136" s="3" t="str">
        <f>IF(C136="","",'Plan+'!#REF!)</f>
        <v/>
      </c>
      <c r="C136" s="110" t="str">
        <f>IF('DNA_dilution+'!I136="","",Source_Plate!$M$2)</f>
        <v/>
      </c>
      <c r="D136" s="69" t="str">
        <f>IF(C136="","",'DNA_dilution+'!M136-'DNA_dilution+'!L136)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IF(C137="","",VLOOKUP(C137,Source_Plate!$M$2:$N$9,2,FALSE))</f>
        <v/>
      </c>
      <c r="B137" s="3" t="str">
        <f>IF(C137="","",'Plan+'!#REF!)</f>
        <v/>
      </c>
      <c r="C137" s="110" t="str">
        <f>IF('DNA_dilution+'!I137="","",Source_Plate!$M$2)</f>
        <v/>
      </c>
      <c r="D137" s="69" t="str">
        <f>IF(C137="","",'DNA_dilution+'!M137-'DNA_dilution+'!L137)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IF(C138="","",VLOOKUP(C138,Source_Plate!$M$2:$N$9,2,FALSE))</f>
        <v/>
      </c>
      <c r="B138" s="3" t="str">
        <f>IF(C138="","",'Plan+'!#REF!)</f>
        <v/>
      </c>
      <c r="C138" s="110" t="str">
        <f>IF('DNA_dilution+'!I138="","",Source_Plate!$M$2)</f>
        <v/>
      </c>
      <c r="D138" s="69" t="str">
        <f>IF(C138="","",'DNA_dilution+'!M138-'DNA_dilution+'!L138)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IF(C139="","",VLOOKUP(C139,Source_Plate!$M$2:$N$9,2,FALSE))</f>
        <v/>
      </c>
      <c r="B139" s="3" t="str">
        <f>IF(C139="","",'Plan+'!#REF!)</f>
        <v/>
      </c>
      <c r="C139" s="110" t="str">
        <f>IF('DNA_dilution+'!I139="","",Source_Plate!$M$2)</f>
        <v/>
      </c>
      <c r="D139" s="69" t="str">
        <f>IF(C139="","",'DNA_dilution+'!M139-'DNA_dilution+'!L139)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IF(C140="","",VLOOKUP(C140,Source_Plate!$M$2:$N$9,2,FALSE))</f>
        <v/>
      </c>
      <c r="B140" s="3" t="str">
        <f>IF(C140="","",'Plan+'!#REF!)</f>
        <v/>
      </c>
      <c r="C140" s="110" t="str">
        <f>IF('DNA_dilution+'!I140="","",Source_Plate!$M$2)</f>
        <v/>
      </c>
      <c r="D140" s="69" t="str">
        <f>IF(C140="","",'DNA_dilution+'!M140-'DNA_dilution+'!L140)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IF(C141="","",VLOOKUP(C141,Source_Plate!$M$2:$N$9,2,FALSE))</f>
        <v/>
      </c>
      <c r="B141" s="3" t="str">
        <f>IF(C141="","",'Plan+'!#REF!)</f>
        <v/>
      </c>
      <c r="C141" s="110" t="str">
        <f>IF('DNA_dilution+'!I141="","",Source_Plate!$M$2)</f>
        <v/>
      </c>
      <c r="D141" s="69" t="str">
        <f>IF(C141="","",'DNA_dilution+'!M141-'DNA_dilution+'!L141)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IF(C142="","",VLOOKUP(C142,Source_Plate!$M$2:$N$9,2,FALSE))</f>
        <v/>
      </c>
      <c r="B142" s="3" t="str">
        <f>IF(C142="","",'Plan+'!#REF!)</f>
        <v/>
      </c>
      <c r="C142" s="110" t="str">
        <f>IF('DNA_dilution+'!I142="","",Source_Plate!$M$2)</f>
        <v/>
      </c>
      <c r="D142" s="69" t="str">
        <f>IF(C142="","",'DNA_dilution+'!M142-'DNA_dilution+'!L142)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IF(C143="","",VLOOKUP(C143,Source_Plate!$M$2:$N$9,2,FALSE))</f>
        <v/>
      </c>
      <c r="B143" s="3" t="str">
        <f>IF(C143="","",'Plan+'!#REF!)</f>
        <v/>
      </c>
      <c r="C143" s="110" t="str">
        <f>IF('DNA_dilution+'!I143="","",Source_Plate!$M$2)</f>
        <v/>
      </c>
      <c r="D143" s="69" t="str">
        <f>IF(C143="","",'DNA_dilution+'!M143-'DNA_dilution+'!L143)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IF(C144="","",VLOOKUP(C144,Source_Plate!$M$2:$N$9,2,FALSE))</f>
        <v/>
      </c>
      <c r="B144" s="3" t="str">
        <f>IF(C144="","",'Plan+'!#REF!)</f>
        <v/>
      </c>
      <c r="C144" s="110" t="str">
        <f>IF('DNA_dilution+'!I144="","",Source_Plate!$M$2)</f>
        <v/>
      </c>
      <c r="D144" s="69" t="str">
        <f>IF(C144="","",'DNA_dilution+'!M144-'DNA_dilution+'!L144)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IF(C145="","",VLOOKUP(C145,Source_Plate!$M$2:$N$9,2,FALSE))</f>
        <v/>
      </c>
      <c r="B145" s="3" t="str">
        <f>IF(C145="","",'Plan+'!#REF!)</f>
        <v/>
      </c>
      <c r="C145" s="110" t="str">
        <f>IF('DNA_dilution+'!I145="","",Source_Plate!$M$2)</f>
        <v/>
      </c>
      <c r="D145" s="69" t="str">
        <f>IF(C145="","",'DNA_dilution+'!M145-'DNA_dilution+'!L145)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IF(C146="","",VLOOKUP(C146,Source_Plate!$M$2:$N$9,2,FALSE))</f>
        <v/>
      </c>
      <c r="B146" s="3" t="str">
        <f>IF(C146="","",'Plan+'!#REF!)</f>
        <v/>
      </c>
      <c r="C146" s="110" t="str">
        <f>IF('DNA_dilution+'!I146="","",Source_Plate!$M$2)</f>
        <v/>
      </c>
      <c r="D146" s="69" t="str">
        <f>IF(C146="","",'DNA_dilution+'!M146-'DNA_dilution+'!L146)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IF(C147="","",VLOOKUP(C147,Source_Plate!$M$2:$N$9,2,FALSE))</f>
        <v/>
      </c>
      <c r="B147" s="3" t="str">
        <f>IF(C147="","",'Plan+'!#REF!)</f>
        <v/>
      </c>
      <c r="C147" s="110" t="str">
        <f>IF('DNA_dilution+'!I147="","",Source_Plate!$M$2)</f>
        <v/>
      </c>
      <c r="D147" s="69" t="str">
        <f>IF(C147="","",'DNA_dilution+'!M147-'DNA_dilution+'!L147)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IF(C148="","",VLOOKUP(C148,Source_Plate!$M$2:$N$9,2,FALSE))</f>
        <v/>
      </c>
      <c r="B148" s="3" t="str">
        <f>IF(C148="","",'Plan+'!#REF!)</f>
        <v/>
      </c>
      <c r="C148" s="110" t="str">
        <f>IF('DNA_dilution+'!I148="","",Source_Plate!$M$2)</f>
        <v/>
      </c>
      <c r="D148" s="69" t="str">
        <f>IF(C148="","",'DNA_dilution+'!M148-'DNA_dilution+'!L148)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IF(C149="","",VLOOKUP(C149,Source_Plate!$M$2:$N$9,2,FALSE))</f>
        <v/>
      </c>
      <c r="B149" s="3" t="str">
        <f>IF(C149="","",'Plan+'!#REF!)</f>
        <v/>
      </c>
      <c r="C149" s="110" t="str">
        <f>IF('DNA_dilution+'!I149="","",Source_Plate!$M$2)</f>
        <v/>
      </c>
      <c r="D149" s="69" t="str">
        <f>IF(C149="","",'DNA_dilution+'!M149-'DNA_dilution+'!L149)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IF(C150="","",VLOOKUP(C150,Source_Plate!$M$2:$N$9,2,FALSE))</f>
        <v/>
      </c>
      <c r="B150" s="3" t="str">
        <f>IF(C150="","",'Plan+'!#REF!)</f>
        <v/>
      </c>
      <c r="C150" s="110" t="str">
        <f>IF('DNA_dilution+'!I150="","",Source_Plate!$M$2)</f>
        <v/>
      </c>
      <c r="D150" s="69" t="str">
        <f>IF(C150="","",'DNA_dilution+'!M150-'DNA_dilution+'!L150)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IF(C151="","",VLOOKUP(C151,Source_Plate!$M$2:$N$9,2,FALSE))</f>
        <v/>
      </c>
      <c r="B151" s="3" t="str">
        <f>IF(C151="","",'Plan+'!#REF!)</f>
        <v/>
      </c>
      <c r="C151" s="110" t="str">
        <f>IF('DNA_dilution+'!I151="","",Source_Plate!$M$2)</f>
        <v/>
      </c>
      <c r="D151" s="69" t="str">
        <f>IF(C151="","",'DNA_dilution+'!M151-'DNA_dilution+'!L151)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IF(C152="","",VLOOKUP(C152,Source_Plate!$M$2:$N$9,2,FALSE))</f>
        <v/>
      </c>
      <c r="B152" s="3" t="str">
        <f>IF(C152="","",'Plan+'!#REF!)</f>
        <v/>
      </c>
      <c r="C152" s="110" t="str">
        <f>IF('DNA_dilution+'!I152="","",Source_Plate!$M$2)</f>
        <v/>
      </c>
      <c r="D152" s="69" t="str">
        <f>IF(C152="","",'DNA_dilution+'!M152-'DNA_dilution+'!L152)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IF(C153="","",VLOOKUP(C153,Source_Plate!$M$2:$N$9,2,FALSE))</f>
        <v/>
      </c>
      <c r="B153" s="3" t="str">
        <f>IF(C153="","",'Plan+'!#REF!)</f>
        <v/>
      </c>
      <c r="C153" s="110" t="str">
        <f>IF('DNA_dilution+'!I153="","",Source_Plate!$M$2)</f>
        <v/>
      </c>
      <c r="D153" s="69" t="str">
        <f>IF(C153="","",'DNA_dilution+'!M153-'DNA_dilution+'!L153)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IF(C154="","",VLOOKUP(C154,Source_Plate!$M$2:$N$9,2,FALSE))</f>
        <v/>
      </c>
      <c r="B154" s="3" t="str">
        <f>IF(C154="","",'Plan+'!#REF!)</f>
        <v/>
      </c>
      <c r="C154" s="110" t="str">
        <f>IF('DNA_dilution+'!I154="","",Source_Plate!$M$2)</f>
        <v/>
      </c>
      <c r="D154" s="69" t="str">
        <f>IF(C154="","",'DNA_dilution+'!M154-'DNA_dilution+'!L154)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IF(C155="","",VLOOKUP(C155,Source_Plate!$M$2:$N$9,2,FALSE))</f>
        <v/>
      </c>
      <c r="B155" s="3" t="str">
        <f>IF(C155="","",'Plan+'!#REF!)</f>
        <v/>
      </c>
      <c r="C155" s="110" t="str">
        <f>IF('DNA_dilution+'!I155="","",Source_Plate!$M$2)</f>
        <v/>
      </c>
      <c r="D155" s="69" t="str">
        <f>IF(C155="","",'DNA_dilution+'!M155-'DNA_dilution+'!L155)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IF(C156="","",VLOOKUP(C156,Source_Plate!$M$2:$N$9,2,FALSE))</f>
        <v/>
      </c>
      <c r="B156" s="3" t="str">
        <f>IF(C156="","",'Plan+'!#REF!)</f>
        <v/>
      </c>
      <c r="C156" s="110" t="str">
        <f>IF('DNA_dilution+'!I156="","",Source_Plate!$M$2)</f>
        <v/>
      </c>
      <c r="D156" s="69" t="str">
        <f>IF(C156="","",'DNA_dilution+'!M156-'DNA_dilution+'!L156)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IF(C157="","",VLOOKUP(C157,Source_Plate!$M$2:$N$9,2,FALSE))</f>
        <v/>
      </c>
      <c r="B157" s="3" t="str">
        <f>IF(C157="","",'Plan+'!#REF!)</f>
        <v/>
      </c>
      <c r="C157" s="110" t="str">
        <f>IF('DNA_dilution+'!I157="","",Source_Plate!$M$2)</f>
        <v/>
      </c>
      <c r="D157" s="69" t="str">
        <f>IF(C157="","",'DNA_dilution+'!M157-'DNA_dilution+'!L157)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IF(C158="","",VLOOKUP(C158,Source_Plate!$M$2:$N$9,2,FALSE))</f>
        <v/>
      </c>
      <c r="B158" s="3" t="str">
        <f>IF(C158="","",'Plan+'!#REF!)</f>
        <v/>
      </c>
      <c r="C158" s="110" t="str">
        <f>IF('DNA_dilution+'!I158="","",Source_Plate!$M$2)</f>
        <v/>
      </c>
      <c r="D158" s="69" t="str">
        <f>IF(C158="","",'DNA_dilution+'!M158-'DNA_dilution+'!L158)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IF(C159="","",VLOOKUP(C159,Source_Plate!$M$2:$N$9,2,FALSE))</f>
        <v/>
      </c>
      <c r="B159" s="3" t="str">
        <f>IF(C159="","",'Plan+'!#REF!)</f>
        <v/>
      </c>
      <c r="C159" s="110" t="str">
        <f>IF('DNA_dilution+'!I159="","",Source_Plate!$M$2)</f>
        <v/>
      </c>
      <c r="D159" s="69" t="str">
        <f>IF(C159="","",'DNA_dilution+'!M159-'DNA_dilution+'!L159)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IF(C160="","",VLOOKUP(C160,Source_Plate!$M$2:$N$9,2,FALSE))</f>
        <v/>
      </c>
      <c r="B160" s="3" t="str">
        <f>IF(C160="","",'Plan+'!#REF!)</f>
        <v/>
      </c>
      <c r="C160" s="110" t="str">
        <f>IF('DNA_dilution+'!I160="","",Source_Plate!$M$2)</f>
        <v/>
      </c>
      <c r="D160" s="69" t="str">
        <f>IF(C160="","",'DNA_dilution+'!M160-'DNA_dilution+'!L160)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IF(C161="","",VLOOKUP(C161,Source_Plate!$M$2:$N$9,2,FALSE))</f>
        <v/>
      </c>
      <c r="B161" s="3" t="str">
        <f>IF(C161="","",'Plan+'!#REF!)</f>
        <v/>
      </c>
      <c r="C161" s="110" t="str">
        <f>IF('DNA_dilution+'!I161="","",Source_Plate!$M$2)</f>
        <v/>
      </c>
      <c r="D161" s="69" t="str">
        <f>IF(C161="","",'DNA_dilution+'!M161-'DNA_dilution+'!L161)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IF(C162="","",VLOOKUP(C162,Source_Plate!$M$2:$N$9,2,FALSE))</f>
        <v/>
      </c>
      <c r="B162" s="3" t="str">
        <f>IF(C162="","",'Plan+'!#REF!)</f>
        <v/>
      </c>
      <c r="C162" s="110" t="str">
        <f>IF('DNA_dilution+'!I162="","",Source_Plate!$M$2)</f>
        <v/>
      </c>
      <c r="D162" s="69" t="str">
        <f>IF(C162="","",'DNA_dilution+'!M162-'DNA_dilution+'!L162)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IF(C163="","",VLOOKUP(C163,Source_Plate!$M$2:$N$9,2,FALSE))</f>
        <v/>
      </c>
      <c r="B163" s="3" t="str">
        <f>IF(C163="","",'Plan+'!#REF!)</f>
        <v/>
      </c>
      <c r="C163" s="110" t="str">
        <f>IF('DNA_dilution+'!I163="","",Source_Plate!$M$2)</f>
        <v/>
      </c>
      <c r="D163" s="69" t="str">
        <f>IF(C163="","",'DNA_dilution+'!M163-'DNA_dilution+'!L163)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IF(C164="","",VLOOKUP(C164,Source_Plate!$M$2:$N$9,2,FALSE))</f>
        <v/>
      </c>
      <c r="B164" s="3" t="str">
        <f>IF(C164="","",'Plan+'!#REF!)</f>
        <v/>
      </c>
      <c r="C164" s="110" t="str">
        <f>IF('DNA_dilution+'!I164="","",Source_Plate!$M$2)</f>
        <v/>
      </c>
      <c r="D164" s="69" t="str">
        <f>IF(C164="","",'DNA_dilution+'!M164-'DNA_dilution+'!L164)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IF(C165="","",VLOOKUP(C165,Source_Plate!$M$2:$N$9,2,FALSE))</f>
        <v/>
      </c>
      <c r="B165" s="3" t="str">
        <f>IF(C165="","",'Plan+'!#REF!)</f>
        <v/>
      </c>
      <c r="C165" s="110" t="str">
        <f>IF('DNA_dilution+'!I165="","",Source_Plate!$M$2)</f>
        <v/>
      </c>
      <c r="D165" s="69" t="str">
        <f>IF(C165="","",'DNA_dilution+'!M165-'DNA_dilution+'!L165)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IF(C166="","",VLOOKUP(C166,Source_Plate!$M$2:$N$9,2,FALSE))</f>
        <v/>
      </c>
      <c r="B166" s="3" t="str">
        <f>IF(C166="","",'Plan+'!#REF!)</f>
        <v/>
      </c>
      <c r="C166" s="110" t="str">
        <f>IF('DNA_dilution+'!I166="","",Source_Plate!$M$2)</f>
        <v/>
      </c>
      <c r="D166" s="69" t="str">
        <f>IF(C166="","",'DNA_dilution+'!M166-'DNA_dilution+'!L166)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IF(C167="","",VLOOKUP(C167,Source_Plate!$M$2:$N$9,2,FALSE))</f>
        <v/>
      </c>
      <c r="B167" s="3" t="str">
        <f>IF(C167="","",'Plan+'!#REF!)</f>
        <v/>
      </c>
      <c r="C167" s="110" t="str">
        <f>IF('DNA_dilution+'!I167="","",Source_Plate!$M$2)</f>
        <v/>
      </c>
      <c r="D167" s="69" t="str">
        <f>IF(C167="","",'DNA_dilution+'!M167-'DNA_dilution+'!L167)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IF(C168="","",VLOOKUP(C168,Source_Plate!$M$2:$N$9,2,FALSE))</f>
        <v/>
      </c>
      <c r="B168" s="3" t="str">
        <f>IF(C168="","",'Plan+'!#REF!)</f>
        <v/>
      </c>
      <c r="C168" s="110" t="str">
        <f>IF('DNA_dilution+'!I168="","",Source_Plate!$M$2)</f>
        <v/>
      </c>
      <c r="D168" s="69" t="str">
        <f>IF(C168="","",'DNA_dilution+'!M168-'DNA_dilution+'!L168)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IF(C169="","",VLOOKUP(C169,Source_Plate!$M$2:$N$9,2,FALSE))</f>
        <v/>
      </c>
      <c r="B169" s="3" t="str">
        <f>IF(C169="","",'Plan+'!#REF!)</f>
        <v/>
      </c>
      <c r="C169" s="110" t="str">
        <f>IF('DNA_dilution+'!I169="","",Source_Plate!$M$2)</f>
        <v/>
      </c>
      <c r="D169" s="69" t="str">
        <f>IF(C169="","",'DNA_dilution+'!M169-'DNA_dilution+'!L169)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IF(C170="","",VLOOKUP(C170,Source_Plate!$M$2:$N$9,2,FALSE))</f>
        <v/>
      </c>
      <c r="B170" s="3" t="str">
        <f>IF(C170="","",'Plan+'!#REF!)</f>
        <v/>
      </c>
      <c r="C170" s="110" t="str">
        <f>IF('DNA_dilution+'!I170="","",Source_Plate!$M$2)</f>
        <v/>
      </c>
      <c r="D170" s="69" t="str">
        <f>IF(C170="","",'DNA_dilution+'!M170-'DNA_dilution+'!L170)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IF(C171="","",VLOOKUP(C171,Source_Plate!$M$2:$N$9,2,FALSE))</f>
        <v/>
      </c>
      <c r="B171" s="3" t="str">
        <f>IF(C171="","",'Plan+'!#REF!)</f>
        <v/>
      </c>
      <c r="C171" s="110" t="str">
        <f>IF('DNA_dilution+'!I171="","",Source_Plate!$M$2)</f>
        <v/>
      </c>
      <c r="D171" s="69" t="str">
        <f>IF(C171="","",'DNA_dilution+'!M171-'DNA_dilution+'!L171)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IF(C172="","",VLOOKUP(C172,Source_Plate!$M$2:$N$9,2,FALSE))</f>
        <v/>
      </c>
      <c r="B172" s="3" t="str">
        <f>IF(C172="","",'Plan+'!#REF!)</f>
        <v/>
      </c>
      <c r="C172" s="110" t="str">
        <f>IF('DNA_dilution+'!I172="","",Source_Plate!$M$2)</f>
        <v/>
      </c>
      <c r="D172" s="69" t="str">
        <f>IF(C172="","",'DNA_dilution+'!M172-'DNA_dilution+'!L172)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IF(C173="","",VLOOKUP(C173,Source_Plate!$M$2:$N$9,2,FALSE))</f>
        <v/>
      </c>
      <c r="B173" s="3" t="str">
        <f>IF(C173="","",'Plan+'!#REF!)</f>
        <v/>
      </c>
      <c r="C173" s="110" t="str">
        <f>IF('DNA_dilution+'!I173="","",Source_Plate!$M$2)</f>
        <v/>
      </c>
      <c r="D173" s="69" t="str">
        <f>IF(C173="","",'DNA_dilution+'!M173-'DNA_dilution+'!L173)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IF(C174="","",VLOOKUP(C174,Source_Plate!$M$2:$N$9,2,FALSE))</f>
        <v/>
      </c>
      <c r="B174" s="3" t="str">
        <f>IF(C174="","",'Plan+'!#REF!)</f>
        <v/>
      </c>
      <c r="C174" s="110" t="str">
        <f>IF('DNA_dilution+'!I174="","",Source_Plate!$M$2)</f>
        <v/>
      </c>
      <c r="D174" s="69" t="str">
        <f>IF(C174="","",'DNA_dilution+'!M174-'DNA_dilution+'!L174)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IF(C175="","",VLOOKUP(C175,Source_Plate!$M$2:$N$9,2,FALSE))</f>
        <v/>
      </c>
      <c r="B175" s="3" t="str">
        <f>IF(C175="","",'Plan+'!#REF!)</f>
        <v/>
      </c>
      <c r="C175" s="110" t="str">
        <f>IF('DNA_dilution+'!I175="","",Source_Plate!$M$2)</f>
        <v/>
      </c>
      <c r="D175" s="69" t="str">
        <f>IF(C175="","",'DNA_dilution+'!M175-'DNA_dilution+'!L175)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IF(C176="","",VLOOKUP(C176,Source_Plate!$M$2:$N$9,2,FALSE))</f>
        <v/>
      </c>
      <c r="B176" s="3" t="str">
        <f>IF(C176="","",'Plan+'!#REF!)</f>
        <v/>
      </c>
      <c r="C176" s="110" t="str">
        <f>IF('DNA_dilution+'!I176="","",Source_Plate!$M$2)</f>
        <v/>
      </c>
      <c r="D176" s="69" t="str">
        <f>IF(C176="","",'DNA_dilution+'!M176-'DNA_dilution+'!L176)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IF(C177="","",VLOOKUP(C177,Source_Plate!$M$2:$N$9,2,FALSE))</f>
        <v/>
      </c>
      <c r="B177" s="3" t="str">
        <f>IF(C177="","",'Plan+'!#REF!)</f>
        <v/>
      </c>
      <c r="C177" s="110" t="str">
        <f>IF('DNA_dilution+'!I177="","",Source_Plate!$M$2)</f>
        <v/>
      </c>
      <c r="D177" s="69" t="str">
        <f>IF(C177="","",'DNA_dilution+'!M177-'DNA_dilution+'!L177)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IF(C178="","",VLOOKUP(C178,Source_Plate!$M$2:$N$9,2,FALSE))</f>
        <v/>
      </c>
      <c r="B178" s="3" t="str">
        <f>IF(C178="","",'Plan+'!#REF!)</f>
        <v/>
      </c>
      <c r="C178" s="110" t="str">
        <f>IF('DNA_dilution+'!I178="","",Source_Plate!$M$2)</f>
        <v/>
      </c>
      <c r="D178" s="69" t="str">
        <f>IF(C178="","",'DNA_dilution+'!M178-'DNA_dilution+'!L178)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IF(C179="","",VLOOKUP(C179,Source_Plate!$M$2:$N$9,2,FALSE))</f>
        <v/>
      </c>
      <c r="B179" s="3" t="str">
        <f>IF(C179="","",'Plan+'!#REF!)</f>
        <v/>
      </c>
      <c r="C179" s="110" t="str">
        <f>IF('DNA_dilution+'!I179="","",Source_Plate!$M$2)</f>
        <v/>
      </c>
      <c r="D179" s="69" t="str">
        <f>IF(C179="","",'DNA_dilution+'!M179-'DNA_dilution+'!L179)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IF(C180="","",VLOOKUP(C180,Source_Plate!$M$2:$N$9,2,FALSE))</f>
        <v/>
      </c>
      <c r="B180" s="3" t="str">
        <f>IF(C180="","",'Plan+'!#REF!)</f>
        <v/>
      </c>
      <c r="C180" s="110" t="str">
        <f>IF('DNA_dilution+'!I180="","",Source_Plate!$M$2)</f>
        <v/>
      </c>
      <c r="D180" s="69" t="str">
        <f>IF(C180="","",'DNA_dilution+'!M180-'DNA_dilution+'!L180)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IF(C181="","",VLOOKUP(C181,Source_Plate!$M$2:$N$9,2,FALSE))</f>
        <v/>
      </c>
      <c r="B181" s="3" t="str">
        <f>IF(C181="","",'Plan+'!#REF!)</f>
        <v/>
      </c>
      <c r="C181" s="110" t="str">
        <f>IF('DNA_dilution+'!I181="","",Source_Plate!$M$2)</f>
        <v/>
      </c>
      <c r="D181" s="69" t="str">
        <f>IF(C181="","",'DNA_dilution+'!M181-'DNA_dilution+'!L181)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IF(C182="","",VLOOKUP(C182,Source_Plate!$M$2:$N$9,2,FALSE))</f>
        <v/>
      </c>
      <c r="B182" s="3" t="str">
        <f>IF(C182="","",'Plan+'!#REF!)</f>
        <v/>
      </c>
      <c r="C182" s="110" t="str">
        <f>IF('DNA_dilution+'!I182="","",Source_Plate!$M$2)</f>
        <v/>
      </c>
      <c r="D182" s="69" t="str">
        <f>IF(C182="","",'DNA_dilution+'!M182-'DNA_dilution+'!L182)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IF(C183="","",VLOOKUP(C183,Source_Plate!$M$2:$N$9,2,FALSE))</f>
        <v/>
      </c>
      <c r="B183" s="3" t="str">
        <f>IF(C183="","",'Plan+'!#REF!)</f>
        <v/>
      </c>
      <c r="C183" s="110" t="str">
        <f>IF('DNA_dilution+'!I183="","",Source_Plate!$M$2)</f>
        <v/>
      </c>
      <c r="D183" s="69" t="str">
        <f>IF(C183="","",'DNA_dilution+'!M183-'DNA_dilution+'!L183)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IF(C184="","",VLOOKUP(C184,Source_Plate!$M$2:$N$9,2,FALSE))</f>
        <v/>
      </c>
      <c r="B184" s="3" t="str">
        <f>IF(C184="","",'Plan+'!#REF!)</f>
        <v/>
      </c>
      <c r="C184" s="110" t="str">
        <f>IF('DNA_dilution+'!I184="","",Source_Plate!$M$2)</f>
        <v/>
      </c>
      <c r="D184" s="69" t="str">
        <f>IF(C184="","",'DNA_dilution+'!M184-'DNA_dilution+'!L184)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IF(C185="","",VLOOKUP(C185,Source_Plate!$M$2:$N$9,2,FALSE))</f>
        <v/>
      </c>
      <c r="B185" s="3" t="str">
        <f>IF(C185="","",'Plan+'!#REF!)</f>
        <v/>
      </c>
      <c r="C185" s="110" t="str">
        <f>IF('DNA_dilution+'!I185="","",Source_Plate!$M$2)</f>
        <v/>
      </c>
      <c r="D185" s="69" t="str">
        <f>IF(C185="","",'DNA_dilution+'!M185-'DNA_dilution+'!L185)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IF(C186="","",VLOOKUP(C186,Source_Plate!$M$2:$N$9,2,FALSE))</f>
        <v/>
      </c>
      <c r="B186" s="3" t="str">
        <f>IF(C186="","",'Plan+'!#REF!)</f>
        <v/>
      </c>
      <c r="C186" s="110" t="str">
        <f>IF('DNA_dilution+'!I186="","",Source_Plate!$M$2)</f>
        <v/>
      </c>
      <c r="D186" s="69" t="str">
        <f>IF(C186="","",'DNA_dilution+'!M186-'DNA_dilution+'!L186)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IF(C187="","",VLOOKUP(C187,Source_Plate!$M$2:$N$9,2,FALSE))</f>
        <v/>
      </c>
      <c r="B187" s="3" t="str">
        <f>IF(C187="","",'Plan+'!#REF!)</f>
        <v/>
      </c>
      <c r="C187" s="110" t="str">
        <f>IF('DNA_dilution+'!I187="","",Source_Plate!$M$2)</f>
        <v/>
      </c>
      <c r="D187" s="69" t="str">
        <f>IF(C187="","",'DNA_dilution+'!M187-'DNA_dilution+'!L187)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IF(C188="","",VLOOKUP(C188,Source_Plate!$M$2:$N$9,2,FALSE))</f>
        <v/>
      </c>
      <c r="B188" s="3" t="str">
        <f>IF(C188="","",'Plan+'!#REF!)</f>
        <v/>
      </c>
      <c r="C188" s="110" t="str">
        <f>IF('DNA_dilution+'!I188="","",Source_Plate!$M$2)</f>
        <v/>
      </c>
      <c r="D188" s="69" t="str">
        <f>IF(C188="","",'DNA_dilution+'!M188-'DNA_dilution+'!L188)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92"/>
  <sheetViews>
    <sheetView workbookViewId="0">
      <selection activeCell="G17" sqref="G17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IF(C2="","",VLOOKUP(C2,Source_Plate!$A$2:$B$97,2,FALSE))</f>
        <v>A01</v>
      </c>
      <c r="B2" s="3" t="str">
        <f>IF(C2="","",'Plan+'!K2)</f>
        <v>A01</v>
      </c>
      <c r="C2" s="110" t="str">
        <f>IF('DNA_dilution+'!I2="","",'DNA_dilution+'!H2)</f>
        <v>Psyn</v>
      </c>
      <c r="D2" s="69">
        <f>IF(C2="","",'DNA_dilution+'!L2)</f>
        <v>17.649418133333334</v>
      </c>
      <c r="E2" t="str">
        <f>Source_Plate!$E$1</f>
        <v>Content</v>
      </c>
    </row>
    <row r="3" spans="1:5" x14ac:dyDescent="0.25">
      <c r="A3" s="3" t="str">
        <f>IF(C3="","",VLOOKUP(C3,Source_Plate!$A$2:$B$97,2,FALSE))</f>
        <v>B01</v>
      </c>
      <c r="B3" s="3" t="str">
        <f>IF(C3="","",'Plan+'!K3)</f>
        <v>B01</v>
      </c>
      <c r="C3" s="110" t="str">
        <f>IF('DNA_dilution+'!I3="","",'DNA_dilution+'!H3)</f>
        <v>RBS</v>
      </c>
      <c r="D3" s="69">
        <f>IF(C3="","",'DNA_dilution+'!L3)</f>
        <v>9.2566878321678345</v>
      </c>
      <c r="E3" t="str">
        <f>Source_Plate!$E$1</f>
        <v>Content</v>
      </c>
    </row>
    <row r="4" spans="1:5" x14ac:dyDescent="0.25">
      <c r="A4" s="3" t="str">
        <f>IF(C4="","",VLOOKUP(C4,Source_Plate!$A$2:$B$97,2,FALSE))</f>
        <v>C01</v>
      </c>
      <c r="B4" s="3" t="str">
        <f>IF(C4="","",'Plan+'!K4)</f>
        <v>C01</v>
      </c>
      <c r="C4" s="110" t="str">
        <f>IF('DNA_dilution+'!I4="","",'DNA_dilution+'!H4)</f>
        <v>aroF_S188C</v>
      </c>
      <c r="D4" s="69">
        <f>IF(C4="","",'DNA_dilution+'!L4)</f>
        <v>11.06824469273743</v>
      </c>
      <c r="E4" t="str">
        <f>Source_Plate!$E$1</f>
        <v>Content</v>
      </c>
    </row>
    <row r="5" spans="1:5" x14ac:dyDescent="0.25">
      <c r="A5" s="3" t="str">
        <f>IF(C5="","",VLOOKUP(C5,Source_Plate!$A$2:$B$97,2,FALSE))</f>
        <v>D01</v>
      </c>
      <c r="B5" s="3" t="str">
        <f>IF(C5="","",'Plan+'!K5)</f>
        <v>D01</v>
      </c>
      <c r="C5" s="110" t="str">
        <f>IF('DNA_dilution+'!I5="","",'DNA_dilution+'!H5)</f>
        <v>TrrnB</v>
      </c>
      <c r="D5" s="69">
        <f>IF(C5="","",'DNA_dilution+'!L5)</f>
        <v>22.963180952380956</v>
      </c>
      <c r="E5" t="str">
        <f>Source_Plate!$E$1</f>
        <v>Content</v>
      </c>
    </row>
    <row r="6" spans="1:5" x14ac:dyDescent="0.25">
      <c r="A6" s="3" t="str">
        <f>IF(C6="","",VLOOKUP(C6,Source_Plate!$A$2:$B$97,2,FALSE))</f>
        <v>E01</v>
      </c>
      <c r="B6" s="3" t="str">
        <f>IF(C6="","",'Plan+'!K6)</f>
        <v>E01</v>
      </c>
      <c r="C6" s="110" t="str">
        <f>IF('DNA_dilution+'!I6="","",'DNA_dilution+'!H6)</f>
        <v>DVK_AE</v>
      </c>
      <c r="D6" s="69">
        <f>IF(C6="","",'DNA_dilution+'!L6)</f>
        <v>0.206287</v>
      </c>
      <c r="E6" t="str">
        <f>Source_Plate!$E$1</f>
        <v>Content</v>
      </c>
    </row>
    <row r="7" spans="1:5" x14ac:dyDescent="0.25">
      <c r="A7" s="3" t="str">
        <f>IF(C7="","",VLOOKUP(C7,Source_Plate!$A$2:$B$97,2,FALSE))</f>
        <v/>
      </c>
      <c r="B7" s="3" t="str">
        <f>IF(C7="","",'Plan+'!K7)</f>
        <v/>
      </c>
      <c r="C7" s="110" t="str">
        <f>IF('DNA_dilution+'!I7="","",'DNA_dilution+'!H7)</f>
        <v/>
      </c>
      <c r="D7" s="69" t="str">
        <f>IF(C7="","",'DNA_dilution+'!L7)</f>
        <v/>
      </c>
      <c r="E7" t="str">
        <f>Source_Plate!$E$1</f>
        <v>Content</v>
      </c>
    </row>
    <row r="8" spans="1:5" x14ac:dyDescent="0.25">
      <c r="A8" s="3" t="str">
        <f>IF(C8="","",VLOOKUP(C8,Source_Plate!$A$2:$B$97,2,FALSE))</f>
        <v/>
      </c>
      <c r="B8" s="3" t="str">
        <f>IF(C8="","",'Plan+'!K8)</f>
        <v/>
      </c>
      <c r="C8" s="110" t="str">
        <f>IF('DNA_dilution+'!I8="","",'DNA_dilution+'!H8)</f>
        <v/>
      </c>
      <c r="D8" s="69" t="str">
        <f>IF(C8="","",'DNA_dilution+'!L8)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IF(C9="","",VLOOKUP(C9,Source_Plate!$A$2:$B$97,2,FALSE))</f>
        <v/>
      </c>
      <c r="B9" s="3" t="str">
        <f>IF(C9="","",'Plan+'!K9)</f>
        <v/>
      </c>
      <c r="C9" s="110" t="str">
        <f>IF('DNA_dilution+'!I9="","",'DNA_dilution+'!H9)</f>
        <v/>
      </c>
      <c r="D9" s="69" t="str">
        <f>IF(C9="","",'DNA_dilution+'!L9)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IF(C10="","",VLOOKUP(C10,Source_Plate!$A$2:$B$97,2,FALSE))</f>
        <v>A02</v>
      </c>
      <c r="B10" s="3" t="str">
        <f>IF(C10="","",'Plan+'!K10)</f>
        <v>A02</v>
      </c>
      <c r="C10" s="110" t="str">
        <f>IF('DNA_dilution+'!I10="","",'DNA_dilution+'!H10)</f>
        <v>PH36</v>
      </c>
      <c r="D10" s="69">
        <f>IF(C10="","",'DNA_dilution+'!L10)</f>
        <v>15.787141395348838</v>
      </c>
      <c r="E10" t="str">
        <f>Source_Plate!$E$1</f>
        <v>Content</v>
      </c>
    </row>
    <row r="11" spans="1:5" x14ac:dyDescent="0.25">
      <c r="A11" s="3" t="str">
        <f>IF(C11="","",VLOOKUP(C11,Source_Plate!$A$2:$B$97,2,FALSE))</f>
        <v/>
      </c>
      <c r="B11" s="3" t="str">
        <f>IF(C11="","",'Plan+'!K11)</f>
        <v/>
      </c>
      <c r="C11" s="110" t="str">
        <f>IF('DNA_dilution+'!I11="","",'DNA_dilution+'!H11)</f>
        <v/>
      </c>
      <c r="D11" s="69" t="str">
        <f>IF(C11="","",'DNA_dilution+'!L11)</f>
        <v/>
      </c>
      <c r="E11" t="str">
        <f>Source_Plate!$E$1</f>
        <v>Content</v>
      </c>
    </row>
    <row r="12" spans="1:5" x14ac:dyDescent="0.25">
      <c r="A12" s="3" t="str">
        <f>IF(C12="","",VLOOKUP(C12,Source_Plate!$A$2:$B$97,2,FALSE))</f>
        <v>C02</v>
      </c>
      <c r="B12" s="3" t="str">
        <f>IF(C12="","",'Plan+'!K12)</f>
        <v>C02</v>
      </c>
      <c r="C12" s="110" t="str">
        <f>IF('DNA_dilution+'!I12="","",'DNA_dilution+'!H12)</f>
        <v>aroC</v>
      </c>
      <c r="D12" s="69">
        <f>IF(C12="","",'DNA_dilution+'!L12)</f>
        <v>6.6793015584415585</v>
      </c>
      <c r="E12" t="str">
        <f>Source_Plate!$E$1</f>
        <v>Content</v>
      </c>
    </row>
    <row r="13" spans="1:5" x14ac:dyDescent="0.25">
      <c r="A13" s="3" t="str">
        <f>IF(C13="","",VLOOKUP(C13,Source_Plate!$A$2:$B$97,2,FALSE))</f>
        <v/>
      </c>
      <c r="B13" s="3" t="str">
        <f>IF(C13="","",'Plan+'!K13)</f>
        <v/>
      </c>
      <c r="C13" s="110" t="str">
        <f>IF('DNA_dilution+'!I13="","",'DNA_dilution+'!H13)</f>
        <v/>
      </c>
      <c r="D13" s="69" t="str">
        <f>IF(C13="","",'DNA_dilution+'!L13)</f>
        <v/>
      </c>
      <c r="E13" t="str">
        <f>Source_Plate!$E$1</f>
        <v>Content</v>
      </c>
    </row>
    <row r="14" spans="1:5" x14ac:dyDescent="0.25">
      <c r="A14" s="3" t="str">
        <f>IF(C14="","",VLOOKUP(C14,Source_Plate!$A$2:$B$97,2,FALSE))</f>
        <v/>
      </c>
      <c r="B14" s="3" t="str">
        <f>IF(C14="","",'Plan+'!K14)</f>
        <v/>
      </c>
      <c r="C14" s="110" t="str">
        <f>IF('DNA_dilution+'!I14="","",'DNA_dilution+'!H14)</f>
        <v/>
      </c>
      <c r="D14" s="69" t="str">
        <f>IF(C14="","",'DNA_dilution+'!L14)</f>
        <v/>
      </c>
      <c r="E14" t="str">
        <f>Source_Plate!$E$1</f>
        <v>Content</v>
      </c>
    </row>
    <row r="15" spans="1:5" x14ac:dyDescent="0.25">
      <c r="A15" s="3" t="str">
        <f>IF(C15="","",VLOOKUP(C15,Source_Plate!$A$2:$B$97,2,FALSE))</f>
        <v/>
      </c>
      <c r="B15" s="3" t="str">
        <f>IF(C15="","",'Plan+'!K15)</f>
        <v/>
      </c>
      <c r="C15" s="110" t="str">
        <f>IF('DNA_dilution+'!I15="","",'DNA_dilution+'!H15)</f>
        <v/>
      </c>
      <c r="D15" s="69" t="str">
        <f>IF(C15="","",'DNA_dilution+'!L15)</f>
        <v/>
      </c>
      <c r="E15" t="str">
        <f>Source_Plate!$E$1</f>
        <v>Content</v>
      </c>
    </row>
    <row r="16" spans="1:5" x14ac:dyDescent="0.25">
      <c r="A16" s="3" t="str">
        <f>IF(C16="","",VLOOKUP(C16,Source_Plate!$A$2:$B$97,2,FALSE))</f>
        <v/>
      </c>
      <c r="B16" s="3" t="str">
        <f>IF(C16="","",'Plan+'!K16)</f>
        <v/>
      </c>
      <c r="C16" s="110" t="str">
        <f>IF('DNA_dilution+'!I16="","",'DNA_dilution+'!H16)</f>
        <v/>
      </c>
      <c r="D16" s="69" t="str">
        <f>IF(C16="","",'DNA_dilution+'!L16)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IF(C17="","",VLOOKUP(C17,Source_Plate!$A$2:$B$97,2,FALSE))</f>
        <v/>
      </c>
      <c r="B17" s="3" t="str">
        <f>IF(C17="","",'Plan+'!K17)</f>
        <v/>
      </c>
      <c r="C17" s="110" t="str">
        <f>IF('DNA_dilution+'!I17="","",'DNA_dilution+'!H17)</f>
        <v/>
      </c>
      <c r="D17" s="69" t="str">
        <f>IF(C17="","",'DNA_dilution+'!L17)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IF(C18="","",VLOOKUP(C18,Source_Plate!$A$2:$B$97,2,FALSE))</f>
        <v/>
      </c>
      <c r="B18" s="3" t="str">
        <f>IF(C18="","",'Plan+'!K18)</f>
        <v/>
      </c>
      <c r="C18" s="110" t="str">
        <f>IF('DNA_dilution+'!I18="","",'DNA_dilution+'!H18)</f>
        <v/>
      </c>
      <c r="D18" s="69" t="str">
        <f>IF(C18="","",'DNA_dilution+'!L18)</f>
        <v/>
      </c>
      <c r="E18" t="str">
        <f>Source_Plate!$E$1</f>
        <v>Content</v>
      </c>
    </row>
    <row r="19" spans="1:5" x14ac:dyDescent="0.25">
      <c r="A19" s="3" t="str">
        <f>IF(C19="","",VLOOKUP(C19,Source_Plate!$A$2:$B$97,2,FALSE))</f>
        <v/>
      </c>
      <c r="B19" s="3" t="str">
        <f>IF(C19="","",'Plan+'!K19)</f>
        <v/>
      </c>
      <c r="C19" s="110" t="str">
        <f>IF('DNA_dilution+'!I19="","",'DNA_dilution+'!H19)</f>
        <v/>
      </c>
      <c r="D19" s="69" t="str">
        <f>IF(C19="","",'DNA_dilution+'!L19)</f>
        <v/>
      </c>
      <c r="E19" t="str">
        <f>Source_Plate!$E$1</f>
        <v>Content</v>
      </c>
    </row>
    <row r="20" spans="1:5" x14ac:dyDescent="0.25">
      <c r="A20" s="3" t="str">
        <f>IF(C20="","",VLOOKUP(C20,Source_Plate!$A$2:$B$97,2,FALSE))</f>
        <v/>
      </c>
      <c r="B20" s="3" t="str">
        <f>IF(C20="","",'Plan+'!K20)</f>
        <v/>
      </c>
      <c r="C20" s="110" t="str">
        <f>IF('DNA_dilution+'!I20="","",'DNA_dilution+'!H20)</f>
        <v/>
      </c>
      <c r="D20" s="69" t="str">
        <f>IF(C20="","",'DNA_dilution+'!L20)</f>
        <v/>
      </c>
      <c r="E20" t="str">
        <f>Source_Plate!$E$1</f>
        <v>Content</v>
      </c>
    </row>
    <row r="21" spans="1:5" x14ac:dyDescent="0.25">
      <c r="A21" s="3" t="str">
        <f>IF(C21="","",VLOOKUP(C21,Source_Plate!$A$2:$B$97,2,FALSE))</f>
        <v/>
      </c>
      <c r="B21" s="3" t="str">
        <f>IF(C21="","",'Plan+'!K21)</f>
        <v/>
      </c>
      <c r="C21" s="110" t="str">
        <f>IF('DNA_dilution+'!I21="","",'DNA_dilution+'!H21)</f>
        <v/>
      </c>
      <c r="D21" s="69" t="str">
        <f>IF(C21="","",'DNA_dilution+'!L21)</f>
        <v/>
      </c>
      <c r="E21" t="str">
        <f>Source_Plate!$E$1</f>
        <v>Content</v>
      </c>
    </row>
    <row r="22" spans="1:5" x14ac:dyDescent="0.25">
      <c r="A22" s="3" t="str">
        <f>IF(C22="","",VLOOKUP(C22,Source_Plate!$A$2:$B$97,2,FALSE))</f>
        <v/>
      </c>
      <c r="B22" s="3" t="str">
        <f>IF(C22="","",'Plan+'!K22)</f>
        <v/>
      </c>
      <c r="C22" s="110" t="str">
        <f>IF('DNA_dilution+'!I22="","",'DNA_dilution+'!H22)</f>
        <v/>
      </c>
      <c r="D22" s="69" t="str">
        <f>IF(C22="","",'DNA_dilution+'!L22)</f>
        <v/>
      </c>
      <c r="E22" t="str">
        <f>Source_Plate!$E$1</f>
        <v>Content</v>
      </c>
    </row>
    <row r="23" spans="1:5" x14ac:dyDescent="0.25">
      <c r="A23" s="3" t="str">
        <f>IF(C23="","",VLOOKUP(C23,Source_Plate!$A$2:$B$97,2,FALSE))</f>
        <v/>
      </c>
      <c r="B23" s="3" t="str">
        <f>IF(C23="","",'Plan+'!K23)</f>
        <v/>
      </c>
      <c r="C23" s="110" t="str">
        <f>IF('DNA_dilution+'!I23="","",'DNA_dilution+'!H23)</f>
        <v/>
      </c>
      <c r="D23" s="69" t="str">
        <f>IF(C23="","",'DNA_dilution+'!L23)</f>
        <v/>
      </c>
      <c r="E23" t="str">
        <f>Source_Plate!$E$1</f>
        <v>Content</v>
      </c>
    </row>
    <row r="24" spans="1:5" x14ac:dyDescent="0.25">
      <c r="A24" s="3" t="str">
        <f>IF(C24="","",VLOOKUP(C24,Source_Plate!$A$2:$B$97,2,FALSE))</f>
        <v/>
      </c>
      <c r="B24" s="3" t="str">
        <f>IF(C24="","",'Plan+'!K24)</f>
        <v/>
      </c>
      <c r="C24" s="110" t="str">
        <f>IF('DNA_dilution+'!I24="","",'DNA_dilution+'!H24)</f>
        <v/>
      </c>
      <c r="D24" s="69" t="str">
        <f>IF(C24="","",'DNA_dilution+'!L24)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IF(C25="","",VLOOKUP(C25,Source_Plate!$A$2:$B$97,2,FALSE))</f>
        <v/>
      </c>
      <c r="B25" s="3" t="str">
        <f>IF(C25="","",'Plan+'!K25)</f>
        <v/>
      </c>
      <c r="C25" s="110" t="str">
        <f>IF('DNA_dilution+'!I25="","",'DNA_dilution+'!H25)</f>
        <v/>
      </c>
      <c r="D25" s="69" t="str">
        <f>IF(C25="","",'DNA_dilution+'!L25)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IF(C26="","",VLOOKUP(C26,Source_Plate!$A$2:$B$97,2,FALSE))</f>
        <v/>
      </c>
      <c r="B26" s="3" t="str">
        <f>IF(C26="","",'Plan+'!K26)</f>
        <v/>
      </c>
      <c r="C26" s="110" t="str">
        <f>IF('DNA_dilution+'!I26="","",'DNA_dilution+'!H26)</f>
        <v/>
      </c>
      <c r="D26" s="69" t="str">
        <f>IF(C26="","",'DNA_dilution+'!L26)</f>
        <v/>
      </c>
      <c r="E26" t="str">
        <f>Source_Plate!$E$1</f>
        <v>Content</v>
      </c>
    </row>
    <row r="27" spans="1:5" x14ac:dyDescent="0.25">
      <c r="A27" s="3" t="str">
        <f>IF(C27="","",VLOOKUP(C27,Source_Plate!$A$2:$B$97,2,FALSE))</f>
        <v/>
      </c>
      <c r="B27" s="3" t="str">
        <f>IF(C27="","",'Plan+'!K27)</f>
        <v/>
      </c>
      <c r="C27" s="110" t="str">
        <f>IF('DNA_dilution+'!I27="","",'DNA_dilution+'!H27)</f>
        <v/>
      </c>
      <c r="D27" s="69" t="str">
        <f>IF(C27="","",'DNA_dilution+'!L27)</f>
        <v/>
      </c>
      <c r="E27" t="str">
        <f>Source_Plate!$E$1</f>
        <v>Content</v>
      </c>
    </row>
    <row r="28" spans="1:5" x14ac:dyDescent="0.25">
      <c r="A28" s="3" t="str">
        <f>IF(C28="","",VLOOKUP(C28,Source_Plate!$A$2:$B$97,2,FALSE))</f>
        <v/>
      </c>
      <c r="B28" s="3" t="str">
        <f>IF(C28="","",'Plan+'!K28)</f>
        <v/>
      </c>
      <c r="C28" s="110" t="str">
        <f>IF('DNA_dilution+'!I28="","",'DNA_dilution+'!H28)</f>
        <v/>
      </c>
      <c r="D28" s="69" t="str">
        <f>IF(C28="","",'DNA_dilution+'!L28)</f>
        <v/>
      </c>
      <c r="E28" t="str">
        <f>Source_Plate!$E$1</f>
        <v>Content</v>
      </c>
    </row>
    <row r="29" spans="1:5" x14ac:dyDescent="0.25">
      <c r="A29" s="3" t="str">
        <f>IF(C29="","",VLOOKUP(C29,Source_Plate!$A$2:$B$97,2,FALSE))</f>
        <v/>
      </c>
      <c r="B29" s="3" t="str">
        <f>IF(C29="","",'Plan+'!K29)</f>
        <v/>
      </c>
      <c r="C29" s="110" t="str">
        <f>IF('DNA_dilution+'!I29="","",'DNA_dilution+'!H29)</f>
        <v/>
      </c>
      <c r="D29" s="69" t="str">
        <f>IF(C29="","",'DNA_dilution+'!L29)</f>
        <v/>
      </c>
      <c r="E29" t="str">
        <f>Source_Plate!$E$1</f>
        <v>Content</v>
      </c>
    </row>
    <row r="30" spans="1:5" x14ac:dyDescent="0.25">
      <c r="A30" s="3" t="str">
        <f>IF(C30="","",VLOOKUP(C30,Source_Plate!$A$2:$B$97,2,FALSE))</f>
        <v/>
      </c>
      <c r="B30" s="3" t="str">
        <f>IF(C30="","",'Plan+'!K30)</f>
        <v/>
      </c>
      <c r="C30" s="110" t="str">
        <f>IF('DNA_dilution+'!I30="","",'DNA_dilution+'!H30)</f>
        <v/>
      </c>
      <c r="D30" s="69" t="str">
        <f>IF(C30="","",'DNA_dilution+'!L30)</f>
        <v/>
      </c>
      <c r="E30" t="str">
        <f>Source_Plate!$E$1</f>
        <v>Content</v>
      </c>
    </row>
    <row r="31" spans="1:5" x14ac:dyDescent="0.25">
      <c r="A31" s="3" t="str">
        <f>IF(C31="","",VLOOKUP(C31,Source_Plate!$A$2:$B$97,2,FALSE))</f>
        <v/>
      </c>
      <c r="B31" s="3" t="str">
        <f>IF(C31="","",'Plan+'!K31)</f>
        <v/>
      </c>
      <c r="C31" s="110" t="str">
        <f>IF('DNA_dilution+'!I31="","",'DNA_dilution+'!H31)</f>
        <v/>
      </c>
      <c r="D31" s="69" t="str">
        <f>IF(C31="","",'DNA_dilution+'!L31)</f>
        <v/>
      </c>
      <c r="E31" t="str">
        <f>Source_Plate!$E$1</f>
        <v>Content</v>
      </c>
    </row>
    <row r="32" spans="1:5" x14ac:dyDescent="0.25">
      <c r="A32" s="3" t="str">
        <f>IF(C32="","",VLOOKUP(C32,Source_Plate!$A$2:$B$97,2,FALSE))</f>
        <v/>
      </c>
      <c r="B32" s="3" t="str">
        <f>IF(C32="","",'Plan+'!K32)</f>
        <v/>
      </c>
      <c r="C32" s="110" t="str">
        <f>IF('DNA_dilution+'!I32="","",'DNA_dilution+'!H32)</f>
        <v/>
      </c>
      <c r="D32" s="69" t="str">
        <f>IF(C32="","",'DNA_dilution+'!L32)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IF(C33="","",VLOOKUP(C33,Source_Plate!$A$2:$B$97,2,FALSE))</f>
        <v/>
      </c>
      <c r="B33" s="3" t="str">
        <f>IF(C33="","",'Plan+'!K33)</f>
        <v/>
      </c>
      <c r="C33" s="110" t="str">
        <f>IF('DNA_dilution+'!I33="","",'DNA_dilution+'!H33)</f>
        <v/>
      </c>
      <c r="D33" s="69" t="str">
        <f>IF(C33="","",'DNA_dilution+'!L33)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IF(C34="","",VLOOKUP(C34,Source_Plate!$A$2:$B$97,2,FALSE))</f>
        <v/>
      </c>
      <c r="B34" s="3" t="str">
        <f>IF(C34="","",'Plan+'!K34)</f>
        <v/>
      </c>
      <c r="C34" s="110" t="str">
        <f>IF('DNA_dilution+'!I34="","",'DNA_dilution+'!H34)</f>
        <v/>
      </c>
      <c r="D34" s="69" t="str">
        <f>IF(C34="","",'DNA_dilution+'!L34)</f>
        <v/>
      </c>
      <c r="E34" t="str">
        <f>Source_Plate!$E$1</f>
        <v>Content</v>
      </c>
    </row>
    <row r="35" spans="1:5" x14ac:dyDescent="0.25">
      <c r="A35" s="3" t="str">
        <f>IF(C35="","",VLOOKUP(C35,Source_Plate!$A$2:$B$97,2,FALSE))</f>
        <v/>
      </c>
      <c r="B35" s="3" t="str">
        <f>IF(C35="","",'Plan+'!K35)</f>
        <v/>
      </c>
      <c r="C35" s="110" t="str">
        <f>IF('DNA_dilution+'!I35="","",'DNA_dilution+'!H35)</f>
        <v/>
      </c>
      <c r="D35" s="69" t="str">
        <f>IF(C35="","",'DNA_dilution+'!L35)</f>
        <v/>
      </c>
      <c r="E35" t="str">
        <f>Source_Plate!$E$1</f>
        <v>Content</v>
      </c>
    </row>
    <row r="36" spans="1:5" x14ac:dyDescent="0.25">
      <c r="A36" s="3" t="str">
        <f>IF(C36="","",VLOOKUP(C36,Source_Plate!$A$2:$B$97,2,FALSE))</f>
        <v/>
      </c>
      <c r="B36" s="3" t="str">
        <f>IF(C36="","",'Plan+'!K36)</f>
        <v/>
      </c>
      <c r="C36" s="110" t="str">
        <f>IF('DNA_dilution+'!I36="","",'DNA_dilution+'!H36)</f>
        <v/>
      </c>
      <c r="D36" s="69" t="str">
        <f>IF(C36="","",'DNA_dilution+'!L36)</f>
        <v/>
      </c>
      <c r="E36" t="str">
        <f>Source_Plate!$E$1</f>
        <v>Content</v>
      </c>
    </row>
    <row r="37" spans="1:5" x14ac:dyDescent="0.25">
      <c r="A37" s="3" t="str">
        <f>IF(C37="","",VLOOKUP(C37,Source_Plate!$A$2:$B$97,2,FALSE))</f>
        <v/>
      </c>
      <c r="B37" s="3" t="str">
        <f>IF(C37="","",'Plan+'!K37)</f>
        <v/>
      </c>
      <c r="C37" s="110" t="str">
        <f>IF('DNA_dilution+'!I37="","",'DNA_dilution+'!H37)</f>
        <v/>
      </c>
      <c r="D37" s="69" t="str">
        <f>IF(C37="","",'DNA_dilution+'!L37)</f>
        <v/>
      </c>
      <c r="E37" t="str">
        <f>Source_Plate!$E$1</f>
        <v>Content</v>
      </c>
    </row>
    <row r="38" spans="1:5" x14ac:dyDescent="0.25">
      <c r="A38" s="3" t="str">
        <f>IF(C38="","",VLOOKUP(C38,Source_Plate!$A$2:$B$97,2,FALSE))</f>
        <v/>
      </c>
      <c r="B38" s="3" t="str">
        <f>IF(C38="","",'Plan+'!K38)</f>
        <v/>
      </c>
      <c r="C38" s="110" t="str">
        <f>IF('DNA_dilution+'!I38="","",'DNA_dilution+'!H38)</f>
        <v/>
      </c>
      <c r="D38" s="69" t="str">
        <f>IF(C38="","",'DNA_dilution+'!L38)</f>
        <v/>
      </c>
      <c r="E38" t="str">
        <f>Source_Plate!$E$1</f>
        <v>Content</v>
      </c>
    </row>
    <row r="39" spans="1:5" x14ac:dyDescent="0.25">
      <c r="A39" s="3" t="str">
        <f>IF(C39="","",VLOOKUP(C39,Source_Plate!$A$2:$B$97,2,FALSE))</f>
        <v/>
      </c>
      <c r="B39" s="3" t="str">
        <f>IF(C39="","",'Plan+'!K39)</f>
        <v/>
      </c>
      <c r="C39" s="110" t="str">
        <f>IF('DNA_dilution+'!I39="","",'DNA_dilution+'!H39)</f>
        <v/>
      </c>
      <c r="D39" s="69" t="str">
        <f>IF(C39="","",'DNA_dilution+'!L39)</f>
        <v/>
      </c>
      <c r="E39" t="str">
        <f>Source_Plate!$E$1</f>
        <v>Content</v>
      </c>
    </row>
    <row r="40" spans="1:5" x14ac:dyDescent="0.25">
      <c r="A40" s="3" t="str">
        <f>IF(C40="","",VLOOKUP(C40,Source_Plate!$A$2:$B$97,2,FALSE))</f>
        <v/>
      </c>
      <c r="B40" s="3" t="str">
        <f>IF(C40="","",'Plan+'!K40)</f>
        <v/>
      </c>
      <c r="C40" s="110" t="str">
        <f>IF('DNA_dilution+'!I40="","",'DNA_dilution+'!H40)</f>
        <v/>
      </c>
      <c r="D40" s="69" t="str">
        <f>IF(C40="","",'DNA_dilution+'!L40)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IF(C41="","",VLOOKUP(C41,Source_Plate!$A$2:$B$97,2,FALSE))</f>
        <v/>
      </c>
      <c r="B41" s="3" t="str">
        <f>IF(C41="","",'Plan+'!K41)</f>
        <v/>
      </c>
      <c r="C41" s="110" t="str">
        <f>IF('DNA_dilution+'!I41="","",'DNA_dilution+'!H41)</f>
        <v/>
      </c>
      <c r="D41" s="69" t="str">
        <f>IF(C41="","",'DNA_dilution+'!L41)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IF(C42="","",VLOOKUP(C42,Source_Plate!$A$2:$B$97,2,FALSE))</f>
        <v/>
      </c>
      <c r="B42" s="3" t="str">
        <f>IF(C42="","",'Plan+'!K42)</f>
        <v/>
      </c>
      <c r="C42" s="110" t="str">
        <f>IF('DNA_dilution+'!I42="","",'DNA_dilution+'!H42)</f>
        <v/>
      </c>
      <c r="D42" s="69" t="str">
        <f>IF(C42="","",'DNA_dilution+'!L42)</f>
        <v/>
      </c>
      <c r="E42" t="str">
        <f>Source_Plate!$E$1</f>
        <v>Content</v>
      </c>
    </row>
    <row r="43" spans="1:5" x14ac:dyDescent="0.25">
      <c r="A43" s="3" t="str">
        <f>IF(C43="","",VLOOKUP(C43,Source_Plate!$A$2:$B$97,2,FALSE))</f>
        <v/>
      </c>
      <c r="B43" s="3" t="str">
        <f>IF(C43="","",'Plan+'!K43)</f>
        <v/>
      </c>
      <c r="C43" s="110" t="str">
        <f>IF('DNA_dilution+'!I43="","",'DNA_dilution+'!H43)</f>
        <v/>
      </c>
      <c r="D43" s="69" t="str">
        <f>IF(C43="","",'DNA_dilution+'!L43)</f>
        <v/>
      </c>
      <c r="E43" t="str">
        <f>Source_Plate!$E$1</f>
        <v>Content</v>
      </c>
    </row>
    <row r="44" spans="1:5" x14ac:dyDescent="0.25">
      <c r="A44" s="3" t="str">
        <f>IF(C44="","",VLOOKUP(C44,Source_Plate!$A$2:$B$97,2,FALSE))</f>
        <v/>
      </c>
      <c r="B44" s="3" t="str">
        <f>IF(C44="","",'Plan+'!K44)</f>
        <v/>
      </c>
      <c r="C44" s="110" t="str">
        <f>IF('DNA_dilution+'!I44="","",'DNA_dilution+'!H44)</f>
        <v/>
      </c>
      <c r="D44" s="69" t="str">
        <f>IF(C44="","",'DNA_dilution+'!L44)</f>
        <v/>
      </c>
      <c r="E44" t="str">
        <f>Source_Plate!$E$1</f>
        <v>Content</v>
      </c>
    </row>
    <row r="45" spans="1:5" x14ac:dyDescent="0.25">
      <c r="A45" s="3" t="str">
        <f>IF(C45="","",VLOOKUP(C45,Source_Plate!$A$2:$B$97,2,FALSE))</f>
        <v/>
      </c>
      <c r="B45" s="3" t="str">
        <f>IF(C45="","",'Plan+'!K45)</f>
        <v/>
      </c>
      <c r="C45" s="110" t="str">
        <f>IF('DNA_dilution+'!I45="","",'DNA_dilution+'!H45)</f>
        <v/>
      </c>
      <c r="D45" s="69" t="str">
        <f>IF(C45="","",'DNA_dilution+'!L45)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IF(C46="","",VLOOKUP(C46,Source_Plate!$A$2:$B$97,2,FALSE))</f>
        <v/>
      </c>
      <c r="B46" s="3" t="str">
        <f>IF(C46="","",'Plan+'!K46)</f>
        <v/>
      </c>
      <c r="C46" s="110" t="str">
        <f>IF('DNA_dilution+'!I46="","",'DNA_dilution+'!H46)</f>
        <v/>
      </c>
      <c r="D46" s="69" t="str">
        <f>IF(C46="","",'DNA_dilution+'!L46)</f>
        <v/>
      </c>
      <c r="E46" t="str">
        <f>Source_Plate!$E$1</f>
        <v>Content</v>
      </c>
    </row>
    <row r="47" spans="1:5" x14ac:dyDescent="0.25">
      <c r="A47" s="3" t="str">
        <f>IF(C47="","",VLOOKUP(C47,Source_Plate!$A$2:$B$97,2,FALSE))</f>
        <v/>
      </c>
      <c r="B47" s="3" t="str">
        <f>IF(C47="","",'Plan+'!K47)</f>
        <v/>
      </c>
      <c r="C47" s="110" t="str">
        <f>IF('DNA_dilution+'!I47="","",'DNA_dilution+'!H47)</f>
        <v/>
      </c>
      <c r="D47" s="69" t="str">
        <f>IF(C47="","",'DNA_dilution+'!L47)</f>
        <v/>
      </c>
      <c r="E47" t="str">
        <f>Source_Plate!$E$1</f>
        <v>Content</v>
      </c>
    </row>
    <row r="48" spans="1:5" x14ac:dyDescent="0.25">
      <c r="A48" s="3" t="str">
        <f>IF(C48="","",VLOOKUP(C48,Source_Plate!$A$2:$B$97,2,FALSE))</f>
        <v/>
      </c>
      <c r="B48" s="3" t="str">
        <f>IF(C48="","",'Plan+'!K48)</f>
        <v/>
      </c>
      <c r="C48" s="110" t="str">
        <f>IF('DNA_dilution+'!I48="","",'DNA_dilution+'!H48)</f>
        <v/>
      </c>
      <c r="D48" s="69" t="str">
        <f>IF(C48="","",'DNA_dilution+'!L48)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IF(C49="","",VLOOKUP(C49,Source_Plate!$A$2:$B$97,2,FALSE))</f>
        <v/>
      </c>
      <c r="B49" s="3" t="str">
        <f>IF(C49="","",'Plan+'!K49)</f>
        <v/>
      </c>
      <c r="C49" s="110" t="str">
        <f>IF('DNA_dilution+'!I49="","",'DNA_dilution+'!H49)</f>
        <v/>
      </c>
      <c r="D49" s="69" t="str">
        <f>IF(C49="","",'DNA_dilution+'!L49)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IF(C50="","",VLOOKUP(C50,Source_Plate!$A$2:$B$97,2,FALSE))</f>
        <v/>
      </c>
      <c r="B50" s="3" t="str">
        <f>IF(C50="","",'Plan+'!K50)</f>
        <v/>
      </c>
      <c r="C50" s="110" t="str">
        <f>IF('DNA_dilution+'!I50="","",'DNA_dilution+'!H50)</f>
        <v/>
      </c>
      <c r="D50" s="69" t="str">
        <f>IF(C50="","",'DNA_dilution+'!L50)</f>
        <v/>
      </c>
      <c r="E50" t="str">
        <f>Source_Plate!$E$1</f>
        <v>Content</v>
      </c>
    </row>
    <row r="51" spans="1:5" x14ac:dyDescent="0.25">
      <c r="A51" s="3" t="str">
        <f>IF(C51="","",VLOOKUP(C51,Source_Plate!$A$2:$B$97,2,FALSE))</f>
        <v/>
      </c>
      <c r="B51" s="3" t="str">
        <f>IF(C51="","",'Plan+'!K51)</f>
        <v/>
      </c>
      <c r="C51" s="110" t="str">
        <f>IF('DNA_dilution+'!I51="","",'DNA_dilution+'!H51)</f>
        <v/>
      </c>
      <c r="D51" s="69" t="str">
        <f>IF(C51="","",'DNA_dilution+'!L51)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IF(C52="","",VLOOKUP(C52,Source_Plate!$A$2:$B$97,2,FALSE))</f>
        <v/>
      </c>
      <c r="B52" s="3" t="str">
        <f>IF(C52="","",'Plan+'!K52)</f>
        <v/>
      </c>
      <c r="C52" s="110" t="str">
        <f>IF('DNA_dilution+'!I52="","",'DNA_dilution+'!H52)</f>
        <v/>
      </c>
      <c r="D52" s="69" t="str">
        <f>IF(C52="","",'DNA_dilution+'!L52)</f>
        <v/>
      </c>
      <c r="E52" t="str">
        <f>Source_Plate!$E$1</f>
        <v>Content</v>
      </c>
    </row>
    <row r="53" spans="1:5" x14ac:dyDescent="0.25">
      <c r="A53" s="3" t="str">
        <f>IF(C53="","",VLOOKUP(C53,Source_Plate!$A$2:$B$97,2,FALSE))</f>
        <v/>
      </c>
      <c r="B53" s="3" t="str">
        <f>IF(C53="","",'Plan+'!K53)</f>
        <v/>
      </c>
      <c r="C53" s="110" t="str">
        <f>IF('DNA_dilution+'!I53="","",'DNA_dilution+'!H53)</f>
        <v/>
      </c>
      <c r="D53" s="69" t="str">
        <f>IF(C53="","",'DNA_dilution+'!L53)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IF(C54="","",VLOOKUP(C54,Source_Plate!$A$2:$B$97,2,FALSE))</f>
        <v/>
      </c>
      <c r="B54" s="3" t="str">
        <f>IF(C54="","",'Plan+'!K54)</f>
        <v/>
      </c>
      <c r="C54" s="110" t="str">
        <f>IF('DNA_dilution+'!I54="","",'DNA_dilution+'!H54)</f>
        <v/>
      </c>
      <c r="D54" s="69" t="str">
        <f>IF(C54="","",'DNA_dilution+'!L54)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IF(C55="","",VLOOKUP(C55,Source_Plate!$A$2:$B$97,2,FALSE))</f>
        <v/>
      </c>
      <c r="B55" s="3" t="str">
        <f>IF(C55="","",'Plan+'!K55)</f>
        <v/>
      </c>
      <c r="C55" s="110" t="str">
        <f>IF('DNA_dilution+'!I55="","",'DNA_dilution+'!H55)</f>
        <v/>
      </c>
      <c r="D55" s="69" t="str">
        <f>IF(C55="","",'DNA_dilution+'!L55)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IF(C56="","",VLOOKUP(C56,Source_Plate!$A$2:$B$97,2,FALSE))</f>
        <v/>
      </c>
      <c r="B56" s="3" t="str">
        <f>IF(C56="","",'Plan+'!K56)</f>
        <v/>
      </c>
      <c r="C56" s="110" t="str">
        <f>IF('DNA_dilution+'!I56="","",'DNA_dilution+'!H56)</f>
        <v/>
      </c>
      <c r="D56" s="69" t="str">
        <f>IF(C56="","",'DNA_dilution+'!L56)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IF(C57="","",VLOOKUP(C57,Source_Plate!$A$2:$B$97,2,FALSE))</f>
        <v/>
      </c>
      <c r="B57" s="3" t="str">
        <f>IF(C57="","",'Plan+'!K57)</f>
        <v/>
      </c>
      <c r="C57" s="110" t="str">
        <f>IF('DNA_dilution+'!I57="","",'DNA_dilution+'!H57)</f>
        <v/>
      </c>
      <c r="D57" s="69" t="str">
        <f>IF(C57="","",'DNA_dilution+'!L57)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IF(C58="","",VLOOKUP(C58,Source_Plate!$A$2:$B$97,2,FALSE))</f>
        <v/>
      </c>
      <c r="B58" s="3" t="str">
        <f>IF(C58="","",'Plan+'!K58)</f>
        <v/>
      </c>
      <c r="C58" s="110" t="str">
        <f>IF('DNA_dilution+'!I58="","",'DNA_dilution+'!H58)</f>
        <v/>
      </c>
      <c r="D58" s="69" t="str">
        <f>IF(C58="","",'DNA_dilution+'!L58)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IF(C59="","",VLOOKUP(C59,Source_Plate!$A$2:$B$97,2,FALSE))</f>
        <v/>
      </c>
      <c r="B59" s="3" t="str">
        <f>IF(C59="","",'Plan+'!K59)</f>
        <v/>
      </c>
      <c r="C59" s="110" t="str">
        <f>IF('DNA_dilution+'!I59="","",'DNA_dilution+'!H59)</f>
        <v/>
      </c>
      <c r="D59" s="69" t="str">
        <f>IF(C59="","",'DNA_dilution+'!L59)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IF(C60="","",VLOOKUP(C60,Source_Plate!$A$2:$B$97,2,FALSE))</f>
        <v/>
      </c>
      <c r="B60" s="3" t="str">
        <f>IF(C60="","",'Plan+'!K60)</f>
        <v/>
      </c>
      <c r="C60" s="110" t="str">
        <f>IF('DNA_dilution+'!I60="","",'DNA_dilution+'!H60)</f>
        <v/>
      </c>
      <c r="D60" s="69" t="str">
        <f>IF(C60="","",'DNA_dilution+'!L60)</f>
        <v/>
      </c>
      <c r="E60" t="str">
        <f>Source_Plate!$E$1</f>
        <v>Content</v>
      </c>
    </row>
    <row r="61" spans="1:5" x14ac:dyDescent="0.25">
      <c r="A61" s="3" t="str">
        <f>IF(C61="","",VLOOKUP(C61,Source_Plate!$A$2:$B$97,2,FALSE))</f>
        <v/>
      </c>
      <c r="B61" s="3" t="str">
        <f>IF(C61="","",'Plan+'!K61)</f>
        <v/>
      </c>
      <c r="C61" s="110" t="str">
        <f>IF('DNA_dilution+'!I61="","",'DNA_dilution+'!H61)</f>
        <v/>
      </c>
      <c r="D61" s="69" t="str">
        <f>IF(C61="","",'DNA_dilution+'!L61)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IF(C62="","",VLOOKUP(C62,Source_Plate!$A$2:$B$97,2,FALSE))</f>
        <v/>
      </c>
      <c r="B62" s="3" t="str">
        <f>IF(C62="","",'Plan+'!K62)</f>
        <v/>
      </c>
      <c r="C62" s="110" t="str">
        <f>IF('DNA_dilution+'!I62="","",'DNA_dilution+'!H62)</f>
        <v/>
      </c>
      <c r="D62" s="69" t="str">
        <f>IF(C62="","",'DNA_dilution+'!L62)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IF(C63="","",VLOOKUP(C63,Source_Plate!$A$2:$B$97,2,FALSE))</f>
        <v/>
      </c>
      <c r="B63" s="3" t="str">
        <f>IF(C63="","",'Plan+'!K63)</f>
        <v/>
      </c>
      <c r="C63" s="110" t="str">
        <f>IF('DNA_dilution+'!I63="","",'DNA_dilution+'!H63)</f>
        <v/>
      </c>
      <c r="D63" s="69" t="str">
        <f>IF(C63="","",'DNA_dilution+'!L63)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IF(C64="","",VLOOKUP(C64,Source_Plate!$A$2:$B$97,2,FALSE))</f>
        <v/>
      </c>
      <c r="B64" s="3" t="str">
        <f>IF(C64="","",'Plan+'!K64)</f>
        <v/>
      </c>
      <c r="C64" s="110" t="str">
        <f>IF('DNA_dilution+'!I64="","",'DNA_dilution+'!H64)</f>
        <v/>
      </c>
      <c r="D64" s="69" t="str">
        <f>IF(C64="","",'DNA_dilution+'!L64)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IF(C65="","",VLOOKUP(C65,Source_Plate!$A$2:$B$97,2,FALSE))</f>
        <v/>
      </c>
      <c r="B65" s="3" t="str">
        <f>IF(C65="","",'Plan+'!K65)</f>
        <v/>
      </c>
      <c r="C65" s="110" t="str">
        <f>IF('DNA_dilution+'!I65="","",'DNA_dilution+'!H65)</f>
        <v/>
      </c>
      <c r="D65" s="69" t="str">
        <f>IF(C65="","",'DNA_dilution+'!L65)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IF(C66="","",VLOOKUP(C66,Source_Plate!$A$2:$B$97,2,FALSE))</f>
        <v/>
      </c>
      <c r="B66" s="3" t="str">
        <f>IF(C66="","",'Plan+'!K66)</f>
        <v/>
      </c>
      <c r="C66" s="110" t="str">
        <f>IF('DNA_dilution+'!I66="","",'DNA_dilution+'!H66)</f>
        <v/>
      </c>
      <c r="D66" s="69" t="str">
        <f>IF(C66="","",'DNA_dilution+'!L66)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IF(C67="","",VLOOKUP(C67,Source_Plate!$A$2:$B$97,2,FALSE))</f>
        <v/>
      </c>
      <c r="B67" s="3" t="str">
        <f>IF(C67="","",'Plan+'!K67)</f>
        <v/>
      </c>
      <c r="C67" s="110" t="str">
        <f>IF('DNA_dilution+'!I67="","",'DNA_dilution+'!H67)</f>
        <v/>
      </c>
      <c r="D67" s="69" t="str">
        <f>IF(C67="","",'DNA_dilution+'!L67)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IF(C68="","",VLOOKUP(C68,Source_Plate!$A$2:$B$97,2,FALSE))</f>
        <v/>
      </c>
      <c r="B68" s="3" t="str">
        <f>IF(C68="","",'Plan+'!K68)</f>
        <v/>
      </c>
      <c r="C68" s="110" t="str">
        <f>IF('DNA_dilution+'!I68="","",'DNA_dilution+'!H68)</f>
        <v/>
      </c>
      <c r="D68" s="69" t="str">
        <f>IF(C68="","",'DNA_dilution+'!L68)</f>
        <v/>
      </c>
      <c r="E68" t="str">
        <f>Source_Plate!$E$1</f>
        <v>Content</v>
      </c>
    </row>
    <row r="69" spans="1:5" x14ac:dyDescent="0.25">
      <c r="A69" s="3" t="str">
        <f>IF(C69="","",VLOOKUP(C69,Source_Plate!$A$2:$B$97,2,FALSE))</f>
        <v/>
      </c>
      <c r="B69" s="3" t="str">
        <f>IF(C69="","",'Plan+'!K69)</f>
        <v/>
      </c>
      <c r="C69" s="110" t="str">
        <f>IF('DNA_dilution+'!I69="","",'DNA_dilution+'!H69)</f>
        <v/>
      </c>
      <c r="D69" s="69" t="str">
        <f>IF(C69="","",'DNA_dilution+'!L69)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IF(C70="","",VLOOKUP(C70,Source_Plate!$A$2:$B$97,2,FALSE))</f>
        <v/>
      </c>
      <c r="B70" s="3" t="str">
        <f>IF(C70="","",'Plan+'!K70)</f>
        <v/>
      </c>
      <c r="C70" s="110" t="str">
        <f>IF('DNA_dilution+'!I70="","",'DNA_dilution+'!H70)</f>
        <v/>
      </c>
      <c r="D70" s="69" t="str">
        <f>IF(C70="","",'DNA_dilution+'!L70)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IF(C71="","",VLOOKUP(C71,Source_Plate!$A$2:$B$97,2,FALSE))</f>
        <v/>
      </c>
      <c r="B71" s="3" t="str">
        <f>IF(C71="","",'Plan+'!K71)</f>
        <v/>
      </c>
      <c r="C71" s="110" t="str">
        <f>IF('DNA_dilution+'!I71="","",'DNA_dilution+'!H71)</f>
        <v/>
      </c>
      <c r="D71" s="69" t="str">
        <f>IF(C71="","",'DNA_dilution+'!L71)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IF(C72="","",VLOOKUP(C72,Source_Plate!$A$2:$B$97,2,FALSE))</f>
        <v/>
      </c>
      <c r="B72" s="3" t="str">
        <f>IF(C72="","",'Plan+'!K72)</f>
        <v/>
      </c>
      <c r="C72" s="110" t="str">
        <f>IF('DNA_dilution+'!I72="","",'DNA_dilution+'!H72)</f>
        <v/>
      </c>
      <c r="D72" s="69" t="str">
        <f>IF(C72="","",'DNA_dilution+'!L72)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IF(C73="","",VLOOKUP(C73,Source_Plate!$A$2:$B$97,2,FALSE))</f>
        <v/>
      </c>
      <c r="B73" s="3" t="str">
        <f>IF(C73="","",'Plan+'!K73)</f>
        <v/>
      </c>
      <c r="C73" s="110" t="str">
        <f>IF('DNA_dilution+'!I73="","",'DNA_dilution+'!H73)</f>
        <v/>
      </c>
      <c r="D73" s="69" t="str">
        <f>IF(C73="","",'DNA_dilution+'!L73)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IF(C74="","",VLOOKUP(C74,Source_Plate!$A$2:$B$97,2,FALSE))</f>
        <v/>
      </c>
      <c r="B74" s="3" t="str">
        <f>IF(C74="","",'Plan+'!K74)</f>
        <v/>
      </c>
      <c r="C74" s="110" t="str">
        <f>IF('DNA_dilution+'!I74="","",'DNA_dilution+'!H74)</f>
        <v/>
      </c>
      <c r="D74" s="69" t="str">
        <f>IF(C74="","",'DNA_dilution+'!L74)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IF(C75="","",VLOOKUP(C75,Source_Plate!$A$2:$B$97,2,FALSE))</f>
        <v/>
      </c>
      <c r="B75" s="3" t="str">
        <f>IF(C75="","",'Plan+'!K75)</f>
        <v/>
      </c>
      <c r="C75" s="110" t="str">
        <f>IF('DNA_dilution+'!I75="","",'DNA_dilution+'!H75)</f>
        <v/>
      </c>
      <c r="D75" s="69" t="str">
        <f>IF(C75="","",'DNA_dilution+'!L75)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IF(C76="","",VLOOKUP(C76,Source_Plate!$A$2:$B$97,2,FALSE))</f>
        <v/>
      </c>
      <c r="B76" s="3" t="str">
        <f>IF(C76="","",'Plan+'!K76)</f>
        <v/>
      </c>
      <c r="C76" s="110" t="str">
        <f>IF('DNA_dilution+'!I76="","",'DNA_dilution+'!H76)</f>
        <v/>
      </c>
      <c r="D76" s="69" t="str">
        <f>IF(C76="","",'DNA_dilution+'!L76)</f>
        <v/>
      </c>
      <c r="E76" t="str">
        <f>Source_Plate!$E$1</f>
        <v>Content</v>
      </c>
    </row>
    <row r="77" spans="1:5" x14ac:dyDescent="0.25">
      <c r="A77" s="3" t="str">
        <f>IF(C77="","",VLOOKUP(C77,Source_Plate!$A$2:$B$97,2,FALSE))</f>
        <v/>
      </c>
      <c r="B77" s="3" t="str">
        <f>IF(C77="","",'Plan+'!K77)</f>
        <v/>
      </c>
      <c r="C77" s="110" t="str">
        <f>IF('DNA_dilution+'!I77="","",'DNA_dilution+'!H77)</f>
        <v/>
      </c>
      <c r="D77" s="69" t="str">
        <f>IF(C77="","",'DNA_dilution+'!L77)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IF(C78="","",VLOOKUP(C78,Source_Plate!$A$2:$B$97,2,FALSE))</f>
        <v/>
      </c>
      <c r="B78" s="3" t="str">
        <f>IF(C78="","",'Plan+'!K78)</f>
        <v/>
      </c>
      <c r="C78" s="110" t="str">
        <f>IF('DNA_dilution+'!I78="","",'DNA_dilution+'!H78)</f>
        <v/>
      </c>
      <c r="D78" s="69" t="str">
        <f>IF(C78="","",'DNA_dilution+'!L78)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IF(C79="","",VLOOKUP(C79,Source_Plate!$A$2:$B$97,2,FALSE))</f>
        <v/>
      </c>
      <c r="B79" s="3" t="str">
        <f>IF(C79="","",'Plan+'!K79)</f>
        <v/>
      </c>
      <c r="C79" s="110" t="str">
        <f>IF('DNA_dilution+'!I79="","",'DNA_dilution+'!H79)</f>
        <v/>
      </c>
      <c r="D79" s="69" t="str">
        <f>IF(C79="","",'DNA_dilution+'!L79)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IF(C80="","",VLOOKUP(C80,Source_Plate!$A$2:$B$97,2,FALSE))</f>
        <v/>
      </c>
      <c r="B80" s="3" t="str">
        <f>IF(C80="","",'Plan+'!K80)</f>
        <v/>
      </c>
      <c r="C80" s="110" t="str">
        <f>IF('DNA_dilution+'!I80="","",'DNA_dilution+'!H80)</f>
        <v/>
      </c>
      <c r="D80" s="69" t="str">
        <f>IF(C80="","",'DNA_dilution+'!L80)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IF(C81="","",VLOOKUP(C81,Source_Plate!$A$2:$B$97,2,FALSE))</f>
        <v/>
      </c>
      <c r="B81" s="3" t="str">
        <f>IF(C81="","",'Plan+'!K81)</f>
        <v/>
      </c>
      <c r="C81" s="110" t="str">
        <f>IF('DNA_dilution+'!I81="","",'DNA_dilution+'!H81)</f>
        <v/>
      </c>
      <c r="D81" s="69" t="str">
        <f>IF(C81="","",'DNA_dilution+'!L81)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IF(C82="","",VLOOKUP(C82,Source_Plate!$A$2:$B$97,2,FALSE))</f>
        <v/>
      </c>
      <c r="B82" s="3" t="str">
        <f>IF(C82="","",'Plan+'!K82)</f>
        <v/>
      </c>
      <c r="C82" s="110" t="str">
        <f>IF('DNA_dilution+'!I82="","",'DNA_dilution+'!H82)</f>
        <v/>
      </c>
      <c r="D82" s="69" t="str">
        <f>IF(C82="","",'DNA_dilution+'!L82)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IF(C83="","",VLOOKUP(C83,Source_Plate!$A$2:$B$97,2,FALSE))</f>
        <v/>
      </c>
      <c r="B83" s="3" t="str">
        <f>IF(C83="","",'Plan+'!K83)</f>
        <v/>
      </c>
      <c r="C83" s="110" t="str">
        <f>IF('DNA_dilution+'!I83="","",'DNA_dilution+'!H83)</f>
        <v/>
      </c>
      <c r="D83" s="69" t="str">
        <f>IF(C83="","",'DNA_dilution+'!L83)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IF(C84="","",VLOOKUP(C84,Source_Plate!$A$2:$B$97,2,FALSE))</f>
        <v/>
      </c>
      <c r="B84" s="3" t="str">
        <f>IF(C84="","",'Plan+'!K84)</f>
        <v/>
      </c>
      <c r="C84" s="110" t="str">
        <f>IF('DNA_dilution+'!I84="","",'DNA_dilution+'!H84)</f>
        <v/>
      </c>
      <c r="D84" s="69" t="str">
        <f>IF(C84="","",'DNA_dilution+'!L84)</f>
        <v/>
      </c>
      <c r="E84" t="str">
        <f>Source_Plate!$E$1</f>
        <v>Content</v>
      </c>
    </row>
    <row r="85" spans="1:5" x14ac:dyDescent="0.25">
      <c r="A85" s="3" t="str">
        <f>IF(C85="","",VLOOKUP(C85,Source_Plate!$A$2:$B$97,2,FALSE))</f>
        <v/>
      </c>
      <c r="B85" s="3" t="str">
        <f>IF(C85="","",'Plan+'!K85)</f>
        <v/>
      </c>
      <c r="C85" s="110" t="str">
        <f>IF('DNA_dilution+'!I85="","",'DNA_dilution+'!H85)</f>
        <v/>
      </c>
      <c r="D85" s="69" t="str">
        <f>IF(C85="","",'DNA_dilution+'!L85)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IF(C86="","",VLOOKUP(C86,Source_Plate!$A$2:$B$97,2,FALSE))</f>
        <v/>
      </c>
      <c r="B86" s="3" t="str">
        <f>IF(C86="","",'Plan+'!K86)</f>
        <v/>
      </c>
      <c r="C86" s="110" t="str">
        <f>IF('DNA_dilution+'!I86="","",'DNA_dilution+'!H86)</f>
        <v/>
      </c>
      <c r="D86" s="69" t="str">
        <f>IF(C86="","",'DNA_dilution+'!L86)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IF(C87="","",VLOOKUP(C87,Source_Plate!$A$2:$B$97,2,FALSE))</f>
        <v/>
      </c>
      <c r="B87" s="3" t="str">
        <f>IF(C87="","",'Plan+'!K87)</f>
        <v/>
      </c>
      <c r="C87" s="110" t="str">
        <f>IF('DNA_dilution+'!I87="","",'DNA_dilution+'!H87)</f>
        <v/>
      </c>
      <c r="D87" s="69" t="str">
        <f>IF(C87="","",'DNA_dilution+'!L87)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IF(C88="","",VLOOKUP(C88,Source_Plate!$A$2:$B$97,2,FALSE))</f>
        <v/>
      </c>
      <c r="B88" s="3" t="str">
        <f>IF(C88="","",'Plan+'!K88)</f>
        <v/>
      </c>
      <c r="C88" s="110" t="str">
        <f>IF('DNA_dilution+'!I88="","",'DNA_dilution+'!H88)</f>
        <v/>
      </c>
      <c r="D88" s="69" t="str">
        <f>IF(C88="","",'DNA_dilution+'!L88)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IF(C89="","",VLOOKUP(C89,Source_Plate!$A$2:$B$97,2,FALSE))</f>
        <v/>
      </c>
      <c r="B89" s="3" t="str">
        <f>IF(C89="","",'Plan+'!K89)</f>
        <v/>
      </c>
      <c r="C89" s="110" t="str">
        <f>IF('DNA_dilution+'!I89="","",'DNA_dilution+'!H89)</f>
        <v/>
      </c>
      <c r="D89" s="69" t="str">
        <f>IF(C89="","",'DNA_dilution+'!L89)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IF(C90="","",VLOOKUP(C90,Source_Plate!$A$2:$B$97,2,FALSE))</f>
        <v/>
      </c>
      <c r="B90" s="3" t="str">
        <f>IF(C90="","",'Plan+'!K90)</f>
        <v/>
      </c>
      <c r="C90" s="110" t="str">
        <f>IF('DNA_dilution+'!I90="","",'DNA_dilution+'!H90)</f>
        <v/>
      </c>
      <c r="D90" s="69" t="str">
        <f>IF(C90="","",'DNA_dilution+'!L90)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IF(C91="","",VLOOKUP(C91,Source_Plate!$A$2:$B$97,2,FALSE))</f>
        <v/>
      </c>
      <c r="B91" s="3" t="str">
        <f>IF(C91="","",'Plan+'!K91)</f>
        <v/>
      </c>
      <c r="C91" s="110" t="str">
        <f>IF('DNA_dilution+'!I91="","",'DNA_dilution+'!H91)</f>
        <v/>
      </c>
      <c r="D91" s="69" t="str">
        <f>IF(C91="","",'DNA_dilution+'!L91)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IF(C92="","",VLOOKUP(C92,Source_Plate!$A$2:$B$97,2,FALSE))</f>
        <v/>
      </c>
      <c r="B92" s="3" t="str">
        <f>IF(C92="","",'Plan+'!K92)</f>
        <v/>
      </c>
      <c r="C92" s="110" t="str">
        <f>IF('DNA_dilution+'!I92="","",'DNA_dilution+'!H92)</f>
        <v/>
      </c>
      <c r="D92" s="69" t="str">
        <f>IF(C92="","",'DNA_dilution+'!L92)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IF(C93="","",VLOOKUP(C93,Source_Plate!$A$2:$B$97,2,FALSE))</f>
        <v/>
      </c>
      <c r="B93" s="3" t="str">
        <f>IF(C93="","",'Plan+'!K93)</f>
        <v/>
      </c>
      <c r="C93" s="110" t="str">
        <f>IF('DNA_dilution+'!I93="","",'DNA_dilution+'!H93)</f>
        <v/>
      </c>
      <c r="D93" s="69" t="str">
        <f>IF(C93="","",'DNA_dilution+'!L93)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IF(C94="","",VLOOKUP(C94,Source_Plate!$A$2:$B$97,2,FALSE))</f>
        <v/>
      </c>
      <c r="B94" s="3" t="str">
        <f>IF(C94="","",'Plan+'!K94)</f>
        <v/>
      </c>
      <c r="C94" s="110" t="str">
        <f>IF('DNA_dilution+'!I94="","",'DNA_dilution+'!H94)</f>
        <v/>
      </c>
      <c r="D94" s="69" t="str">
        <f>IF(C94="","",'DNA_dilution+'!L94)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IF(C95="","",VLOOKUP(C95,Source_Plate!$A$2:$B$97,2,FALSE))</f>
        <v/>
      </c>
      <c r="B95" s="3" t="str">
        <f>IF(C95="","",'Plan+'!K95)</f>
        <v/>
      </c>
      <c r="C95" s="110" t="str">
        <f>IF('DNA_dilution+'!I95="","",'DNA_dilution+'!H95)</f>
        <v/>
      </c>
      <c r="D95" s="69" t="str">
        <f>IF(C95="","",'DNA_dilution+'!L95)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IF(C96="","",VLOOKUP(C96,Source_Plate!$A$2:$B$97,2,FALSE))</f>
        <v/>
      </c>
      <c r="B96" s="3" t="str">
        <f>IF(C96="","",'Plan+'!K96)</f>
        <v/>
      </c>
      <c r="C96" s="110" t="str">
        <f>IF('DNA_dilution+'!I96="","",'DNA_dilution+'!H96)</f>
        <v/>
      </c>
      <c r="D96" s="69" t="str">
        <f>IF(C96="","",'DNA_dilution+'!L96)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IF(C97="","",VLOOKUP(C97,Source_Plate!$A$2:$B$97,2,FALSE))</f>
        <v/>
      </c>
      <c r="B97" s="3" t="str">
        <f>IF(C97="","",'Plan+'!K97)</f>
        <v/>
      </c>
      <c r="C97" s="110" t="str">
        <f>IF('DNA_dilution+'!I97="","",'DNA_dilution+'!H97)</f>
        <v/>
      </c>
      <c r="D97" s="69" t="str">
        <f>IF(C97="","",'DNA_dilution+'!L97)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IF(C98="","",VLOOKUP(C98,Source_Plate!$A$2:$B$97,2,FALSE))</f>
        <v/>
      </c>
      <c r="B98" s="3" t="str">
        <f>IF(C98="","",'Plan+'!#REF!)</f>
        <v/>
      </c>
      <c r="C98" s="110" t="str">
        <f>IF('DNA_dilution+'!I98="","",'DNA_dilution+'!H98)</f>
        <v/>
      </c>
      <c r="D98" s="69" t="str">
        <f>IF(C98="","",'DNA_dilution+'!L98)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IF(C99="","",VLOOKUP(C99,Source_Plate!$A$2:$B$97,2,FALSE))</f>
        <v/>
      </c>
      <c r="B99" s="3" t="str">
        <f>IF(C99="","",'Plan+'!#REF!)</f>
        <v/>
      </c>
      <c r="C99" s="110" t="str">
        <f>IF('DNA_dilution+'!I99="","",'DNA_dilution+'!H99)</f>
        <v/>
      </c>
      <c r="D99" s="69" t="str">
        <f>IF(C99="","",'DNA_dilution+'!L99)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IF(C100="","",VLOOKUP(C100,Source_Plate!$A$2:$B$97,2,FALSE))</f>
        <v/>
      </c>
      <c r="B100" s="3" t="str">
        <f>IF(C100="","",'Plan+'!#REF!)</f>
        <v/>
      </c>
      <c r="C100" s="110" t="str">
        <f>IF('DNA_dilution+'!I100="","",'DNA_dilution+'!H100)</f>
        <v/>
      </c>
      <c r="D100" s="69" t="str">
        <f>IF(C100="","",'DNA_dilution+'!L100)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IF(C101="","",VLOOKUP(C101,Source_Plate!$A$2:$B$97,2,FALSE))</f>
        <v/>
      </c>
      <c r="B101" s="3" t="str">
        <f>IF(C101="","",'Plan+'!#REF!)</f>
        <v/>
      </c>
      <c r="C101" s="110" t="str">
        <f>IF('DNA_dilution+'!I101="","",'DNA_dilution+'!H101)</f>
        <v/>
      </c>
      <c r="D101" s="69" t="str">
        <f>IF(C101="","",'DNA_dilution+'!L101)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IF(C102="","",VLOOKUP(C102,Source_Plate!$A$2:$B$97,2,FALSE))</f>
        <v/>
      </c>
      <c r="B102" s="3" t="str">
        <f>IF(C102="","",'Plan+'!#REF!)</f>
        <v/>
      </c>
      <c r="C102" s="110" t="str">
        <f>IF('DNA_dilution+'!I102="","",'DNA_dilution+'!H102)</f>
        <v/>
      </c>
      <c r="D102" s="69" t="str">
        <f>IF(C102="","",'DNA_dilution+'!L102)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IF(C103="","",VLOOKUP(C103,Source_Plate!$A$2:$B$97,2,FALSE))</f>
        <v/>
      </c>
      <c r="B103" s="3" t="str">
        <f>IF(C103="","",'Plan+'!#REF!)</f>
        <v/>
      </c>
      <c r="C103" s="110" t="str">
        <f>IF('DNA_dilution+'!I103="","",'DNA_dilution+'!H103)</f>
        <v/>
      </c>
      <c r="D103" s="69" t="str">
        <f>IF(C103="","",'DNA_dilution+'!L103)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IF(C104="","",VLOOKUP(C104,Source_Plate!$A$2:$B$97,2,FALSE))</f>
        <v/>
      </c>
      <c r="B104" s="3" t="str">
        <f>IF(C104="","",'Plan+'!#REF!)</f>
        <v/>
      </c>
      <c r="C104" s="110" t="str">
        <f>IF('DNA_dilution+'!I104="","",'DNA_dilution+'!H104)</f>
        <v/>
      </c>
      <c r="D104" s="69" t="str">
        <f>IF(C104="","",'DNA_dilution+'!L104)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IF(C105="","",VLOOKUP(C105,Source_Plate!$A$2:$B$97,2,FALSE))</f>
        <v/>
      </c>
      <c r="B105" s="3" t="str">
        <f>IF(C105="","",'Plan+'!#REF!)</f>
        <v/>
      </c>
      <c r="C105" s="110" t="str">
        <f>IF('DNA_dilution+'!I105="","",'DNA_dilution+'!H105)</f>
        <v/>
      </c>
      <c r="D105" s="69" t="str">
        <f>IF(C105="","",'DNA_dilution+'!L105)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IF(C106="","",VLOOKUP(C106,Source_Plate!$A$2:$B$97,2,FALSE))</f>
        <v/>
      </c>
      <c r="B106" s="3" t="str">
        <f>IF(C106="","",'Plan+'!#REF!)</f>
        <v/>
      </c>
      <c r="C106" s="110" t="str">
        <f>IF('DNA_dilution+'!I106="","",'DNA_dilution+'!H106)</f>
        <v/>
      </c>
      <c r="D106" s="69" t="str">
        <f>IF(C106="","",'DNA_dilution+'!L106)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IF(C107="","",VLOOKUP(C107,Source_Plate!$A$2:$B$97,2,FALSE))</f>
        <v/>
      </c>
      <c r="B107" s="3" t="str">
        <f>IF(C107="","",'Plan+'!#REF!)</f>
        <v/>
      </c>
      <c r="C107" s="110" t="str">
        <f>IF('DNA_dilution+'!I107="","",'DNA_dilution+'!H107)</f>
        <v/>
      </c>
      <c r="D107" s="69" t="str">
        <f>IF(C107="","",'DNA_dilution+'!L107)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IF(C108="","",VLOOKUP(C108,Source_Plate!$A$2:$B$97,2,FALSE))</f>
        <v/>
      </c>
      <c r="B108" s="3" t="str">
        <f>IF(C108="","",'Plan+'!#REF!)</f>
        <v/>
      </c>
      <c r="C108" s="110" t="str">
        <f>IF('DNA_dilution+'!I108="","",'DNA_dilution+'!H108)</f>
        <v/>
      </c>
      <c r="D108" s="69" t="str">
        <f>IF(C108="","",'DNA_dilution+'!L108)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IF(C109="","",VLOOKUP(C109,Source_Plate!$A$2:$B$97,2,FALSE))</f>
        <v/>
      </c>
      <c r="B109" s="3" t="str">
        <f>IF(C109="","",'Plan+'!#REF!)</f>
        <v/>
      </c>
      <c r="C109" s="110" t="str">
        <f>IF('DNA_dilution+'!I109="","",'DNA_dilution+'!H109)</f>
        <v/>
      </c>
      <c r="D109" s="69" t="str">
        <f>IF(C109="","",'DNA_dilution+'!L109)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IF(C110="","",VLOOKUP(C110,Source_Plate!$A$2:$B$97,2,FALSE))</f>
        <v/>
      </c>
      <c r="B110" s="3" t="str">
        <f>IF(C110="","",'Plan+'!#REF!)</f>
        <v/>
      </c>
      <c r="C110" s="110" t="str">
        <f>IF('DNA_dilution+'!I110="","",'DNA_dilution+'!H110)</f>
        <v/>
      </c>
      <c r="D110" s="69" t="str">
        <f>IF(C110="","",'DNA_dilution+'!L110)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IF(C111="","",VLOOKUP(C111,Source_Plate!$A$2:$B$97,2,FALSE))</f>
        <v/>
      </c>
      <c r="B111" s="3" t="str">
        <f>IF(C111="","",'Plan+'!#REF!)</f>
        <v/>
      </c>
      <c r="C111" s="110" t="str">
        <f>IF('DNA_dilution+'!I111="","",'DNA_dilution+'!H111)</f>
        <v/>
      </c>
      <c r="D111" s="69" t="str">
        <f>IF(C111="","",'DNA_dilution+'!L111)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IF(C112="","",VLOOKUP(C112,Source_Plate!$A$2:$B$97,2,FALSE))</f>
        <v/>
      </c>
      <c r="B112" s="3" t="str">
        <f>IF(C112="","",'Plan+'!#REF!)</f>
        <v/>
      </c>
      <c r="C112" s="110" t="str">
        <f>IF('DNA_dilution+'!I112="","",'DNA_dilution+'!H112)</f>
        <v/>
      </c>
      <c r="D112" s="69" t="str">
        <f>IF(C112="","",'DNA_dilution+'!L112)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IF(C113="","",VLOOKUP(C113,Source_Plate!$A$2:$B$97,2,FALSE))</f>
        <v/>
      </c>
      <c r="B113" s="3" t="str">
        <f>IF(C113="","",'Plan+'!#REF!)</f>
        <v/>
      </c>
      <c r="C113" s="110" t="str">
        <f>IF('DNA_dilution+'!I113="","",'DNA_dilution+'!H113)</f>
        <v/>
      </c>
      <c r="D113" s="69" t="str">
        <f>IF(C113="","",'DNA_dilution+'!L113)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IF(C114="","",VLOOKUP(C114,Source_Plate!$A$2:$B$97,2,FALSE))</f>
        <v/>
      </c>
      <c r="B114" s="3" t="str">
        <f>IF(C114="","",'Plan+'!#REF!)</f>
        <v/>
      </c>
      <c r="C114" s="110" t="str">
        <f>IF('DNA_dilution+'!I114="","",'DNA_dilution+'!H114)</f>
        <v/>
      </c>
      <c r="D114" s="69" t="str">
        <f>IF(C114="","",'DNA_dilution+'!L114)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IF(C115="","",VLOOKUP(C115,Source_Plate!$A$2:$B$97,2,FALSE))</f>
        <v/>
      </c>
      <c r="B115" s="3" t="str">
        <f>IF(C115="","",'Plan+'!#REF!)</f>
        <v/>
      </c>
      <c r="C115" s="110" t="str">
        <f>IF('DNA_dilution+'!I115="","",'DNA_dilution+'!H115)</f>
        <v/>
      </c>
      <c r="D115" s="69" t="str">
        <f>IF(C115="","",'DNA_dilution+'!L115)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IF(C116="","",VLOOKUP(C116,Source_Plate!$A$2:$B$97,2,FALSE))</f>
        <v/>
      </c>
      <c r="B116" s="3" t="str">
        <f>IF(C116="","",'Plan+'!#REF!)</f>
        <v/>
      </c>
      <c r="C116" s="110" t="str">
        <f>IF('DNA_dilution+'!I116="","",'DNA_dilution+'!H116)</f>
        <v/>
      </c>
      <c r="D116" s="69" t="str">
        <f>IF(C116="","",'DNA_dilution+'!L116)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IF(C117="","",VLOOKUP(C117,Source_Plate!$A$2:$B$97,2,FALSE))</f>
        <v/>
      </c>
      <c r="B117" s="3" t="str">
        <f>IF(C117="","",'Plan+'!#REF!)</f>
        <v/>
      </c>
      <c r="C117" s="110" t="str">
        <f>IF('DNA_dilution+'!I117="","",'DNA_dilution+'!H117)</f>
        <v/>
      </c>
      <c r="D117" s="69" t="str">
        <f>IF(C117="","",'DNA_dilution+'!L117)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IF(C118="","",VLOOKUP(C118,Source_Plate!$A$2:$B$97,2,FALSE))</f>
        <v/>
      </c>
      <c r="B118" s="3" t="str">
        <f>IF(C118="","",'Plan+'!#REF!)</f>
        <v/>
      </c>
      <c r="C118" s="110" t="str">
        <f>IF('DNA_dilution+'!I118="","",'DNA_dilution+'!H118)</f>
        <v/>
      </c>
      <c r="D118" s="69" t="str">
        <f>IF(C118="","",'DNA_dilution+'!L118)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IF(C119="","",VLOOKUP(C119,Source_Plate!$A$2:$B$97,2,FALSE))</f>
        <v/>
      </c>
      <c r="B119" s="3" t="str">
        <f>IF(C119="","",'Plan+'!#REF!)</f>
        <v/>
      </c>
      <c r="C119" s="110" t="str">
        <f>IF('DNA_dilution+'!I119="","",'DNA_dilution+'!H119)</f>
        <v/>
      </c>
      <c r="D119" s="69" t="str">
        <f>IF(C119="","",'DNA_dilution+'!L119)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IF(C120="","",VLOOKUP(C120,Source_Plate!$A$2:$B$97,2,FALSE))</f>
        <v/>
      </c>
      <c r="B120" s="3" t="str">
        <f>IF(C120="","",'Plan+'!#REF!)</f>
        <v/>
      </c>
      <c r="C120" s="110" t="str">
        <f>IF('DNA_dilution+'!I120="","",'DNA_dilution+'!H120)</f>
        <v/>
      </c>
      <c r="D120" s="69" t="str">
        <f>IF(C120="","",'DNA_dilution+'!L120)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IF(C121="","",VLOOKUP(C121,Source_Plate!$A$2:$B$97,2,FALSE))</f>
        <v/>
      </c>
      <c r="B121" s="3" t="str">
        <f>IF(C121="","",'Plan+'!#REF!)</f>
        <v/>
      </c>
      <c r="C121" s="110" t="str">
        <f>IF('DNA_dilution+'!I121="","",'DNA_dilution+'!H121)</f>
        <v/>
      </c>
      <c r="D121" s="69" t="str">
        <f>IF(C121="","",'DNA_dilution+'!L121)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IF(C122="","",VLOOKUP(C122,Source_Plate!$A$2:$B$97,2,FALSE))</f>
        <v/>
      </c>
      <c r="B122" s="3" t="str">
        <f>IF(C122="","",'Plan+'!#REF!)</f>
        <v/>
      </c>
      <c r="C122" s="110" t="str">
        <f>IF('DNA_dilution+'!I122="","",'DNA_dilution+'!H122)</f>
        <v/>
      </c>
      <c r="D122" s="69" t="str">
        <f>IF(C122="","",'DNA_dilution+'!L122)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IF(C123="","",VLOOKUP(C123,Source_Plate!$A$2:$B$97,2,FALSE))</f>
        <v/>
      </c>
      <c r="B123" s="3" t="str">
        <f>IF(C123="","",'Plan+'!#REF!)</f>
        <v/>
      </c>
      <c r="C123" s="110" t="str">
        <f>IF('DNA_dilution+'!I123="","",'DNA_dilution+'!H123)</f>
        <v/>
      </c>
      <c r="D123" s="69" t="str">
        <f>IF(C123="","",'DNA_dilution+'!L123)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IF(C124="","",VLOOKUP(C124,Source_Plate!$A$2:$B$97,2,FALSE))</f>
        <v/>
      </c>
      <c r="B124" s="3" t="str">
        <f>IF(C124="","",'Plan+'!#REF!)</f>
        <v/>
      </c>
      <c r="C124" s="110" t="str">
        <f>IF('DNA_dilution+'!I124="","",'DNA_dilution+'!H124)</f>
        <v/>
      </c>
      <c r="D124" s="69" t="str">
        <f>IF(C124="","",'DNA_dilution+'!L124)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IF(C125="","",VLOOKUP(C125,Source_Plate!$A$2:$B$97,2,FALSE))</f>
        <v/>
      </c>
      <c r="B125" s="3" t="str">
        <f>IF(C125="","",'Plan+'!#REF!)</f>
        <v/>
      </c>
      <c r="C125" s="110" t="str">
        <f>IF('DNA_dilution+'!I125="","",'DNA_dilution+'!H125)</f>
        <v/>
      </c>
      <c r="D125" s="69" t="str">
        <f>IF(C125="","",'DNA_dilution+'!L125)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IF(C126="","",VLOOKUP(C126,Source_Plate!$A$2:$B$97,2,FALSE))</f>
        <v/>
      </c>
      <c r="B126" s="3" t="str">
        <f>IF(C126="","",'Plan+'!#REF!)</f>
        <v/>
      </c>
      <c r="C126" s="110" t="str">
        <f>IF('DNA_dilution+'!I126="","",'DNA_dilution+'!H126)</f>
        <v/>
      </c>
      <c r="D126" s="69" t="str">
        <f>IF(C126="","",'DNA_dilution+'!L126)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IF(C127="","",VLOOKUP(C127,Source_Plate!$A$2:$B$97,2,FALSE))</f>
        <v/>
      </c>
      <c r="B127" s="3" t="str">
        <f>IF(C127="","",'Plan+'!#REF!)</f>
        <v/>
      </c>
      <c r="C127" s="110" t="str">
        <f>IF('DNA_dilution+'!I127="","",'DNA_dilution+'!H127)</f>
        <v/>
      </c>
      <c r="D127" s="69" t="str">
        <f>IF(C127="","",'DNA_dilution+'!L127)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IF(C128="","",VLOOKUP(C128,Source_Plate!$A$2:$B$97,2,FALSE))</f>
        <v/>
      </c>
      <c r="B128" s="3" t="str">
        <f>IF(C128="","",'Plan+'!#REF!)</f>
        <v/>
      </c>
      <c r="C128" s="110" t="str">
        <f>IF('DNA_dilution+'!I128="","",'DNA_dilution+'!H128)</f>
        <v/>
      </c>
      <c r="D128" s="69" t="str">
        <f>IF(C128="","",'DNA_dilution+'!L128)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IF(C129="","",VLOOKUP(C129,Source_Plate!$A$2:$B$97,2,FALSE))</f>
        <v/>
      </c>
      <c r="B129" s="3" t="str">
        <f>IF(C129="","",'Plan+'!#REF!)</f>
        <v/>
      </c>
      <c r="C129" s="110" t="str">
        <f>IF('DNA_dilution+'!I129="","",'DNA_dilution+'!H129)</f>
        <v/>
      </c>
      <c r="D129" s="69" t="str">
        <f>IF(C129="","",'DNA_dilution+'!L129)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IF(C130="","",VLOOKUP(C130,Source_Plate!$A$2:$B$97,2,FALSE))</f>
        <v/>
      </c>
      <c r="B130" s="3" t="str">
        <f>IF(C130="","",'Plan+'!#REF!)</f>
        <v/>
      </c>
      <c r="C130" s="110" t="str">
        <f>IF('DNA_dilution+'!I130="","",'DNA_dilution+'!H130)</f>
        <v/>
      </c>
      <c r="D130" s="69" t="str">
        <f>IF(C130="","",'DNA_dilution+'!L130)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IF(C131="","",VLOOKUP(C131,Source_Plate!$A$2:$B$97,2,FALSE))</f>
        <v/>
      </c>
      <c r="B131" s="3" t="str">
        <f>IF(C131="","",'Plan+'!#REF!)</f>
        <v/>
      </c>
      <c r="C131" s="110" t="str">
        <f>IF('DNA_dilution+'!I131="","",'DNA_dilution+'!H131)</f>
        <v/>
      </c>
      <c r="D131" s="69" t="str">
        <f>IF(C131="","",'DNA_dilution+'!L131)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IF(C132="","",VLOOKUP(C132,Source_Plate!$A$2:$B$97,2,FALSE))</f>
        <v/>
      </c>
      <c r="B132" s="3" t="str">
        <f>IF(C132="","",'Plan+'!#REF!)</f>
        <v/>
      </c>
      <c r="C132" s="110" t="str">
        <f>IF('DNA_dilution+'!I132="","",'DNA_dilution+'!H132)</f>
        <v/>
      </c>
      <c r="D132" s="69" t="str">
        <f>IF(C132="","",'DNA_dilution+'!L132)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IF(C133="","",VLOOKUP(C133,Source_Plate!$A$2:$B$97,2,FALSE))</f>
        <v/>
      </c>
      <c r="B133" s="3" t="str">
        <f>IF(C133="","",'Plan+'!#REF!)</f>
        <v/>
      </c>
      <c r="C133" s="110" t="str">
        <f>IF('DNA_dilution+'!I133="","",'DNA_dilution+'!H133)</f>
        <v/>
      </c>
      <c r="D133" s="69" t="str">
        <f>IF(C133="","",'DNA_dilution+'!L133)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IF(C134="","",VLOOKUP(C134,Source_Plate!$A$2:$B$97,2,FALSE))</f>
        <v/>
      </c>
      <c r="B134" s="3" t="str">
        <f>IF(C134="","",'Plan+'!#REF!)</f>
        <v/>
      </c>
      <c r="C134" s="110" t="str">
        <f>IF('DNA_dilution+'!I134="","",'DNA_dilution+'!H134)</f>
        <v/>
      </c>
      <c r="D134" s="69" t="str">
        <f>IF(C134="","",'DNA_dilution+'!L134)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IF(C135="","",VLOOKUP(C135,Source_Plate!$A$2:$B$97,2,FALSE))</f>
        <v/>
      </c>
      <c r="B135" s="3" t="str">
        <f>IF(C135="","",'Plan+'!#REF!)</f>
        <v/>
      </c>
      <c r="C135" s="110" t="str">
        <f>IF('DNA_dilution+'!I135="","",'DNA_dilution+'!H135)</f>
        <v/>
      </c>
      <c r="D135" s="69" t="str">
        <f>IF(C135="","",'DNA_dilution+'!L135)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IF(C136="","",VLOOKUP(C136,Source_Plate!$A$2:$B$97,2,FALSE))</f>
        <v/>
      </c>
      <c r="B136" s="3" t="str">
        <f>IF(C136="","",'Plan+'!#REF!)</f>
        <v/>
      </c>
      <c r="C136" s="110" t="str">
        <f>IF('DNA_dilution+'!I136="","",'DNA_dilution+'!H136)</f>
        <v/>
      </c>
      <c r="D136" s="69" t="str">
        <f>IF(C136="","",'DNA_dilution+'!L136)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IF(C137="","",VLOOKUP(C137,Source_Plate!$A$2:$B$97,2,FALSE))</f>
        <v/>
      </c>
      <c r="B137" s="3" t="str">
        <f>IF(C137="","",'Plan+'!#REF!)</f>
        <v/>
      </c>
      <c r="C137" s="110" t="str">
        <f>IF('DNA_dilution+'!I137="","",'DNA_dilution+'!H137)</f>
        <v/>
      </c>
      <c r="D137" s="69" t="str">
        <f>IF(C137="","",'DNA_dilution+'!L137)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IF(C138="","",VLOOKUP(C138,Source_Plate!$A$2:$B$97,2,FALSE))</f>
        <v/>
      </c>
      <c r="B138" s="3" t="str">
        <f>IF(C138="","",'Plan+'!#REF!)</f>
        <v/>
      </c>
      <c r="C138" s="110" t="str">
        <f>IF('DNA_dilution+'!I138="","",'DNA_dilution+'!H138)</f>
        <v/>
      </c>
      <c r="D138" s="69" t="str">
        <f>IF(C138="","",'DNA_dilution+'!L138)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IF(C139="","",VLOOKUP(C139,Source_Plate!$A$2:$B$97,2,FALSE))</f>
        <v/>
      </c>
      <c r="B139" s="3" t="str">
        <f>IF(C139="","",'Plan+'!#REF!)</f>
        <v/>
      </c>
      <c r="C139" s="110" t="str">
        <f>IF('DNA_dilution+'!I139="","",'DNA_dilution+'!H139)</f>
        <v/>
      </c>
      <c r="D139" s="69" t="str">
        <f>IF(C139="","",'DNA_dilution+'!L139)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IF(C140="","",VLOOKUP(C140,Source_Plate!$A$2:$B$97,2,FALSE))</f>
        <v/>
      </c>
      <c r="B140" s="3" t="str">
        <f>IF(C140="","",'Plan+'!#REF!)</f>
        <v/>
      </c>
      <c r="C140" s="110" t="str">
        <f>IF('DNA_dilution+'!I140="","",'DNA_dilution+'!H140)</f>
        <v/>
      </c>
      <c r="D140" s="69" t="str">
        <f>IF(C140="","",'DNA_dilution+'!L140)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IF(C141="","",VLOOKUP(C141,Source_Plate!$A$2:$B$97,2,FALSE))</f>
        <v/>
      </c>
      <c r="B141" s="3" t="str">
        <f>IF(C141="","",'Plan+'!#REF!)</f>
        <v/>
      </c>
      <c r="C141" s="110" t="str">
        <f>IF('DNA_dilution+'!I141="","",'DNA_dilution+'!H141)</f>
        <v/>
      </c>
      <c r="D141" s="69" t="str">
        <f>IF(C141="","",'DNA_dilution+'!L141)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IF(C142="","",VLOOKUP(C142,Source_Plate!$A$2:$B$97,2,FALSE))</f>
        <v/>
      </c>
      <c r="B142" s="3" t="str">
        <f>IF(C142="","",'Plan+'!#REF!)</f>
        <v/>
      </c>
      <c r="C142" s="110" t="str">
        <f>IF('DNA_dilution+'!I142="","",'DNA_dilution+'!H142)</f>
        <v/>
      </c>
      <c r="D142" s="69" t="str">
        <f>IF(C142="","",'DNA_dilution+'!L142)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IF(C143="","",VLOOKUP(C143,Source_Plate!$A$2:$B$97,2,FALSE))</f>
        <v/>
      </c>
      <c r="B143" s="3" t="str">
        <f>IF(C143="","",'Plan+'!#REF!)</f>
        <v/>
      </c>
      <c r="C143" s="110" t="str">
        <f>IF('DNA_dilution+'!I143="","",'DNA_dilution+'!H143)</f>
        <v/>
      </c>
      <c r="D143" s="69" t="str">
        <f>IF(C143="","",'DNA_dilution+'!L143)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IF(C144="","",VLOOKUP(C144,Source_Plate!$A$2:$B$97,2,FALSE))</f>
        <v/>
      </c>
      <c r="B144" s="3" t="str">
        <f>IF(C144="","",'Plan+'!#REF!)</f>
        <v/>
      </c>
      <c r="C144" s="110" t="str">
        <f>IF('DNA_dilution+'!I144="","",'DNA_dilution+'!H144)</f>
        <v/>
      </c>
      <c r="D144" s="69" t="str">
        <f>IF(C144="","",'DNA_dilution+'!L144)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IF(C145="","",VLOOKUP(C145,Source_Plate!$A$2:$B$97,2,FALSE))</f>
        <v/>
      </c>
      <c r="B145" s="3" t="str">
        <f>IF(C145="","",'Plan+'!#REF!)</f>
        <v/>
      </c>
      <c r="C145" s="110" t="str">
        <f>IF('DNA_dilution+'!I145="","",'DNA_dilution+'!H145)</f>
        <v/>
      </c>
      <c r="D145" s="69" t="str">
        <f>IF(C145="","",'DNA_dilution+'!L145)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IF(C146="","",VLOOKUP(C146,Source_Plate!$A$2:$B$97,2,FALSE))</f>
        <v/>
      </c>
      <c r="B146" s="3" t="str">
        <f>IF(C146="","",'Plan+'!#REF!)</f>
        <v/>
      </c>
      <c r="C146" s="110" t="str">
        <f>IF('DNA_dilution+'!I146="","",'DNA_dilution+'!H146)</f>
        <v/>
      </c>
      <c r="D146" s="69" t="str">
        <f>IF(C146="","",'DNA_dilution+'!L146)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IF(C147="","",VLOOKUP(C147,Source_Plate!$A$2:$B$97,2,FALSE))</f>
        <v/>
      </c>
      <c r="B147" s="3" t="str">
        <f>IF(C147="","",'Plan+'!#REF!)</f>
        <v/>
      </c>
      <c r="C147" s="110" t="str">
        <f>IF('DNA_dilution+'!I147="","",'DNA_dilution+'!H147)</f>
        <v/>
      </c>
      <c r="D147" s="69" t="str">
        <f>IF(C147="","",'DNA_dilution+'!L147)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IF(C148="","",VLOOKUP(C148,Source_Plate!$A$2:$B$97,2,FALSE))</f>
        <v/>
      </c>
      <c r="B148" s="3" t="str">
        <f>IF(C148="","",'Plan+'!#REF!)</f>
        <v/>
      </c>
      <c r="C148" s="110" t="str">
        <f>IF('DNA_dilution+'!I148="","",'DNA_dilution+'!H148)</f>
        <v/>
      </c>
      <c r="D148" s="69" t="str">
        <f>IF(C148="","",'DNA_dilution+'!L148)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IF(C149="","",VLOOKUP(C149,Source_Plate!$A$2:$B$97,2,FALSE))</f>
        <v/>
      </c>
      <c r="B149" s="3" t="str">
        <f>IF(C149="","",'Plan+'!#REF!)</f>
        <v/>
      </c>
      <c r="C149" s="110" t="str">
        <f>IF('DNA_dilution+'!I149="","",'DNA_dilution+'!H149)</f>
        <v/>
      </c>
      <c r="D149" s="69" t="str">
        <f>IF(C149="","",'DNA_dilution+'!L149)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IF(C150="","",VLOOKUP(C150,Source_Plate!$A$2:$B$97,2,FALSE))</f>
        <v/>
      </c>
      <c r="B150" s="3" t="str">
        <f>IF(C150="","",'Plan+'!#REF!)</f>
        <v/>
      </c>
      <c r="C150" s="110" t="str">
        <f>IF('DNA_dilution+'!I150="","",'DNA_dilution+'!H150)</f>
        <v/>
      </c>
      <c r="D150" s="69" t="str">
        <f>IF(C150="","",'DNA_dilution+'!L150)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IF(C151="","",VLOOKUP(C151,Source_Plate!$A$2:$B$97,2,FALSE))</f>
        <v/>
      </c>
      <c r="B151" s="3" t="str">
        <f>IF(C151="","",'Plan+'!#REF!)</f>
        <v/>
      </c>
      <c r="C151" s="110" t="str">
        <f>IF('DNA_dilution+'!I151="","",'DNA_dilution+'!H151)</f>
        <v/>
      </c>
      <c r="D151" s="69" t="str">
        <f>IF(C151="","",'DNA_dilution+'!L151)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IF(C152="","",VLOOKUP(C152,Source_Plate!$A$2:$B$97,2,FALSE))</f>
        <v/>
      </c>
      <c r="B152" s="3" t="str">
        <f>IF(C152="","",'Plan+'!#REF!)</f>
        <v/>
      </c>
      <c r="C152" s="110" t="str">
        <f>IF('DNA_dilution+'!I152="","",'DNA_dilution+'!H152)</f>
        <v/>
      </c>
      <c r="D152" s="69" t="str">
        <f>IF(C152="","",'DNA_dilution+'!L152)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IF(C153="","",VLOOKUP(C153,Source_Plate!$A$2:$B$97,2,FALSE))</f>
        <v/>
      </c>
      <c r="B153" s="3" t="str">
        <f>IF(C153="","",'Plan+'!#REF!)</f>
        <v/>
      </c>
      <c r="C153" s="110" t="str">
        <f>IF('DNA_dilution+'!I153="","",'DNA_dilution+'!H153)</f>
        <v/>
      </c>
      <c r="D153" s="69" t="str">
        <f>IF(C153="","",'DNA_dilution+'!L153)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IF(C154="","",VLOOKUP(C154,Source_Plate!$A$2:$B$97,2,FALSE))</f>
        <v/>
      </c>
      <c r="B154" s="3" t="str">
        <f>IF(C154="","",'Plan+'!#REF!)</f>
        <v/>
      </c>
      <c r="C154" s="110" t="str">
        <f>IF('DNA_dilution+'!I154="","",'DNA_dilution+'!H154)</f>
        <v/>
      </c>
      <c r="D154" s="69" t="str">
        <f>IF(C154="","",'DNA_dilution+'!L154)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IF(C155="","",VLOOKUP(C155,Source_Plate!$A$2:$B$97,2,FALSE))</f>
        <v/>
      </c>
      <c r="B155" s="3" t="str">
        <f>IF(C155="","",'Plan+'!#REF!)</f>
        <v/>
      </c>
      <c r="C155" s="110" t="str">
        <f>IF('DNA_dilution+'!I155="","",'DNA_dilution+'!H155)</f>
        <v/>
      </c>
      <c r="D155" s="69" t="str">
        <f>IF(C155="","",'DNA_dilution+'!L155)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IF(C156="","",VLOOKUP(C156,Source_Plate!$A$2:$B$97,2,FALSE))</f>
        <v/>
      </c>
      <c r="B156" s="3" t="str">
        <f>IF(C156="","",'Plan+'!#REF!)</f>
        <v/>
      </c>
      <c r="C156" s="110" t="str">
        <f>IF('DNA_dilution+'!I156="","",'DNA_dilution+'!H156)</f>
        <v/>
      </c>
      <c r="D156" s="69" t="str">
        <f>IF(C156="","",'DNA_dilution+'!L156)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IF(C157="","",VLOOKUP(C157,Source_Plate!$A$2:$B$97,2,FALSE))</f>
        <v/>
      </c>
      <c r="B157" s="3" t="str">
        <f>IF(C157="","",'Plan+'!#REF!)</f>
        <v/>
      </c>
      <c r="C157" s="110" t="str">
        <f>IF('DNA_dilution+'!I157="","",'DNA_dilution+'!H157)</f>
        <v/>
      </c>
      <c r="D157" s="69" t="str">
        <f>IF(C157="","",'DNA_dilution+'!L157)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IF(C158="","",VLOOKUP(C158,Source_Plate!$A$2:$B$97,2,FALSE))</f>
        <v/>
      </c>
      <c r="B158" s="3" t="str">
        <f>IF(C158="","",'Plan+'!#REF!)</f>
        <v/>
      </c>
      <c r="C158" s="110" t="str">
        <f>IF('DNA_dilution+'!I158="","",'DNA_dilution+'!H158)</f>
        <v/>
      </c>
      <c r="D158" s="69" t="str">
        <f>IF(C158="","",'DNA_dilution+'!L158)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IF(C159="","",VLOOKUP(C159,Source_Plate!$A$2:$B$97,2,FALSE))</f>
        <v/>
      </c>
      <c r="B159" s="3" t="str">
        <f>IF(C159="","",'Plan+'!#REF!)</f>
        <v/>
      </c>
      <c r="C159" s="110" t="str">
        <f>IF('DNA_dilution+'!I159="","",'DNA_dilution+'!H159)</f>
        <v/>
      </c>
      <c r="D159" s="69" t="str">
        <f>IF(C159="","",'DNA_dilution+'!L159)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IF(C160="","",VLOOKUP(C160,Source_Plate!$A$2:$B$97,2,FALSE))</f>
        <v/>
      </c>
      <c r="B160" s="3" t="str">
        <f>IF(C160="","",'Plan+'!#REF!)</f>
        <v/>
      </c>
      <c r="C160" s="110" t="str">
        <f>IF('DNA_dilution+'!I160="","",'DNA_dilution+'!H160)</f>
        <v/>
      </c>
      <c r="D160" s="69" t="str">
        <f>IF(C160="","",'DNA_dilution+'!L160)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IF(C161="","",VLOOKUP(C161,Source_Plate!$A$2:$B$97,2,FALSE))</f>
        <v/>
      </c>
      <c r="B161" s="3" t="str">
        <f>IF(C161="","",'Plan+'!#REF!)</f>
        <v/>
      </c>
      <c r="C161" s="110" t="str">
        <f>IF('DNA_dilution+'!I161="","",'DNA_dilution+'!H161)</f>
        <v/>
      </c>
      <c r="D161" s="69" t="str">
        <f>IF(C161="","",'DNA_dilution+'!L161)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IF(C162="","",VLOOKUP(C162,Source_Plate!$A$2:$B$97,2,FALSE))</f>
        <v/>
      </c>
      <c r="B162" s="3" t="str">
        <f>IF(C162="","",'Plan+'!#REF!)</f>
        <v/>
      </c>
      <c r="C162" s="110" t="str">
        <f>IF('DNA_dilution+'!I162="","",'DNA_dilution+'!H162)</f>
        <v/>
      </c>
      <c r="D162" s="69" t="str">
        <f>IF(C162="","",'DNA_dilution+'!L162)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IF(C163="","",VLOOKUP(C163,Source_Plate!$A$2:$B$97,2,FALSE))</f>
        <v/>
      </c>
      <c r="B163" s="3" t="str">
        <f>IF(C163="","",'Plan+'!#REF!)</f>
        <v/>
      </c>
      <c r="C163" s="110" t="str">
        <f>IF('DNA_dilution+'!I163="","",'DNA_dilution+'!H163)</f>
        <v/>
      </c>
      <c r="D163" s="69" t="str">
        <f>IF(C163="","",'DNA_dilution+'!L163)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IF(C164="","",VLOOKUP(C164,Source_Plate!$A$2:$B$97,2,FALSE))</f>
        <v/>
      </c>
      <c r="B164" s="3" t="str">
        <f>IF(C164="","",'Plan+'!#REF!)</f>
        <v/>
      </c>
      <c r="C164" s="110" t="str">
        <f>IF('DNA_dilution+'!I164="","",'DNA_dilution+'!H164)</f>
        <v/>
      </c>
      <c r="D164" s="69" t="str">
        <f>IF(C164="","",'DNA_dilution+'!L164)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IF(C165="","",VLOOKUP(C165,Source_Plate!$A$2:$B$97,2,FALSE))</f>
        <v/>
      </c>
      <c r="B165" s="3" t="str">
        <f>IF(C165="","",'Plan+'!#REF!)</f>
        <v/>
      </c>
      <c r="C165" s="110" t="str">
        <f>IF('DNA_dilution+'!I165="","",'DNA_dilution+'!H165)</f>
        <v/>
      </c>
      <c r="D165" s="69" t="str">
        <f>IF(C165="","",'DNA_dilution+'!L165)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IF(C166="","",VLOOKUP(C166,Source_Plate!$A$2:$B$97,2,FALSE))</f>
        <v/>
      </c>
      <c r="B166" s="3" t="str">
        <f>IF(C166="","",'Plan+'!#REF!)</f>
        <v/>
      </c>
      <c r="C166" s="110" t="str">
        <f>IF('DNA_dilution+'!I166="","",'DNA_dilution+'!H166)</f>
        <v/>
      </c>
      <c r="D166" s="69" t="str">
        <f>IF(C166="","",'DNA_dilution+'!L166)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IF(C167="","",VLOOKUP(C167,Source_Plate!$A$2:$B$97,2,FALSE))</f>
        <v/>
      </c>
      <c r="B167" s="3" t="str">
        <f>IF(C167="","",'Plan+'!#REF!)</f>
        <v/>
      </c>
      <c r="C167" s="110" t="str">
        <f>IF('DNA_dilution+'!I167="","",'DNA_dilution+'!H167)</f>
        <v/>
      </c>
      <c r="D167" s="69" t="str">
        <f>IF(C167="","",'DNA_dilution+'!L167)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IF(C168="","",VLOOKUP(C168,Source_Plate!$A$2:$B$97,2,FALSE))</f>
        <v/>
      </c>
      <c r="B168" s="3" t="str">
        <f>IF(C168="","",'Plan+'!#REF!)</f>
        <v/>
      </c>
      <c r="C168" s="110" t="str">
        <f>IF('DNA_dilution+'!I168="","",'DNA_dilution+'!H168)</f>
        <v/>
      </c>
      <c r="D168" s="69" t="str">
        <f>IF(C168="","",'DNA_dilution+'!L168)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IF(C169="","",VLOOKUP(C169,Source_Plate!$A$2:$B$97,2,FALSE))</f>
        <v/>
      </c>
      <c r="B169" s="3" t="str">
        <f>IF(C169="","",'Plan+'!#REF!)</f>
        <v/>
      </c>
      <c r="C169" s="110" t="str">
        <f>IF('DNA_dilution+'!I169="","",'DNA_dilution+'!H169)</f>
        <v/>
      </c>
      <c r="D169" s="69" t="str">
        <f>IF(C169="","",'DNA_dilution+'!L169)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IF(C170="","",VLOOKUP(C170,Source_Plate!$A$2:$B$97,2,FALSE))</f>
        <v/>
      </c>
      <c r="B170" s="3" t="str">
        <f>IF(C170="","",'Plan+'!#REF!)</f>
        <v/>
      </c>
      <c r="C170" s="110" t="str">
        <f>IF('DNA_dilution+'!I170="","",'DNA_dilution+'!H170)</f>
        <v/>
      </c>
      <c r="D170" s="69" t="str">
        <f>IF(C170="","",'DNA_dilution+'!L170)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IF(C171="","",VLOOKUP(C171,Source_Plate!$A$2:$B$97,2,FALSE))</f>
        <v/>
      </c>
      <c r="B171" s="3" t="str">
        <f>IF(C171="","",'Plan+'!#REF!)</f>
        <v/>
      </c>
      <c r="C171" s="110" t="str">
        <f>IF('DNA_dilution+'!I171="","",'DNA_dilution+'!H171)</f>
        <v/>
      </c>
      <c r="D171" s="69" t="str">
        <f>IF(C171="","",'DNA_dilution+'!L171)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IF(C172="","",VLOOKUP(C172,Source_Plate!$A$2:$B$97,2,FALSE))</f>
        <v/>
      </c>
      <c r="B172" s="3" t="str">
        <f>IF(C172="","",'Plan+'!#REF!)</f>
        <v/>
      </c>
      <c r="C172" s="110" t="str">
        <f>IF('DNA_dilution+'!I172="","",'DNA_dilution+'!H172)</f>
        <v/>
      </c>
      <c r="D172" s="69" t="str">
        <f>IF(C172="","",'DNA_dilution+'!L172)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IF(C173="","",VLOOKUP(C173,Source_Plate!$A$2:$B$97,2,FALSE))</f>
        <v/>
      </c>
      <c r="B173" s="3" t="str">
        <f>IF(C173="","",'Plan+'!#REF!)</f>
        <v/>
      </c>
      <c r="C173" s="110" t="str">
        <f>IF('DNA_dilution+'!I173="","",'DNA_dilution+'!H173)</f>
        <v/>
      </c>
      <c r="D173" s="69" t="str">
        <f>IF(C173="","",'DNA_dilution+'!L173)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IF(C174="","",VLOOKUP(C174,Source_Plate!$A$2:$B$97,2,FALSE))</f>
        <v/>
      </c>
      <c r="B174" s="3" t="str">
        <f>IF(C174="","",'Plan+'!#REF!)</f>
        <v/>
      </c>
      <c r="C174" s="110" t="str">
        <f>IF('DNA_dilution+'!I174="","",'DNA_dilution+'!H174)</f>
        <v/>
      </c>
      <c r="D174" s="69" t="str">
        <f>IF(C174="","",'DNA_dilution+'!L174)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IF(C175="","",VLOOKUP(C175,Source_Plate!$A$2:$B$97,2,FALSE))</f>
        <v/>
      </c>
      <c r="B175" s="3" t="str">
        <f>IF(C175="","",'Plan+'!#REF!)</f>
        <v/>
      </c>
      <c r="C175" s="110" t="str">
        <f>IF('DNA_dilution+'!I175="","",'DNA_dilution+'!H175)</f>
        <v/>
      </c>
      <c r="D175" s="69" t="str">
        <f>IF(C175="","",'DNA_dilution+'!L175)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IF(C176="","",VLOOKUP(C176,Source_Plate!$A$2:$B$97,2,FALSE))</f>
        <v/>
      </c>
      <c r="B176" s="3" t="str">
        <f>IF(C176="","",'Plan+'!#REF!)</f>
        <v/>
      </c>
      <c r="C176" s="110" t="str">
        <f>IF('DNA_dilution+'!I176="","",'DNA_dilution+'!H176)</f>
        <v/>
      </c>
      <c r="D176" s="69" t="str">
        <f>IF(C176="","",'DNA_dilution+'!L176)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IF(C177="","",VLOOKUP(C177,Source_Plate!$A$2:$B$97,2,FALSE))</f>
        <v/>
      </c>
      <c r="B177" s="3" t="str">
        <f>IF(C177="","",'Plan+'!#REF!)</f>
        <v/>
      </c>
      <c r="C177" s="110" t="str">
        <f>IF('DNA_dilution+'!I177="","",'DNA_dilution+'!H177)</f>
        <v/>
      </c>
      <c r="D177" s="69" t="str">
        <f>IF(C177="","",'DNA_dilution+'!L177)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IF(C178="","",VLOOKUP(C178,Source_Plate!$A$2:$B$97,2,FALSE))</f>
        <v/>
      </c>
      <c r="B178" s="3" t="str">
        <f>IF(C178="","",'Plan+'!#REF!)</f>
        <v/>
      </c>
      <c r="C178" s="110" t="str">
        <f>IF('DNA_dilution+'!I178="","",'DNA_dilution+'!H178)</f>
        <v/>
      </c>
      <c r="D178" s="69" t="str">
        <f>IF(C178="","",'DNA_dilution+'!L178)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IF(C179="","",VLOOKUP(C179,Source_Plate!$A$2:$B$97,2,FALSE))</f>
        <v/>
      </c>
      <c r="B179" s="3" t="str">
        <f>IF(C179="","",'Plan+'!#REF!)</f>
        <v/>
      </c>
      <c r="C179" s="110" t="str">
        <f>IF('DNA_dilution+'!I179="","",'DNA_dilution+'!H179)</f>
        <v/>
      </c>
      <c r="D179" s="69" t="str">
        <f>IF(C179="","",'DNA_dilution+'!L179)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IF(C180="","",VLOOKUP(C180,Source_Plate!$A$2:$B$97,2,FALSE))</f>
        <v/>
      </c>
      <c r="B180" s="3" t="str">
        <f>IF(C180="","",'Plan+'!#REF!)</f>
        <v/>
      </c>
      <c r="C180" s="110" t="str">
        <f>IF('DNA_dilution+'!I180="","",'DNA_dilution+'!H180)</f>
        <v/>
      </c>
      <c r="D180" s="69" t="str">
        <f>IF(C180="","",'DNA_dilution+'!L180)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IF(C181="","",VLOOKUP(C181,Source_Plate!$A$2:$B$97,2,FALSE))</f>
        <v/>
      </c>
      <c r="B181" s="3" t="str">
        <f>IF(C181="","",'Plan+'!#REF!)</f>
        <v/>
      </c>
      <c r="C181" s="110" t="str">
        <f>IF('DNA_dilution+'!I181="","",'DNA_dilution+'!H181)</f>
        <v/>
      </c>
      <c r="D181" s="69" t="str">
        <f>IF(C181="","",'DNA_dilution+'!L181)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IF(C182="","",VLOOKUP(C182,Source_Plate!$A$2:$B$97,2,FALSE))</f>
        <v/>
      </c>
      <c r="B182" s="3" t="str">
        <f>IF(C182="","",'Plan+'!#REF!)</f>
        <v/>
      </c>
      <c r="C182" s="110" t="str">
        <f>IF('DNA_dilution+'!I182="","",'DNA_dilution+'!H182)</f>
        <v/>
      </c>
      <c r="D182" s="69" t="str">
        <f>IF(C182="","",'DNA_dilution+'!L182)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IF(C183="","",VLOOKUP(C183,Source_Plate!$A$2:$B$97,2,FALSE))</f>
        <v/>
      </c>
      <c r="B183" s="3" t="str">
        <f>IF(C183="","",'Plan+'!#REF!)</f>
        <v/>
      </c>
      <c r="C183" s="110" t="str">
        <f>IF('DNA_dilution+'!I183="","",'DNA_dilution+'!H183)</f>
        <v/>
      </c>
      <c r="D183" s="69" t="str">
        <f>IF(C183="","",'DNA_dilution+'!L183)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IF(C184="","",VLOOKUP(C184,Source_Plate!$A$2:$B$97,2,FALSE))</f>
        <v/>
      </c>
      <c r="B184" s="3" t="str">
        <f>IF(C184="","",'Plan+'!#REF!)</f>
        <v/>
      </c>
      <c r="C184" s="110" t="str">
        <f>IF('DNA_dilution+'!I184="","",'DNA_dilution+'!H184)</f>
        <v/>
      </c>
      <c r="D184" s="69" t="str">
        <f>IF(C184="","",'DNA_dilution+'!L184)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IF(C185="","",VLOOKUP(C185,Source_Plate!$A$2:$B$97,2,FALSE))</f>
        <v/>
      </c>
      <c r="B185" s="3" t="str">
        <f>IF(C185="","",'Plan+'!#REF!)</f>
        <v/>
      </c>
      <c r="C185" s="110" t="str">
        <f>IF('DNA_dilution+'!I185="","",'DNA_dilution+'!H185)</f>
        <v/>
      </c>
      <c r="D185" s="69" t="str">
        <f>IF(C185="","",'DNA_dilution+'!L185)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IF(C186="","",VLOOKUP(C186,Source_Plate!$A$2:$B$97,2,FALSE))</f>
        <v/>
      </c>
      <c r="B186" s="3" t="str">
        <f>IF(C186="","",'Plan+'!#REF!)</f>
        <v/>
      </c>
      <c r="C186" s="110" t="str">
        <f>IF('DNA_dilution+'!I186="","",'DNA_dilution+'!H186)</f>
        <v/>
      </c>
      <c r="D186" s="69" t="str">
        <f>IF(C186="","",'DNA_dilution+'!L186)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IF(C187="","",VLOOKUP(C187,Source_Plate!$A$2:$B$97,2,FALSE))</f>
        <v/>
      </c>
      <c r="B187" s="3" t="str">
        <f>IF(C187="","",'Plan+'!#REF!)</f>
        <v/>
      </c>
      <c r="C187" s="110" t="str">
        <f>IF('DNA_dilution+'!I187="","",'DNA_dilution+'!H187)</f>
        <v/>
      </c>
      <c r="D187" s="69" t="str">
        <f>IF(C187="","",'DNA_dilution+'!L187)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IF(C188="","",VLOOKUP(C188,Source_Plate!$A$2:$B$97,2,FALSE))</f>
        <v/>
      </c>
      <c r="B188" s="3" t="str">
        <f>IF(C188="","",'Plan+'!#REF!)</f>
        <v/>
      </c>
      <c r="C188" s="110" t="str">
        <f>IF('DNA_dilution+'!I188="","",'DNA_dilution+'!H188)</f>
        <v/>
      </c>
      <c r="D188" s="69" t="str">
        <f>IF(C188="","",'DNA_dilution+'!L188)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  <pageSetup paperSize="9"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5"/>
  <sheetViews>
    <sheetView workbookViewId="0">
      <selection activeCell="B9" sqref="B9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IF(C2="","",VLOOKUP(C2,Source_Plate!$I$2:$J$97,2,FALSE))</f>
        <v/>
      </c>
      <c r="B2" s="3" t="str">
        <f>IF(C2="","",'PM_info+'!B2)</f>
        <v/>
      </c>
      <c r="C2" s="1" t="str">
        <f>IF('PM_info+'!D2="","",'PM_info+'!D2)</f>
        <v/>
      </c>
      <c r="D2" s="3" t="str">
        <f>IF(C2="","",'Plate organization+'!$B$43)</f>
        <v/>
      </c>
      <c r="E2" t="s">
        <v>151</v>
      </c>
    </row>
    <row r="3" spans="1:5" x14ac:dyDescent="0.25">
      <c r="A3" s="3" t="str">
        <f>IF(C3="","",VLOOKUP(C3,Source_Plate!$I$2:$J$97,2,FALSE))</f>
        <v/>
      </c>
      <c r="B3" s="3" t="str">
        <f>IF(C3="","",'PM_info+'!B3)</f>
        <v/>
      </c>
      <c r="C3" s="1" t="str">
        <f>IF('PM_info+'!D3="","",'PM_info+'!D3)</f>
        <v/>
      </c>
      <c r="D3" s="3" t="str">
        <f>IF(C3="","",'Plate organization+'!$B$43)</f>
        <v/>
      </c>
      <c r="E3" t="s">
        <v>151</v>
      </c>
    </row>
    <row r="4" spans="1:5" x14ac:dyDescent="0.25">
      <c r="A4" s="3" t="str">
        <f>IF(C4="","",VLOOKUP(C4,Source_Plate!$I$2:$J$97,2,FALSE))</f>
        <v/>
      </c>
      <c r="B4" s="3" t="str">
        <f>IF(C4="","",'PM_info+'!B4)</f>
        <v/>
      </c>
      <c r="C4" s="1" t="str">
        <f>IF('PM_info+'!D4="","",'PM_info+'!D4)</f>
        <v/>
      </c>
      <c r="D4" s="3" t="str">
        <f>IF(C4="","",'Plate organization+'!$B$43)</f>
        <v/>
      </c>
      <c r="E4" t="s">
        <v>151</v>
      </c>
    </row>
    <row r="5" spans="1:5" x14ac:dyDescent="0.25">
      <c r="A5" s="3" t="str">
        <f>IF(C5="","",VLOOKUP(C5,Source_Plate!$I$2:$J$97,2,FALSE))</f>
        <v/>
      </c>
      <c r="B5" s="3" t="str">
        <f>IF(C5="","",'PM_info+'!B5)</f>
        <v/>
      </c>
      <c r="C5" s="1" t="str">
        <f>IF('PM_info+'!D5="","",'PM_info+'!D5)</f>
        <v/>
      </c>
      <c r="D5" s="3" t="str">
        <f>IF(C5="","",'Plate organization+'!$B$43)</f>
        <v/>
      </c>
      <c r="E5" t="s">
        <v>151</v>
      </c>
    </row>
    <row r="6" spans="1:5" x14ac:dyDescent="0.25">
      <c r="A6" s="3" t="str">
        <f>IF(C6="","",VLOOKUP(C6,Source_Plate!$I$2:$J$97,2,FALSE))</f>
        <v/>
      </c>
      <c r="B6" s="3" t="str">
        <f>IF(C6="","",'PM_info+'!B6)</f>
        <v/>
      </c>
      <c r="C6" s="1" t="str">
        <f>IF('PM_info+'!D6="","",'PM_info+'!D6)</f>
        <v/>
      </c>
      <c r="D6" s="3" t="str">
        <f>IF(C6="","",'Plate organization+'!$B$43)</f>
        <v/>
      </c>
      <c r="E6" t="s">
        <v>151</v>
      </c>
    </row>
    <row r="7" spans="1:5" x14ac:dyDescent="0.25">
      <c r="A7" s="3" t="str">
        <f>IF(C7="","",VLOOKUP(C7,Source_Plate!$I$2:$J$97,2,FALSE))</f>
        <v/>
      </c>
      <c r="B7" s="3" t="str">
        <f>IF(C7="","",'PM_info+'!B7)</f>
        <v/>
      </c>
      <c r="C7" s="1" t="str">
        <f>IF('PM_info+'!D7="","",'PM_info+'!D7)</f>
        <v/>
      </c>
      <c r="D7" s="3" t="str">
        <f>IF(C7="","",'Plate organization+'!$B$43)</f>
        <v/>
      </c>
      <c r="E7" t="s">
        <v>151</v>
      </c>
    </row>
    <row r="8" spans="1:5" x14ac:dyDescent="0.25">
      <c r="A8" s="3" t="str">
        <f>IF(C8="","",VLOOKUP(C8,Source_Plate!$I$2:$J$97,2,FALSE))</f>
        <v/>
      </c>
      <c r="B8" s="3" t="str">
        <f>IF(C8="","",'PM_info+'!B8)</f>
        <v/>
      </c>
      <c r="C8" s="1" t="str">
        <f>IF('PM_info+'!D8="","",'PM_info+'!D8)</f>
        <v/>
      </c>
      <c r="D8" s="3" t="str">
        <f>IF(C8="","",'Plate organization+'!$B$43)</f>
        <v/>
      </c>
      <c r="E8" t="s">
        <v>151</v>
      </c>
    </row>
    <row r="9" spans="1:5" x14ac:dyDescent="0.25">
      <c r="A9" s="3" t="str">
        <f>IF(C9="","",VLOOKUP(C9,Source_Plate!$I$2:$J$97,2,FALSE))</f>
        <v>B01</v>
      </c>
      <c r="B9" s="3" t="str">
        <f>IF(C9="","",'PM_info+'!B9)</f>
        <v>H01</v>
      </c>
      <c r="C9" s="1" t="str">
        <f>IF('PM_info+'!D9="","",'PM_info+'!D9)</f>
        <v>RBS</v>
      </c>
      <c r="D9" s="3">
        <f>IF(C9="","",'Plate organization+'!$B$43)</f>
        <v>15</v>
      </c>
      <c r="E9" t="s">
        <v>151</v>
      </c>
    </row>
    <row r="10" spans="1:5" x14ac:dyDescent="0.25">
      <c r="A10" s="3" t="str">
        <f>IF(C10="","",VLOOKUP(C10,Source_Plate!$I$2:$J$97,2,FALSE))</f>
        <v/>
      </c>
      <c r="B10" s="3" t="str">
        <f>IF(C10="","",'PM_info+'!B10)</f>
        <v/>
      </c>
      <c r="C10" s="1" t="str">
        <f>IF('PM_info+'!D10="","",'PM_info+'!D10)</f>
        <v/>
      </c>
      <c r="D10" s="3" t="str">
        <f>IF(C10="","",'Plate organization+'!$B$43)</f>
        <v/>
      </c>
      <c r="E10" t="s">
        <v>151</v>
      </c>
    </row>
    <row r="11" spans="1:5" x14ac:dyDescent="0.25">
      <c r="A11" s="3" t="str">
        <f>IF(C11="","",VLOOKUP(C11,Source_Plate!$I$2:$J$97,2,FALSE))</f>
        <v/>
      </c>
      <c r="B11" s="3" t="str">
        <f>IF(C11="","",'PM_info+'!B11)</f>
        <v/>
      </c>
      <c r="C11" s="1" t="str">
        <f>IF('PM_info+'!D11="","",'PM_info+'!D11)</f>
        <v/>
      </c>
      <c r="D11" s="3" t="str">
        <f>IF(C11="","",'Plate organization+'!$B$43)</f>
        <v/>
      </c>
      <c r="E11" t="s">
        <v>151</v>
      </c>
    </row>
    <row r="12" spans="1:5" x14ac:dyDescent="0.25">
      <c r="A12" s="3" t="str">
        <f>IF(C12="","",VLOOKUP(C12,Source_Plate!$I$2:$J$97,2,FALSE))</f>
        <v/>
      </c>
      <c r="B12" s="3" t="str">
        <f>IF(C12="","",'PM_info+'!B12)</f>
        <v/>
      </c>
      <c r="C12" s="1" t="str">
        <f>IF('PM_info+'!D12="","",'PM_info+'!D12)</f>
        <v/>
      </c>
      <c r="D12" s="3" t="str">
        <f>IF(C12="","",'Plate organization+'!$B$43)</f>
        <v/>
      </c>
      <c r="E12" t="s">
        <v>151</v>
      </c>
    </row>
    <row r="13" spans="1:5" x14ac:dyDescent="0.25">
      <c r="A13" s="3" t="str">
        <f>IF(C13="","",VLOOKUP(C13,Source_Plate!$I$2:$J$97,2,FALSE))</f>
        <v/>
      </c>
      <c r="B13" s="3" t="str">
        <f>IF(C13="","",'PM_info+'!B13)</f>
        <v/>
      </c>
      <c r="C13" s="1" t="str">
        <f>IF('PM_info+'!D13="","",'PM_info+'!D13)</f>
        <v/>
      </c>
      <c r="D13" s="3" t="str">
        <f>IF(C13="","",'Plate organization+'!$B$43)</f>
        <v/>
      </c>
      <c r="E13" t="s">
        <v>151</v>
      </c>
    </row>
    <row r="14" spans="1:5" x14ac:dyDescent="0.25">
      <c r="A14" s="3" t="str">
        <f>IF(C14="","",VLOOKUP(C14,Source_Plate!$I$2:$J$97,2,FALSE))</f>
        <v/>
      </c>
      <c r="B14" s="3" t="str">
        <f>IF(C14="","",'PM_info+'!B14)</f>
        <v/>
      </c>
      <c r="C14" s="1" t="str">
        <f>IF('PM_info+'!D14="","",'PM_info+'!D14)</f>
        <v/>
      </c>
      <c r="D14" s="3" t="str">
        <f>IF(C14="","",'Plate organization+'!$B$43)</f>
        <v/>
      </c>
      <c r="E14" t="s">
        <v>151</v>
      </c>
    </row>
    <row r="15" spans="1:5" x14ac:dyDescent="0.25">
      <c r="A15" s="3" t="str">
        <f>IF(C15="","",VLOOKUP(C15,Source_Plate!$I$2:$J$97,2,FALSE))</f>
        <v/>
      </c>
      <c r="B15" s="3" t="str">
        <f>IF(C15="","",'PM_info+'!B15)</f>
        <v/>
      </c>
      <c r="C15" s="1" t="str">
        <f>IF('PM_info+'!D15="","",'PM_info+'!D15)</f>
        <v/>
      </c>
      <c r="D15" s="3" t="str">
        <f>IF(C15="","",'Plate organization+'!$B$43)</f>
        <v/>
      </c>
      <c r="E15" t="s">
        <v>151</v>
      </c>
    </row>
    <row r="16" spans="1:5" x14ac:dyDescent="0.25">
      <c r="A16" s="3" t="str">
        <f>IF(C16="","",VLOOKUP(C16,Source_Plate!$I$2:$J$97,2,FALSE))</f>
        <v/>
      </c>
      <c r="B16" s="3" t="str">
        <f>IF(C16="","",'PM_info+'!B16)</f>
        <v/>
      </c>
      <c r="C16" s="1" t="str">
        <f>IF('PM_info+'!D16="","",'PM_info+'!D16)</f>
        <v/>
      </c>
      <c r="D16" s="3" t="str">
        <f>IF(C16="","",'Plate organization+'!$B$43)</f>
        <v/>
      </c>
      <c r="E16" t="s">
        <v>151</v>
      </c>
    </row>
    <row r="17" spans="1:5" x14ac:dyDescent="0.25">
      <c r="A17" s="3" t="str">
        <f>IF(C17="","",VLOOKUP(C17,Source_Plate!$I$2:$J$97,2,FALSE))</f>
        <v/>
      </c>
      <c r="B17" s="3" t="str">
        <f>IF(C17="","",'PM_info+'!B17)</f>
        <v/>
      </c>
      <c r="C17" s="1" t="str">
        <f>IF('PM_info+'!D17="","",'PM_info+'!D17)</f>
        <v/>
      </c>
      <c r="D17" s="3" t="str">
        <f>IF(C17="","",'Plate organization+'!$B$43)</f>
        <v/>
      </c>
      <c r="E17" t="s">
        <v>151</v>
      </c>
    </row>
    <row r="18" spans="1:5" x14ac:dyDescent="0.25">
      <c r="A18" s="3" t="str">
        <f>IF(C18="","",VLOOKUP(C18,Source_Plate!$I$2:$J$97,2,FALSE))</f>
        <v/>
      </c>
      <c r="B18" s="3" t="str">
        <f>IF(C18="","",'PM_info+'!B18)</f>
        <v/>
      </c>
      <c r="C18" s="1" t="str">
        <f>IF('PM_info+'!D18="","",'PM_info+'!D18)</f>
        <v/>
      </c>
      <c r="D18" s="3" t="str">
        <f>IF(C18="","",'Plate organization+'!$B$43)</f>
        <v/>
      </c>
      <c r="E18" t="s">
        <v>151</v>
      </c>
    </row>
    <row r="19" spans="1:5" x14ac:dyDescent="0.25">
      <c r="A19" s="3" t="str">
        <f>IF(C19="","",VLOOKUP(C19,Source_Plate!$I$2:$J$97,2,FALSE))</f>
        <v/>
      </c>
      <c r="B19" s="3" t="str">
        <f>IF(C19="","",'PM_info+'!B19)</f>
        <v/>
      </c>
      <c r="C19" s="1" t="str">
        <f>IF('PM_info+'!D19="","",'PM_info+'!D19)</f>
        <v/>
      </c>
      <c r="D19" s="3" t="str">
        <f>IF(C19="","",'Plate organization+'!$B$43)</f>
        <v/>
      </c>
      <c r="E19" t="s">
        <v>151</v>
      </c>
    </row>
    <row r="20" spans="1:5" x14ac:dyDescent="0.25">
      <c r="A20" s="3" t="str">
        <f>IF(C20="","",VLOOKUP(C20,Source_Plate!$I$2:$J$97,2,FALSE))</f>
        <v/>
      </c>
      <c r="B20" s="3" t="str">
        <f>IF(C20="","",'PM_info+'!B20)</f>
        <v/>
      </c>
      <c r="C20" s="1" t="str">
        <f>IF('PM_info+'!D20="","",'PM_info+'!D20)</f>
        <v/>
      </c>
      <c r="D20" s="3" t="str">
        <f>IF(C20="","",'Plate organization+'!$B$43)</f>
        <v/>
      </c>
      <c r="E20" t="s">
        <v>151</v>
      </c>
    </row>
    <row r="21" spans="1:5" x14ac:dyDescent="0.25">
      <c r="A21" s="3" t="str">
        <f>IF(C21="","",VLOOKUP(C21,Source_Plate!$I$2:$J$97,2,FALSE))</f>
        <v/>
      </c>
      <c r="B21" s="3" t="str">
        <f>IF(C21="","",'PM_info+'!B21)</f>
        <v/>
      </c>
      <c r="C21" s="1" t="str">
        <f>IF('PM_info+'!D21="","",'PM_info+'!D21)</f>
        <v/>
      </c>
      <c r="D21" s="3" t="str">
        <f>IF(C21="","",'Plate organization+'!$B$43)</f>
        <v/>
      </c>
      <c r="E21" t="s">
        <v>151</v>
      </c>
    </row>
    <row r="22" spans="1:5" x14ac:dyDescent="0.25">
      <c r="A22" s="3" t="str">
        <f>IF(C22="","",VLOOKUP(C22,Source_Plate!$I$2:$J$97,2,FALSE))</f>
        <v/>
      </c>
      <c r="B22" s="3" t="str">
        <f>IF(C22="","",'PM_info+'!B22)</f>
        <v/>
      </c>
      <c r="C22" s="1" t="str">
        <f>IF('PM_info+'!D22="","",'PM_info+'!D22)</f>
        <v/>
      </c>
      <c r="D22" s="3" t="str">
        <f>IF(C22="","",'Plate organization+'!$B$43)</f>
        <v/>
      </c>
      <c r="E22" t="s">
        <v>151</v>
      </c>
    </row>
    <row r="23" spans="1:5" x14ac:dyDescent="0.25">
      <c r="A23" s="3" t="str">
        <f>IF(C23="","",VLOOKUP(C23,Source_Plate!$I$2:$J$97,2,FALSE))</f>
        <v/>
      </c>
      <c r="B23" s="3" t="str">
        <f>IF(C23="","",'PM_info+'!B23)</f>
        <v/>
      </c>
      <c r="C23" s="1" t="str">
        <f>IF('PM_info+'!D23="","",'PM_info+'!D23)</f>
        <v/>
      </c>
      <c r="D23" s="3" t="str">
        <f>IF(C23="","",'Plate organization+'!$B$43)</f>
        <v/>
      </c>
      <c r="E23" t="s">
        <v>151</v>
      </c>
    </row>
    <row r="24" spans="1:5" x14ac:dyDescent="0.25">
      <c r="A24" s="3" t="str">
        <f>IF(C24="","",VLOOKUP(C24,Source_Plate!$I$2:$J$97,2,FALSE))</f>
        <v/>
      </c>
      <c r="B24" s="3" t="str">
        <f>IF(C24="","",'PM_info+'!B24)</f>
        <v/>
      </c>
      <c r="C24" s="1" t="str">
        <f>IF('PM_info+'!D24="","",'PM_info+'!D24)</f>
        <v/>
      </c>
      <c r="D24" s="3" t="str">
        <f>IF(C24="","",'Plate organization+'!$B$43)</f>
        <v/>
      </c>
      <c r="E24" t="s">
        <v>151</v>
      </c>
    </row>
    <row r="25" spans="1:5" x14ac:dyDescent="0.25">
      <c r="A25" s="3" t="str">
        <f>IF(C25="","",VLOOKUP(C25,Source_Plate!$I$2:$J$97,2,FALSE))</f>
        <v/>
      </c>
      <c r="B25" s="3" t="str">
        <f>IF(C25="","",'PM_info+'!B25)</f>
        <v/>
      </c>
      <c r="C25" s="1" t="str">
        <f>IF('PM_info+'!D25="","",'PM_info+'!D25)</f>
        <v/>
      </c>
      <c r="D25" s="3" t="str">
        <f>IF(C25="","",'Plate organization+'!$B$43)</f>
        <v/>
      </c>
      <c r="E25" t="s">
        <v>151</v>
      </c>
    </row>
    <row r="26" spans="1:5" x14ac:dyDescent="0.25">
      <c r="A26" s="3" t="str">
        <f>IF(C26="","",VLOOKUP(C26,Source_Plate!$I$2:$J$97,2,FALSE))</f>
        <v/>
      </c>
      <c r="B26" s="3" t="str">
        <f>IF(C26="","",'PM_info+'!B26)</f>
        <v/>
      </c>
      <c r="C26" s="1" t="str">
        <f>IF('PM_info+'!D26="","",'PM_info+'!D26)</f>
        <v/>
      </c>
      <c r="D26" s="3" t="str">
        <f>IF(C26="","",'Plate organization+'!$B$43)</f>
        <v/>
      </c>
      <c r="E26" t="s">
        <v>151</v>
      </c>
    </row>
    <row r="27" spans="1:5" x14ac:dyDescent="0.25">
      <c r="A27" s="3" t="str">
        <f>IF(C27="","",VLOOKUP(C27,Source_Plate!$I$2:$J$97,2,FALSE))</f>
        <v/>
      </c>
      <c r="B27" s="3" t="str">
        <f>IF(C27="","",'PM_info+'!B27)</f>
        <v/>
      </c>
      <c r="C27" s="1" t="str">
        <f>IF('PM_info+'!D27="","",'PM_info+'!D27)</f>
        <v/>
      </c>
      <c r="D27" s="3" t="str">
        <f>IF(C27="","",'Plate organization+'!$B$43)</f>
        <v/>
      </c>
      <c r="E27" t="s">
        <v>151</v>
      </c>
    </row>
    <row r="28" spans="1:5" x14ac:dyDescent="0.25">
      <c r="A28" s="3" t="str">
        <f>IF(C28="","",VLOOKUP(C28,Source_Plate!$I$2:$J$97,2,FALSE))</f>
        <v/>
      </c>
      <c r="B28" s="3" t="str">
        <f>IF(C28="","",'PM_info+'!B28)</f>
        <v/>
      </c>
      <c r="C28" s="1" t="str">
        <f>IF('PM_info+'!D28="","",'PM_info+'!D28)</f>
        <v/>
      </c>
      <c r="D28" s="3" t="str">
        <f>IF(C28="","",'Plate organization+'!$B$43)</f>
        <v/>
      </c>
      <c r="E28" t="s">
        <v>151</v>
      </c>
    </row>
    <row r="29" spans="1:5" x14ac:dyDescent="0.25">
      <c r="A29" s="3" t="str">
        <f>IF(C29="","",VLOOKUP(C29,Source_Plate!$I$2:$J$97,2,FALSE))</f>
        <v/>
      </c>
      <c r="B29" s="3" t="str">
        <f>IF(C29="","",'PM_info+'!B29)</f>
        <v/>
      </c>
      <c r="C29" s="1" t="str">
        <f>IF('PM_info+'!D29="","",'PM_info+'!D29)</f>
        <v/>
      </c>
      <c r="D29" s="3" t="str">
        <f>IF(C29="","",'Plate organization+'!$B$43)</f>
        <v/>
      </c>
      <c r="E29" t="s">
        <v>151</v>
      </c>
    </row>
    <row r="30" spans="1:5" x14ac:dyDescent="0.25">
      <c r="A30" s="3" t="str">
        <f>IF(C30="","",VLOOKUP(C30,Source_Plate!$I$2:$J$97,2,FALSE))</f>
        <v/>
      </c>
      <c r="B30" s="3" t="str">
        <f>IF(C30="","",'PM_info+'!B30)</f>
        <v/>
      </c>
      <c r="C30" s="1" t="str">
        <f>IF('PM_info+'!D30="","",'PM_info+'!D30)</f>
        <v/>
      </c>
      <c r="D30" s="3" t="str">
        <f>IF(C30="","",'Plate organization+'!$B$43)</f>
        <v/>
      </c>
      <c r="E30" t="s">
        <v>151</v>
      </c>
    </row>
    <row r="31" spans="1:5" x14ac:dyDescent="0.25">
      <c r="A31" s="3" t="str">
        <f>IF(C31="","",VLOOKUP(C31,Source_Plate!$I$2:$J$97,2,FALSE))</f>
        <v/>
      </c>
      <c r="B31" s="3" t="str">
        <f>IF(C31="","",'PM_info+'!B31)</f>
        <v/>
      </c>
      <c r="C31" s="1" t="str">
        <f>IF('PM_info+'!D31="","",'PM_info+'!D31)</f>
        <v/>
      </c>
      <c r="D31" s="3" t="str">
        <f>IF(C31="","",'Plate organization+'!$B$43)</f>
        <v/>
      </c>
      <c r="E31" t="s">
        <v>151</v>
      </c>
    </row>
    <row r="32" spans="1:5" x14ac:dyDescent="0.25">
      <c r="A32" s="3" t="str">
        <f>IF(C32="","",VLOOKUP(C32,Source_Plate!$I$2:$J$97,2,FALSE))</f>
        <v/>
      </c>
      <c r="B32" s="3" t="str">
        <f>IF(C32="","",'PM_info+'!B32)</f>
        <v/>
      </c>
      <c r="C32" s="1" t="str">
        <f>IF('PM_info+'!D32="","",'PM_info+'!D32)</f>
        <v/>
      </c>
      <c r="D32" s="3" t="str">
        <f>IF(C32="","",'Plate organization+'!$B$43)</f>
        <v/>
      </c>
      <c r="E32" t="s">
        <v>151</v>
      </c>
    </row>
    <row r="33" spans="1:5" x14ac:dyDescent="0.25">
      <c r="A33" s="3" t="str">
        <f>IF(C33="","",VLOOKUP(C33,Source_Plate!$I$2:$J$97,2,FALSE))</f>
        <v/>
      </c>
      <c r="B33" s="3" t="str">
        <f>IF(C33="","",'PM_info+'!B33)</f>
        <v/>
      </c>
      <c r="C33" s="1" t="str">
        <f>IF('PM_info+'!D33="","",'PM_info+'!D33)</f>
        <v/>
      </c>
      <c r="D33" s="3" t="str">
        <f>IF(C33="","",'Plate organization+'!$B$43)</f>
        <v/>
      </c>
      <c r="E33" t="s">
        <v>151</v>
      </c>
    </row>
    <row r="34" spans="1:5" x14ac:dyDescent="0.25">
      <c r="A34" s="3" t="str">
        <f>IF(C34="","",VLOOKUP(C34,Source_Plate!$I$2:$J$97,2,FALSE))</f>
        <v/>
      </c>
      <c r="B34" s="3" t="str">
        <f>IF(C34="","",'PM_info+'!B34)</f>
        <v/>
      </c>
      <c r="C34" s="1" t="str">
        <f>IF('PM_info+'!D34="","",'PM_info+'!D34)</f>
        <v/>
      </c>
      <c r="D34" s="3" t="str">
        <f>IF(C34="","",'Plate organization+'!$B$43)</f>
        <v/>
      </c>
      <c r="E34" t="s">
        <v>151</v>
      </c>
    </row>
    <row r="35" spans="1:5" x14ac:dyDescent="0.25">
      <c r="A35" s="3" t="str">
        <f>IF(C35="","",VLOOKUP(C35,Source_Plate!$I$2:$J$97,2,FALSE))</f>
        <v/>
      </c>
      <c r="B35" s="3" t="str">
        <f>IF(C35="","",'PM_info+'!B35)</f>
        <v/>
      </c>
      <c r="C35" s="1" t="str">
        <f>IF('PM_info+'!D35="","",'PM_info+'!D35)</f>
        <v/>
      </c>
      <c r="D35" s="3" t="str">
        <f>IF(C35="","",'Plate organization+'!$B$43)</f>
        <v/>
      </c>
      <c r="E35" t="s">
        <v>151</v>
      </c>
    </row>
    <row r="36" spans="1:5" x14ac:dyDescent="0.25">
      <c r="A36" s="3" t="str">
        <f>IF(C36="","",VLOOKUP(C36,Source_Plate!$I$2:$J$97,2,FALSE))</f>
        <v/>
      </c>
      <c r="B36" s="3" t="str">
        <f>IF(C36="","",'PM_info+'!B36)</f>
        <v/>
      </c>
      <c r="C36" s="1" t="str">
        <f>IF('PM_info+'!D36="","",'PM_info+'!D36)</f>
        <v/>
      </c>
      <c r="D36" s="3" t="str">
        <f>IF(C36="","",'Plate organization+'!$B$43)</f>
        <v/>
      </c>
      <c r="E36" t="s">
        <v>151</v>
      </c>
    </row>
    <row r="37" spans="1:5" x14ac:dyDescent="0.25">
      <c r="A37" s="3" t="str">
        <f>IF(C37="","",VLOOKUP(C37,Source_Plate!$I$2:$J$97,2,FALSE))</f>
        <v/>
      </c>
      <c r="B37" s="3" t="str">
        <f>IF(C37="","",'PM_info+'!B37)</f>
        <v/>
      </c>
      <c r="C37" s="1" t="str">
        <f>IF('PM_info+'!D37="","",'PM_info+'!D37)</f>
        <v/>
      </c>
      <c r="D37" s="3" t="str">
        <f>IF(C37="","",'Plate organization+'!$B$43)</f>
        <v/>
      </c>
      <c r="E37" t="s">
        <v>151</v>
      </c>
    </row>
    <row r="38" spans="1:5" x14ac:dyDescent="0.25">
      <c r="A38" s="3" t="str">
        <f>IF(C38="","",VLOOKUP(C38,Source_Plate!$I$2:$J$97,2,FALSE))</f>
        <v/>
      </c>
      <c r="B38" s="3" t="str">
        <f>IF(C38="","",'PM_info+'!B38)</f>
        <v/>
      </c>
      <c r="C38" s="1" t="str">
        <f>IF('PM_info+'!D38="","",'PM_info+'!D38)</f>
        <v/>
      </c>
      <c r="D38" s="3" t="str">
        <f>IF(C38="","",'Plate organization+'!$B$43)</f>
        <v/>
      </c>
      <c r="E38" t="s">
        <v>151</v>
      </c>
    </row>
    <row r="39" spans="1:5" x14ac:dyDescent="0.25">
      <c r="A39" s="3" t="str">
        <f>IF(C39="","",VLOOKUP(C39,Source_Plate!$I$2:$J$97,2,FALSE))</f>
        <v/>
      </c>
      <c r="B39" s="3" t="str">
        <f>IF(C39="","",'PM_info+'!B39)</f>
        <v/>
      </c>
      <c r="C39" s="1" t="str">
        <f>IF('PM_info+'!D39="","",'PM_info+'!D39)</f>
        <v/>
      </c>
      <c r="D39" s="3" t="str">
        <f>IF(C39="","",'Plate organization+'!$B$43)</f>
        <v/>
      </c>
      <c r="E39" t="s">
        <v>151</v>
      </c>
    </row>
    <row r="40" spans="1:5" x14ac:dyDescent="0.25">
      <c r="A40" s="3" t="str">
        <f>IF(C40="","",VLOOKUP(C40,Source_Plate!$I$2:$J$97,2,FALSE))</f>
        <v/>
      </c>
      <c r="B40" s="3" t="str">
        <f>IF(C40="","",'PM_info+'!B40)</f>
        <v/>
      </c>
      <c r="C40" s="1" t="str">
        <f>IF('PM_info+'!D40="","",'PM_info+'!D40)</f>
        <v/>
      </c>
      <c r="D40" s="3" t="str">
        <f>IF(C40="","",'Plate organization+'!$B$43)</f>
        <v/>
      </c>
      <c r="E40" t="s">
        <v>151</v>
      </c>
    </row>
    <row r="41" spans="1:5" x14ac:dyDescent="0.25">
      <c r="A41" s="3" t="str">
        <f>IF(C41="","",VLOOKUP(C41,Source_Plate!$I$2:$J$97,2,FALSE))</f>
        <v/>
      </c>
      <c r="B41" s="3" t="str">
        <f>IF(C41="","",'PM_info+'!B41)</f>
        <v/>
      </c>
      <c r="C41" s="1" t="str">
        <f>IF('PM_info+'!D41="","",'PM_info+'!D41)</f>
        <v/>
      </c>
      <c r="D41" s="3" t="str">
        <f>IF(C41="","",'Plate organization+'!$B$43)</f>
        <v/>
      </c>
      <c r="E41" t="s">
        <v>151</v>
      </c>
    </row>
    <row r="42" spans="1:5" x14ac:dyDescent="0.25">
      <c r="A42" s="3" t="str">
        <f>IF(C42="","",VLOOKUP(C42,Source_Plate!$I$2:$J$97,2,FALSE))</f>
        <v/>
      </c>
      <c r="B42" s="3" t="str">
        <f>IF(C42="","",'PM_info+'!B42)</f>
        <v/>
      </c>
      <c r="C42" s="1" t="str">
        <f>IF('PM_info+'!D42="","",'PM_info+'!D42)</f>
        <v/>
      </c>
      <c r="D42" s="3" t="str">
        <f>IF(C42="","",'Plate organization+'!$B$43)</f>
        <v/>
      </c>
      <c r="E42" t="s">
        <v>151</v>
      </c>
    </row>
    <row r="43" spans="1:5" x14ac:dyDescent="0.25">
      <c r="A43" s="3" t="str">
        <f>IF(C43="","",VLOOKUP(C43,Source_Plate!$I$2:$J$97,2,FALSE))</f>
        <v/>
      </c>
      <c r="B43" s="3" t="str">
        <f>IF(C43="","",'PM_info+'!B43)</f>
        <v/>
      </c>
      <c r="C43" s="1" t="str">
        <f>IF('PM_info+'!D43="","",'PM_info+'!D43)</f>
        <v/>
      </c>
      <c r="D43" s="3" t="str">
        <f>IF(C43="","",'Plate organization+'!$B$43)</f>
        <v/>
      </c>
      <c r="E43" t="s">
        <v>151</v>
      </c>
    </row>
    <row r="44" spans="1:5" x14ac:dyDescent="0.25">
      <c r="A44" s="3" t="str">
        <f>IF(C44="","",VLOOKUP(C44,Source_Plate!$I$2:$J$97,2,FALSE))</f>
        <v/>
      </c>
      <c r="B44" s="3" t="str">
        <f>IF(C44="","",'PM_info+'!B44)</f>
        <v/>
      </c>
      <c r="C44" s="1" t="str">
        <f>IF('PM_info+'!D44="","",'PM_info+'!D44)</f>
        <v/>
      </c>
      <c r="D44" s="3" t="str">
        <f>IF(C44="","",'Plate organization+'!$B$43)</f>
        <v/>
      </c>
      <c r="E44" t="s">
        <v>151</v>
      </c>
    </row>
    <row r="45" spans="1:5" x14ac:dyDescent="0.25">
      <c r="A45" s="3" t="str">
        <f>IF(C45="","",VLOOKUP(C45,Source_Plate!$I$2:$J$97,2,FALSE))</f>
        <v/>
      </c>
      <c r="B45" s="3" t="str">
        <f>IF(C45="","",'PM_info+'!B45)</f>
        <v/>
      </c>
      <c r="C45" s="1" t="str">
        <f>IF('PM_info+'!D45="","",'PM_info+'!D45)</f>
        <v/>
      </c>
      <c r="D45" s="3" t="str">
        <f>IF(C45="","",'Plate organization+'!$B$43)</f>
        <v/>
      </c>
      <c r="E45" t="s">
        <v>151</v>
      </c>
    </row>
    <row r="46" spans="1:5" x14ac:dyDescent="0.25">
      <c r="A46" s="3" t="str">
        <f>IF(C46="","",VLOOKUP(C46,Source_Plate!$I$2:$J$97,2,FALSE))</f>
        <v/>
      </c>
      <c r="B46" s="3" t="str">
        <f>IF(C46="","",'PM_info+'!B46)</f>
        <v/>
      </c>
      <c r="C46" s="1" t="str">
        <f>IF('PM_info+'!D46="","",'PM_info+'!D46)</f>
        <v/>
      </c>
      <c r="D46" s="3" t="str">
        <f>IF(C46="","",'Plate organization+'!$B$43)</f>
        <v/>
      </c>
      <c r="E46" t="s">
        <v>151</v>
      </c>
    </row>
    <row r="47" spans="1:5" x14ac:dyDescent="0.25">
      <c r="A47" s="3" t="str">
        <f>IF(C47="","",VLOOKUP(C47,Source_Plate!$I$2:$J$97,2,FALSE))</f>
        <v/>
      </c>
      <c r="B47" s="3" t="str">
        <f>IF(C47="","",'PM_info+'!B47)</f>
        <v/>
      </c>
      <c r="C47" s="1" t="str">
        <f>IF('PM_info+'!D47="","",'PM_info+'!D47)</f>
        <v/>
      </c>
      <c r="D47" s="3" t="str">
        <f>IF(C47="","",'Plate organization+'!$B$43)</f>
        <v/>
      </c>
      <c r="E47" t="s">
        <v>151</v>
      </c>
    </row>
    <row r="48" spans="1:5" x14ac:dyDescent="0.25">
      <c r="A48" s="3" t="str">
        <f>IF(C48="","",VLOOKUP(C48,Source_Plate!$I$2:$J$97,2,FALSE))</f>
        <v/>
      </c>
      <c r="B48" s="3" t="str">
        <f>IF(C48="","",'PM_info+'!B48)</f>
        <v/>
      </c>
      <c r="C48" s="1" t="str">
        <f>IF('PM_info+'!D48="","",'PM_info+'!D48)</f>
        <v/>
      </c>
      <c r="D48" s="3" t="str">
        <f>IF(C48="","",'Plate organization+'!$B$43)</f>
        <v/>
      </c>
      <c r="E48" t="s">
        <v>151</v>
      </c>
    </row>
    <row r="49" spans="1:5" x14ac:dyDescent="0.25">
      <c r="A49" s="3" t="str">
        <f>IF(C49="","",VLOOKUP(C49,Source_Plate!$I$2:$J$97,2,FALSE))</f>
        <v/>
      </c>
      <c r="B49" s="3" t="str">
        <f>IF(C49="","",'PM_info+'!B49)</f>
        <v/>
      </c>
      <c r="C49" s="1" t="str">
        <f>IF('PM_info+'!D49="","",'PM_info+'!D49)</f>
        <v/>
      </c>
      <c r="D49" s="3" t="str">
        <f>IF(C49="","",'Plate organization+'!$B$43)</f>
        <v/>
      </c>
      <c r="E49" t="s">
        <v>151</v>
      </c>
    </row>
    <row r="50" spans="1:5" x14ac:dyDescent="0.25">
      <c r="A50" s="3" t="str">
        <f>IF(C50="","",VLOOKUP(C50,Source_Plate!$I$2:$J$97,2,FALSE))</f>
        <v/>
      </c>
      <c r="B50" s="3" t="str">
        <f>IF(C50="","",'PM_info+'!B50)</f>
        <v/>
      </c>
      <c r="C50" s="1" t="str">
        <f>IF('PM_info+'!D50="","",'PM_info+'!D50)</f>
        <v/>
      </c>
      <c r="D50" s="3" t="str">
        <f>IF(C50="","",'Plate organization+'!$B$43)</f>
        <v/>
      </c>
      <c r="E50" t="s">
        <v>151</v>
      </c>
    </row>
    <row r="51" spans="1:5" x14ac:dyDescent="0.25">
      <c r="A51" s="3" t="str">
        <f>IF(C51="","",VLOOKUP(C51,Source_Plate!$I$2:$J$97,2,FALSE))</f>
        <v/>
      </c>
      <c r="B51" s="3" t="str">
        <f>IF(C51="","",'PM_info+'!B51)</f>
        <v/>
      </c>
      <c r="C51" s="1" t="str">
        <f>IF('PM_info+'!D51="","",'PM_info+'!D51)</f>
        <v/>
      </c>
      <c r="D51" s="3" t="str">
        <f>IF(C51="","",'Plate organization+'!$B$43)</f>
        <v/>
      </c>
      <c r="E51" t="s">
        <v>151</v>
      </c>
    </row>
    <row r="52" spans="1:5" x14ac:dyDescent="0.25">
      <c r="A52" s="3" t="str">
        <f>IF(C52="","",VLOOKUP(C52,Source_Plate!$I$2:$J$97,2,FALSE))</f>
        <v/>
      </c>
      <c r="B52" s="3" t="str">
        <f>IF(C52="","",'PM_info+'!B52)</f>
        <v/>
      </c>
      <c r="C52" s="1" t="str">
        <f>IF('PM_info+'!D52="","",'PM_info+'!D52)</f>
        <v/>
      </c>
      <c r="D52" s="3" t="str">
        <f>IF(C52="","",'Plate organization+'!$B$43)</f>
        <v/>
      </c>
      <c r="E52" t="s">
        <v>151</v>
      </c>
    </row>
    <row r="53" spans="1:5" x14ac:dyDescent="0.25">
      <c r="A53" s="3" t="str">
        <f>IF(C53="","",VLOOKUP(C53,Source_Plate!$I$2:$J$97,2,FALSE))</f>
        <v/>
      </c>
      <c r="B53" s="3" t="str">
        <f>IF(C53="","",'PM_info+'!B53)</f>
        <v/>
      </c>
      <c r="C53" s="1" t="str">
        <f>IF('PM_info+'!D53="","",'PM_info+'!D53)</f>
        <v/>
      </c>
      <c r="D53" s="3" t="str">
        <f>IF(C53="","",'Plate organization+'!$B$43)</f>
        <v/>
      </c>
      <c r="E53" t="s">
        <v>151</v>
      </c>
    </row>
    <row r="54" spans="1:5" x14ac:dyDescent="0.25">
      <c r="A54" s="3" t="str">
        <f>IF(C54="","",VLOOKUP(C54,Source_Plate!$I$2:$J$97,2,FALSE))</f>
        <v/>
      </c>
      <c r="B54" s="3" t="str">
        <f>IF(C54="","",'PM_info+'!B54)</f>
        <v/>
      </c>
      <c r="C54" s="1" t="str">
        <f>IF('PM_info+'!D54="","",'PM_info+'!D54)</f>
        <v/>
      </c>
      <c r="D54" s="3" t="str">
        <f>IF(C54="","",'Plate organization+'!$B$43)</f>
        <v/>
      </c>
      <c r="E54" t="s">
        <v>151</v>
      </c>
    </row>
    <row r="55" spans="1:5" x14ac:dyDescent="0.25">
      <c r="A55" s="3" t="str">
        <f>IF(C55="","",VLOOKUP(C55,Source_Plate!$I$2:$J$97,2,FALSE))</f>
        <v/>
      </c>
      <c r="B55" s="3" t="str">
        <f>IF(C55="","",'PM_info+'!B55)</f>
        <v/>
      </c>
      <c r="C55" s="1" t="str">
        <f>IF('PM_info+'!D55="","",'PM_info+'!D55)</f>
        <v/>
      </c>
      <c r="D55" s="3" t="str">
        <f>IF(C55="","",'Plate organization+'!$B$43)</f>
        <v/>
      </c>
      <c r="E55" t="s">
        <v>151</v>
      </c>
    </row>
    <row r="56" spans="1:5" x14ac:dyDescent="0.25">
      <c r="A56" s="3" t="str">
        <f>IF(C56="","",VLOOKUP(C56,Source_Plate!$I$2:$J$97,2,FALSE))</f>
        <v/>
      </c>
      <c r="B56" s="3" t="str">
        <f>IF(C56="","",'PM_info+'!B56)</f>
        <v/>
      </c>
      <c r="C56" s="1" t="str">
        <f>IF('PM_info+'!D56="","",'PM_info+'!D56)</f>
        <v/>
      </c>
      <c r="D56" s="3" t="str">
        <f>IF(C56="","",'Plate organization+'!$B$43)</f>
        <v/>
      </c>
      <c r="E56" t="s">
        <v>151</v>
      </c>
    </row>
    <row r="57" spans="1:5" x14ac:dyDescent="0.25">
      <c r="A57" s="3" t="str">
        <f>IF(C57="","",VLOOKUP(C57,Source_Plate!$I$2:$J$97,2,FALSE))</f>
        <v/>
      </c>
      <c r="B57" s="3" t="str">
        <f>IF(C57="","",'PM_info+'!B57)</f>
        <v/>
      </c>
      <c r="C57" s="1" t="str">
        <f>IF('PM_info+'!D57="","",'PM_info+'!D57)</f>
        <v/>
      </c>
      <c r="D57" s="3" t="str">
        <f>IF(C57="","",'Plate organization+'!$B$43)</f>
        <v/>
      </c>
      <c r="E57" t="s">
        <v>151</v>
      </c>
    </row>
    <row r="58" spans="1:5" x14ac:dyDescent="0.25">
      <c r="A58" s="3" t="str">
        <f>IF(C58="","",VLOOKUP(C58,Source_Plate!$I$2:$J$97,2,FALSE))</f>
        <v/>
      </c>
      <c r="B58" s="3" t="str">
        <f>IF(C58="","",'PM_info+'!B58)</f>
        <v/>
      </c>
      <c r="C58" s="1" t="str">
        <f>IF('PM_info+'!D58="","",'PM_info+'!D58)</f>
        <v/>
      </c>
      <c r="D58" s="3" t="str">
        <f>IF(C58="","",'Plate organization+'!$B$43)</f>
        <v/>
      </c>
      <c r="E58" t="s">
        <v>151</v>
      </c>
    </row>
    <row r="59" spans="1:5" x14ac:dyDescent="0.25">
      <c r="A59" s="3" t="str">
        <f>IF(C59="","",VLOOKUP(C59,Source_Plate!$I$2:$J$97,2,FALSE))</f>
        <v/>
      </c>
      <c r="B59" s="3" t="str">
        <f>IF(C59="","",'PM_info+'!B59)</f>
        <v/>
      </c>
      <c r="C59" s="1" t="str">
        <f>IF('PM_info+'!D59="","",'PM_info+'!D59)</f>
        <v/>
      </c>
      <c r="D59" s="3" t="str">
        <f>IF(C59="","",'Plate organization+'!$B$43)</f>
        <v/>
      </c>
      <c r="E59" t="s">
        <v>151</v>
      </c>
    </row>
    <row r="60" spans="1:5" x14ac:dyDescent="0.25">
      <c r="A60" s="3" t="str">
        <f>IF(C60="","",VLOOKUP(C60,Source_Plate!$I$2:$J$97,2,FALSE))</f>
        <v/>
      </c>
      <c r="B60" s="3" t="str">
        <f>IF(C60="","",'PM_info+'!B60)</f>
        <v/>
      </c>
      <c r="C60" s="1" t="str">
        <f>IF('PM_info+'!D60="","",'PM_info+'!D60)</f>
        <v/>
      </c>
      <c r="D60" s="3" t="str">
        <f>IF(C60="","",'Plate organization+'!$B$43)</f>
        <v/>
      </c>
      <c r="E60" t="s">
        <v>151</v>
      </c>
    </row>
    <row r="61" spans="1:5" x14ac:dyDescent="0.25">
      <c r="A61" s="3" t="str">
        <f>IF(C61="","",VLOOKUP(C61,Source_Plate!$I$2:$J$97,2,FALSE))</f>
        <v/>
      </c>
      <c r="B61" s="3" t="str">
        <f>IF(C61="","",'PM_info+'!B61)</f>
        <v/>
      </c>
      <c r="C61" s="1" t="str">
        <f>IF('PM_info+'!D61="","",'PM_info+'!D61)</f>
        <v/>
      </c>
      <c r="D61" s="3" t="str">
        <f>IF(C61="","",'Plate organization+'!$B$43)</f>
        <v/>
      </c>
      <c r="E61" t="s">
        <v>151</v>
      </c>
    </row>
    <row r="62" spans="1:5" x14ac:dyDescent="0.25">
      <c r="A62" s="3" t="str">
        <f>IF(C62="","",VLOOKUP(C62,Source_Plate!$I$2:$J$97,2,FALSE))</f>
        <v/>
      </c>
      <c r="B62" s="3" t="str">
        <f>IF(C62="","",'PM_info+'!B62)</f>
        <v/>
      </c>
      <c r="C62" s="1" t="str">
        <f>IF('PM_info+'!D62="","",'PM_info+'!D62)</f>
        <v/>
      </c>
      <c r="D62" s="3" t="str">
        <f>IF(C62="","",'Plate organization+'!$B$43)</f>
        <v/>
      </c>
      <c r="E62" t="s">
        <v>151</v>
      </c>
    </row>
    <row r="63" spans="1:5" x14ac:dyDescent="0.25">
      <c r="A63" s="3" t="str">
        <f>IF(C63="","",VLOOKUP(C63,Source_Plate!$I$2:$J$97,2,FALSE))</f>
        <v/>
      </c>
      <c r="B63" s="3" t="str">
        <f>IF(C63="","",'PM_info+'!B63)</f>
        <v/>
      </c>
      <c r="C63" s="1" t="str">
        <f>IF('PM_info+'!D63="","",'PM_info+'!D63)</f>
        <v/>
      </c>
      <c r="D63" s="3" t="str">
        <f>IF(C63="","",'Plate organization+'!$B$43)</f>
        <v/>
      </c>
      <c r="E63" t="s">
        <v>151</v>
      </c>
    </row>
    <row r="64" spans="1:5" x14ac:dyDescent="0.25">
      <c r="A64" s="3" t="str">
        <f>IF(C64="","",VLOOKUP(C64,Source_Plate!$I$2:$J$97,2,FALSE))</f>
        <v/>
      </c>
      <c r="B64" s="3" t="str">
        <f>IF(C64="","",'PM_info+'!B64)</f>
        <v/>
      </c>
      <c r="C64" s="1" t="str">
        <f>IF('PM_info+'!D64="","",'PM_info+'!D64)</f>
        <v/>
      </c>
      <c r="D64" s="3" t="str">
        <f>IF(C64="","",'Plate organization+'!$B$43)</f>
        <v/>
      </c>
      <c r="E64" t="s">
        <v>151</v>
      </c>
    </row>
    <row r="65" spans="1:5" x14ac:dyDescent="0.25">
      <c r="A65" s="3" t="str">
        <f>IF(C65="","",VLOOKUP(C65,Source_Plate!$I$2:$J$97,2,FALSE))</f>
        <v/>
      </c>
      <c r="B65" s="3" t="str">
        <f>IF(C65="","",'PM_info+'!B65)</f>
        <v/>
      </c>
      <c r="C65" s="1" t="str">
        <f>IF('PM_info+'!D65="","",'PM_info+'!D65)</f>
        <v/>
      </c>
      <c r="D65" s="3" t="str">
        <f>IF(C65="","",'Plate organization+'!$B$43)</f>
        <v/>
      </c>
      <c r="E65" t="s">
        <v>151</v>
      </c>
    </row>
    <row r="66" spans="1:5" x14ac:dyDescent="0.25">
      <c r="A66" s="3" t="str">
        <f>IF(C66="","",VLOOKUP(C66,Source_Plate!$I$2:$J$97,2,FALSE))</f>
        <v/>
      </c>
      <c r="B66" s="3" t="str">
        <f>IF(C66="","",'PM_info+'!B66)</f>
        <v/>
      </c>
      <c r="C66" s="1" t="str">
        <f>IF('PM_info+'!D66="","",'PM_info+'!D66)</f>
        <v/>
      </c>
      <c r="D66" s="3" t="str">
        <f>IF(C66="","",'Plate organization+'!$B$43)</f>
        <v/>
      </c>
      <c r="E66" t="s">
        <v>151</v>
      </c>
    </row>
    <row r="67" spans="1:5" x14ac:dyDescent="0.25">
      <c r="A67" s="3" t="str">
        <f>IF(C67="","",VLOOKUP(C67,Source_Plate!$I$2:$J$97,2,FALSE))</f>
        <v/>
      </c>
      <c r="B67" s="3" t="str">
        <f>IF(C67="","",'PM_info+'!B67)</f>
        <v/>
      </c>
      <c r="C67" s="1" t="str">
        <f>IF('PM_info+'!D67="","",'PM_info+'!D67)</f>
        <v/>
      </c>
      <c r="D67" s="3" t="str">
        <f>IF(C67="","",'Plate organization+'!$B$43)</f>
        <v/>
      </c>
      <c r="E67" t="s">
        <v>151</v>
      </c>
    </row>
    <row r="68" spans="1:5" x14ac:dyDescent="0.25">
      <c r="A68" s="3" t="str">
        <f>IF(C68="","",VLOOKUP(C68,Source_Plate!$I$2:$J$97,2,FALSE))</f>
        <v/>
      </c>
      <c r="B68" s="3" t="str">
        <f>IF(C68="","",'PM_info+'!B68)</f>
        <v/>
      </c>
      <c r="C68" s="1" t="str">
        <f>IF('PM_info+'!D68="","",'PM_info+'!D68)</f>
        <v/>
      </c>
      <c r="D68" s="3" t="str">
        <f>IF(C68="","",'Plate organization+'!$B$43)</f>
        <v/>
      </c>
      <c r="E68" t="s">
        <v>151</v>
      </c>
    </row>
    <row r="69" spans="1:5" x14ac:dyDescent="0.25">
      <c r="A69" s="3" t="str">
        <f>IF(C69="","",VLOOKUP(C69,Source_Plate!$I$2:$J$97,2,FALSE))</f>
        <v/>
      </c>
      <c r="B69" s="3" t="str">
        <f>IF(C69="","",'PM_info+'!B69)</f>
        <v/>
      </c>
      <c r="C69" s="1" t="str">
        <f>IF('PM_info+'!D69="","",'PM_info+'!D69)</f>
        <v/>
      </c>
      <c r="D69" s="3" t="str">
        <f>IF(C69="","",'Plate organization+'!$B$43)</f>
        <v/>
      </c>
      <c r="E69" t="s">
        <v>151</v>
      </c>
    </row>
    <row r="70" spans="1:5" x14ac:dyDescent="0.25">
      <c r="A70" s="3" t="str">
        <f>IF(C70="","",VLOOKUP(C70,Source_Plate!$I$2:$J$97,2,FALSE))</f>
        <v/>
      </c>
      <c r="B70" s="3" t="str">
        <f>IF(C70="","",'PM_info+'!B70)</f>
        <v/>
      </c>
      <c r="C70" s="1" t="str">
        <f>IF('PM_info+'!D70="","",'PM_info+'!D70)</f>
        <v/>
      </c>
      <c r="D70" s="3" t="str">
        <f>IF(C70="","",'Plate organization+'!$B$43)</f>
        <v/>
      </c>
      <c r="E70" t="s">
        <v>151</v>
      </c>
    </row>
    <row r="71" spans="1:5" x14ac:dyDescent="0.25">
      <c r="A71" s="3" t="str">
        <f>IF(C71="","",VLOOKUP(C71,Source_Plate!$I$2:$J$97,2,FALSE))</f>
        <v/>
      </c>
      <c r="B71" s="3" t="str">
        <f>IF(C71="","",'PM_info+'!B71)</f>
        <v/>
      </c>
      <c r="C71" s="1" t="str">
        <f>IF('PM_info+'!D71="","",'PM_info+'!D71)</f>
        <v/>
      </c>
      <c r="D71" s="3" t="str">
        <f>IF(C71="","",'Plate organization+'!$B$43)</f>
        <v/>
      </c>
      <c r="E71" t="s">
        <v>151</v>
      </c>
    </row>
    <row r="72" spans="1:5" x14ac:dyDescent="0.25">
      <c r="A72" s="3" t="str">
        <f>IF(C72="","",VLOOKUP(C72,Source_Plate!$I$2:$J$97,2,FALSE))</f>
        <v/>
      </c>
      <c r="B72" s="3" t="str">
        <f>IF(C72="","",'PM_info+'!B72)</f>
        <v/>
      </c>
      <c r="C72" s="1" t="str">
        <f>IF('PM_info+'!D72="","",'PM_info+'!D72)</f>
        <v/>
      </c>
      <c r="D72" s="3" t="str">
        <f>IF(C72="","",'Plate organization+'!$B$43)</f>
        <v/>
      </c>
      <c r="E72" t="s">
        <v>151</v>
      </c>
    </row>
    <row r="73" spans="1:5" x14ac:dyDescent="0.25">
      <c r="A73" s="3" t="str">
        <f>IF(C73="","",VLOOKUP(C73,Source_Plate!$I$2:$J$97,2,FALSE))</f>
        <v/>
      </c>
      <c r="B73" s="3" t="str">
        <f>IF(C73="","",'PM_info+'!B73)</f>
        <v/>
      </c>
      <c r="C73" s="1" t="str">
        <f>IF('PM_info+'!D73="","",'PM_info+'!D73)</f>
        <v/>
      </c>
      <c r="D73" s="3" t="str">
        <f>IF(C73="","",'Plate organization+'!$B$43)</f>
        <v/>
      </c>
      <c r="E73" t="s">
        <v>151</v>
      </c>
    </row>
    <row r="74" spans="1:5" x14ac:dyDescent="0.25">
      <c r="A74" s="3" t="str">
        <f>IF(C74="","",VLOOKUP(C74,Source_Plate!$I$2:$J$97,2,FALSE))</f>
        <v/>
      </c>
      <c r="B74" s="3" t="str">
        <f>IF(C74="","",'PM_info+'!B74)</f>
        <v/>
      </c>
      <c r="C74" s="1" t="str">
        <f>IF('PM_info+'!D74="","",'PM_info+'!D74)</f>
        <v/>
      </c>
      <c r="D74" s="3" t="str">
        <f>IF(C74="","",'Plate organization+'!$B$43)</f>
        <v/>
      </c>
      <c r="E74" t="s">
        <v>151</v>
      </c>
    </row>
    <row r="75" spans="1:5" x14ac:dyDescent="0.25">
      <c r="A75" s="3" t="str">
        <f>IF(C75="","",VLOOKUP(C75,Source_Plate!$I$2:$J$97,2,FALSE))</f>
        <v/>
      </c>
      <c r="B75" s="3" t="str">
        <f>IF(C75="","",'PM_info+'!B75)</f>
        <v/>
      </c>
      <c r="C75" s="1" t="str">
        <f>IF('PM_info+'!D75="","",'PM_info+'!D75)</f>
        <v/>
      </c>
      <c r="D75" s="3" t="str">
        <f>IF(C75="","",'Plate organization+'!$B$43)</f>
        <v/>
      </c>
      <c r="E75" t="s">
        <v>151</v>
      </c>
    </row>
    <row r="76" spans="1:5" x14ac:dyDescent="0.25">
      <c r="A76" s="3" t="str">
        <f>IF(C76="","",VLOOKUP(C76,Source_Plate!$I$2:$J$97,2,FALSE))</f>
        <v/>
      </c>
      <c r="B76" s="3" t="str">
        <f>IF(C76="","",'PM_info+'!B76)</f>
        <v/>
      </c>
      <c r="C76" s="1" t="str">
        <f>IF('PM_info+'!D76="","",'PM_info+'!D76)</f>
        <v/>
      </c>
      <c r="D76" s="3" t="str">
        <f>IF(C76="","",'Plate organization+'!$B$43)</f>
        <v/>
      </c>
      <c r="E76" t="s">
        <v>151</v>
      </c>
    </row>
    <row r="77" spans="1:5" x14ac:dyDescent="0.25">
      <c r="A77" s="3" t="str">
        <f>IF(C77="","",VLOOKUP(C77,Source_Plate!$I$2:$J$97,2,FALSE))</f>
        <v/>
      </c>
      <c r="B77" s="3" t="str">
        <f>IF(C77="","",'PM_info+'!B77)</f>
        <v/>
      </c>
      <c r="C77" s="1" t="str">
        <f>IF('PM_info+'!D77="","",'PM_info+'!D77)</f>
        <v/>
      </c>
      <c r="D77" s="3" t="str">
        <f>IF(C77="","",'Plate organization+'!$B$43)</f>
        <v/>
      </c>
      <c r="E77" t="s">
        <v>151</v>
      </c>
    </row>
    <row r="78" spans="1:5" x14ac:dyDescent="0.25">
      <c r="A78" s="3" t="str">
        <f>IF(C78="","",VLOOKUP(C78,Source_Plate!$I$2:$J$97,2,FALSE))</f>
        <v/>
      </c>
      <c r="B78" s="3" t="str">
        <f>IF(C78="","",'PM_info+'!B78)</f>
        <v/>
      </c>
      <c r="C78" s="1" t="str">
        <f>IF('PM_info+'!D78="","",'PM_info+'!D78)</f>
        <v/>
      </c>
      <c r="D78" s="3" t="str">
        <f>IF(C78="","",'Plate organization+'!$B$43)</f>
        <v/>
      </c>
      <c r="E78" t="s">
        <v>151</v>
      </c>
    </row>
    <row r="79" spans="1:5" x14ac:dyDescent="0.25">
      <c r="A79" s="3" t="str">
        <f>IF(C79="","",VLOOKUP(C79,Source_Plate!$I$2:$J$97,2,FALSE))</f>
        <v/>
      </c>
      <c r="B79" s="3" t="str">
        <f>IF(C79="","",'PM_info+'!B79)</f>
        <v/>
      </c>
      <c r="C79" s="1" t="str">
        <f>IF('PM_info+'!D79="","",'PM_info+'!D79)</f>
        <v/>
      </c>
      <c r="D79" s="3" t="str">
        <f>IF(C79="","",'Plate organization+'!$B$43)</f>
        <v/>
      </c>
      <c r="E79" t="s">
        <v>151</v>
      </c>
    </row>
    <row r="80" spans="1:5" x14ac:dyDescent="0.25">
      <c r="A80" s="3" t="str">
        <f>IF(C80="","",VLOOKUP(C80,Source_Plate!$I$2:$J$97,2,FALSE))</f>
        <v/>
      </c>
      <c r="B80" s="3" t="str">
        <f>IF(C80="","",'PM_info+'!B80)</f>
        <v/>
      </c>
      <c r="C80" s="1" t="str">
        <f>IF('PM_info+'!D80="","",'PM_info+'!D80)</f>
        <v/>
      </c>
      <c r="D80" s="3" t="str">
        <f>IF(C80="","",'Plate organization+'!$B$43)</f>
        <v/>
      </c>
      <c r="E80" t="s">
        <v>151</v>
      </c>
    </row>
    <row r="81" spans="1:5" x14ac:dyDescent="0.25">
      <c r="A81" s="3" t="str">
        <f>IF(C81="","",VLOOKUP(C81,Source_Plate!$I$2:$J$97,2,FALSE))</f>
        <v/>
      </c>
      <c r="B81" s="3" t="str">
        <f>IF(C81="","",'PM_info+'!B81)</f>
        <v/>
      </c>
      <c r="C81" s="1" t="str">
        <f>IF('PM_info+'!D81="","",'PM_info+'!D81)</f>
        <v/>
      </c>
      <c r="D81" s="3" t="str">
        <f>IF(C81="","",'Plate organization+'!$B$43)</f>
        <v/>
      </c>
      <c r="E81" t="s">
        <v>151</v>
      </c>
    </row>
    <row r="82" spans="1:5" x14ac:dyDescent="0.25">
      <c r="A82" s="3" t="str">
        <f>IF(C82="","",VLOOKUP(C82,Source_Plate!$I$2:$J$97,2,FALSE))</f>
        <v/>
      </c>
      <c r="B82" s="3" t="str">
        <f>IF(C82="","",'PM_info+'!B82)</f>
        <v/>
      </c>
      <c r="C82" s="1" t="str">
        <f>IF('PM_info+'!D82="","",'PM_info+'!D82)</f>
        <v/>
      </c>
      <c r="D82" s="3" t="str">
        <f>IF(C82="","",'Plate organization+'!$B$43)</f>
        <v/>
      </c>
      <c r="E82" t="s">
        <v>151</v>
      </c>
    </row>
    <row r="83" spans="1:5" x14ac:dyDescent="0.25">
      <c r="A83" s="3" t="str">
        <f>IF(C83="","",VLOOKUP(C83,Source_Plate!$I$2:$J$97,2,FALSE))</f>
        <v/>
      </c>
      <c r="B83" s="3" t="str">
        <f>IF(C83="","",'PM_info+'!B83)</f>
        <v/>
      </c>
      <c r="C83" s="1" t="str">
        <f>IF('PM_info+'!D83="","",'PM_info+'!D83)</f>
        <v/>
      </c>
      <c r="D83" s="3" t="str">
        <f>IF(C83="","",'Plate organization+'!$B$43)</f>
        <v/>
      </c>
      <c r="E83" t="s">
        <v>151</v>
      </c>
    </row>
    <row r="84" spans="1:5" x14ac:dyDescent="0.25">
      <c r="A84" s="3" t="str">
        <f>IF(C84="","",VLOOKUP(C84,Source_Plate!$I$2:$J$97,2,FALSE))</f>
        <v/>
      </c>
      <c r="B84" s="3" t="str">
        <f>IF(C84="","",'PM_info+'!B84)</f>
        <v/>
      </c>
      <c r="C84" s="1" t="str">
        <f>IF('PM_info+'!D84="","",'PM_info+'!D84)</f>
        <v/>
      </c>
      <c r="D84" s="3" t="str">
        <f>IF(C84="","",'Plate organization+'!$B$43)</f>
        <v/>
      </c>
      <c r="E84" t="s">
        <v>151</v>
      </c>
    </row>
    <row r="85" spans="1:5" x14ac:dyDescent="0.25">
      <c r="A85" s="3" t="str">
        <f>IF(C85="","",VLOOKUP(C85,Source_Plate!$I$2:$J$97,2,FALSE))</f>
        <v/>
      </c>
      <c r="B85" s="3" t="str">
        <f>IF(C85="","",'PM_info+'!B85)</f>
        <v/>
      </c>
      <c r="C85" s="1" t="str">
        <f>IF('PM_info+'!D85="","",'PM_info+'!D85)</f>
        <v/>
      </c>
      <c r="D85" s="3" t="str">
        <f>IF(C85="","",'Plate organization+'!$B$43)</f>
        <v/>
      </c>
      <c r="E85" t="s">
        <v>151</v>
      </c>
    </row>
    <row r="86" spans="1:5" x14ac:dyDescent="0.25">
      <c r="A86" s="3" t="str">
        <f>IF(C86="","",VLOOKUP(C86,Source_Plate!$I$2:$J$97,2,FALSE))</f>
        <v/>
      </c>
      <c r="B86" s="3" t="str">
        <f>IF(C86="","",'PM_info+'!B86)</f>
        <v/>
      </c>
      <c r="C86" s="1" t="str">
        <f>IF('PM_info+'!D86="","",'PM_info+'!D86)</f>
        <v/>
      </c>
      <c r="D86" s="3" t="str">
        <f>IF(C86="","",'Plate organization+'!$B$43)</f>
        <v/>
      </c>
      <c r="E86" t="s">
        <v>151</v>
      </c>
    </row>
    <row r="87" spans="1:5" x14ac:dyDescent="0.25">
      <c r="A87" s="3" t="str">
        <f>IF(C87="","",VLOOKUP(C87,Source_Plate!$I$2:$J$97,2,FALSE))</f>
        <v/>
      </c>
      <c r="B87" s="3" t="str">
        <f>IF(C87="","",'PM_info+'!B87)</f>
        <v/>
      </c>
      <c r="C87" s="1" t="str">
        <f>IF('PM_info+'!D87="","",'PM_info+'!D87)</f>
        <v/>
      </c>
      <c r="D87" s="3" t="str">
        <f>IF(C87="","",'Plate organization+'!$B$43)</f>
        <v/>
      </c>
      <c r="E87" t="s">
        <v>151</v>
      </c>
    </row>
    <row r="88" spans="1:5" x14ac:dyDescent="0.25">
      <c r="A88" s="3" t="str">
        <f>IF(C88="","",VLOOKUP(C88,Source_Plate!$I$2:$J$97,2,FALSE))</f>
        <v/>
      </c>
      <c r="B88" s="3" t="str">
        <f>IF(C88="","",'PM_info+'!B88)</f>
        <v/>
      </c>
      <c r="C88" s="1" t="str">
        <f>IF('PM_info+'!D88="","",'PM_info+'!D88)</f>
        <v/>
      </c>
      <c r="D88" s="3" t="str">
        <f>IF(C88="","",'Plate organization+'!$B$43)</f>
        <v/>
      </c>
      <c r="E88" t="s">
        <v>151</v>
      </c>
    </row>
    <row r="89" spans="1:5" x14ac:dyDescent="0.25">
      <c r="A89" s="3" t="str">
        <f>IF(C89="","",VLOOKUP(C89,Source_Plate!$I$2:$J$97,2,FALSE))</f>
        <v/>
      </c>
      <c r="B89" s="3" t="str">
        <f>IF(C89="","",'PM_info+'!B89)</f>
        <v/>
      </c>
      <c r="C89" s="1" t="str">
        <f>IF('PM_info+'!D89="","",'PM_info+'!D89)</f>
        <v/>
      </c>
      <c r="D89" s="3" t="str">
        <f>IF(C89="","",'Plate organization+'!$B$43)</f>
        <v/>
      </c>
      <c r="E89" t="s">
        <v>151</v>
      </c>
    </row>
    <row r="90" spans="1:5" x14ac:dyDescent="0.25">
      <c r="A90" s="3" t="str">
        <f>IF(C90="","",VLOOKUP(C90,Source_Plate!$I$2:$J$97,2,FALSE))</f>
        <v/>
      </c>
      <c r="B90" s="3" t="str">
        <f>IF(C90="","",'PM_info+'!B90)</f>
        <v/>
      </c>
      <c r="C90" s="1" t="str">
        <f>IF('PM_info+'!D90="","",'PM_info+'!D90)</f>
        <v/>
      </c>
      <c r="D90" s="3" t="str">
        <f>IF(C90="","",'Plate organization+'!$B$43)</f>
        <v/>
      </c>
      <c r="E90" t="s">
        <v>151</v>
      </c>
    </row>
    <row r="91" spans="1:5" x14ac:dyDescent="0.25">
      <c r="A91" s="3" t="str">
        <f>IF(C91="","",VLOOKUP(C91,Source_Plate!$I$2:$J$97,2,FALSE))</f>
        <v/>
      </c>
      <c r="B91" s="3" t="str">
        <f>IF(C91="","",'PM_info+'!B91)</f>
        <v/>
      </c>
      <c r="C91" s="1" t="str">
        <f>IF('PM_info+'!D91="","",'PM_info+'!D91)</f>
        <v/>
      </c>
      <c r="D91" s="3" t="str">
        <f>IF(C91="","",'Plate organization+'!$B$43)</f>
        <v/>
      </c>
      <c r="E91" t="s">
        <v>151</v>
      </c>
    </row>
    <row r="92" spans="1:5" x14ac:dyDescent="0.25">
      <c r="A92" s="3" t="str">
        <f>IF(C92="","",VLOOKUP(C92,Source_Plate!$I$2:$J$97,2,FALSE))</f>
        <v/>
      </c>
      <c r="B92" s="3" t="str">
        <f>IF(C92="","",'PM_info+'!B92)</f>
        <v/>
      </c>
      <c r="C92" s="1" t="str">
        <f>IF('PM_info+'!D92="","",'PM_info+'!D92)</f>
        <v/>
      </c>
      <c r="D92" s="3" t="str">
        <f>IF(C92="","",'Plate organization+'!$B$43)</f>
        <v/>
      </c>
      <c r="E92" t="s">
        <v>151</v>
      </c>
    </row>
    <row r="93" spans="1:5" x14ac:dyDescent="0.25">
      <c r="A93" s="3" t="str">
        <f>IF(C93="","",VLOOKUP(C93,Source_Plate!$I$2:$J$97,2,FALSE))</f>
        <v/>
      </c>
      <c r="B93" s="3" t="str">
        <f>IF(C93="","",'PM_info+'!B93)</f>
        <v/>
      </c>
      <c r="C93" s="1" t="str">
        <f>IF('PM_info+'!D93="","",'PM_info+'!D93)</f>
        <v/>
      </c>
      <c r="D93" s="3" t="str">
        <f>IF(C93="","",'Plate organization+'!$B$43)</f>
        <v/>
      </c>
      <c r="E93" t="s">
        <v>151</v>
      </c>
    </row>
    <row r="94" spans="1:5" x14ac:dyDescent="0.25">
      <c r="A94" s="3" t="str">
        <f>IF(C94="","",VLOOKUP(C94,Source_Plate!$I$2:$J$97,2,FALSE))</f>
        <v/>
      </c>
      <c r="B94" s="3" t="str">
        <f>IF(C94="","",'PM_info+'!B94)</f>
        <v/>
      </c>
      <c r="C94" s="1" t="str">
        <f>IF('PM_info+'!D94="","",'PM_info+'!D94)</f>
        <v/>
      </c>
      <c r="D94" s="3" t="str">
        <f>IF(C94="","",'Plate organization+'!$B$43)</f>
        <v/>
      </c>
      <c r="E94" t="s">
        <v>151</v>
      </c>
    </row>
    <row r="95" spans="1:5" x14ac:dyDescent="0.25">
      <c r="A95" s="3" t="str">
        <f>IF(C95="","",VLOOKUP(C95,Source_Plate!$I$2:$J$97,2,FALSE))</f>
        <v/>
      </c>
      <c r="B95" s="3" t="str">
        <f>IF(C95="","",'PM_info+'!B95)</f>
        <v/>
      </c>
      <c r="C95" s="1" t="str">
        <f>IF('PM_info+'!D95="","",'PM_info+'!D95)</f>
        <v/>
      </c>
      <c r="D95" s="3" t="str">
        <f>IF(C95="","",'Plate organization+'!$B$43)</f>
        <v/>
      </c>
      <c r="E95" t="s">
        <v>151</v>
      </c>
    </row>
    <row r="96" spans="1:5" x14ac:dyDescent="0.25">
      <c r="A96" s="3" t="str">
        <f>IF(C96="","",VLOOKUP(C96,Source_Plate!$I$2:$J$97,2,FALSE))</f>
        <v/>
      </c>
      <c r="B96" s="3" t="str">
        <f>IF(C96="","",'PM_info+'!B96)</f>
        <v/>
      </c>
      <c r="C96" s="1" t="str">
        <f>IF('PM_info+'!D96="","",'PM_info+'!D96)</f>
        <v/>
      </c>
      <c r="D96" s="3" t="str">
        <f>IF(C96="","",'Plate organization+'!$B$43)</f>
        <v/>
      </c>
      <c r="E96" t="s">
        <v>151</v>
      </c>
    </row>
    <row r="97" spans="1:5" s="119" customFormat="1" x14ac:dyDescent="0.25">
      <c r="A97" s="118" t="str">
        <f>IF(C97="","",VLOOKUP(C97,Source_Plate!$I$2:$J$97,2,FALSE))</f>
        <v/>
      </c>
      <c r="B97" s="118" t="str">
        <f>IF(C97="","",'PM_info+'!B97)</f>
        <v/>
      </c>
      <c r="C97" s="120" t="str">
        <f>IF('PM_info+'!D97="","",'PM_info+'!D97)</f>
        <v/>
      </c>
      <c r="D97" s="118" t="str">
        <f>IF(C97="","",'Plate organization+'!$B$43)</f>
        <v/>
      </c>
      <c r="E97" s="119" t="s">
        <v>151</v>
      </c>
    </row>
    <row r="98" spans="1:5" x14ac:dyDescent="0.25">
      <c r="A98" s="3" t="str">
        <f>IF(C98="","",VLOOKUP(C98,Source_Plate!$I$2:$J$97,2,FALSE))</f>
        <v/>
      </c>
      <c r="B98" s="3" t="str">
        <f>IF(C98="","",'PM_info+'!B2)</f>
        <v/>
      </c>
      <c r="C98" s="1" t="str">
        <f>IF('PM_info+'!E2="","",'PM_info+'!E2)</f>
        <v/>
      </c>
      <c r="D98" s="3" t="str">
        <f>IF(C98="","",'Plate organization+'!$B$43)</f>
        <v/>
      </c>
      <c r="E98" t="s">
        <v>151</v>
      </c>
    </row>
    <row r="99" spans="1:5" x14ac:dyDescent="0.25">
      <c r="A99" s="3" t="str">
        <f>IF(C99="","",VLOOKUP(C99,Source_Plate!$I$2:$J$97,2,FALSE))</f>
        <v/>
      </c>
      <c r="B99" s="3" t="str">
        <f>IF(C99="","",'PM_info+'!B3)</f>
        <v/>
      </c>
      <c r="C99" s="1" t="str">
        <f>IF('PM_info+'!E3="","",'PM_info+'!E3)</f>
        <v/>
      </c>
      <c r="D99" s="3" t="str">
        <f>IF(C99="","",'Plate organization+'!$B$43)</f>
        <v/>
      </c>
      <c r="E99" t="s">
        <v>151</v>
      </c>
    </row>
    <row r="100" spans="1:5" x14ac:dyDescent="0.25">
      <c r="A100" s="3" t="str">
        <f>IF(C100="","",VLOOKUP(C100,Source_Plate!$I$2:$J$97,2,FALSE))</f>
        <v/>
      </c>
      <c r="B100" s="3" t="str">
        <f>IF(C100="","",'PM_info+'!B4)</f>
        <v/>
      </c>
      <c r="C100" s="1" t="str">
        <f>IF('PM_info+'!E4="","",'PM_info+'!E4)</f>
        <v/>
      </c>
      <c r="D100" s="3" t="str">
        <f>IF(C100="","",'Plate organization+'!$B$43)</f>
        <v/>
      </c>
      <c r="E100" t="s">
        <v>151</v>
      </c>
    </row>
    <row r="101" spans="1:5" x14ac:dyDescent="0.25">
      <c r="A101" s="3" t="str">
        <f>IF(C101="","",VLOOKUP(C101,Source_Plate!$I$2:$J$97,2,FALSE))</f>
        <v/>
      </c>
      <c r="B101" s="3" t="str">
        <f>IF(C101="","",'PM_info+'!B5)</f>
        <v/>
      </c>
      <c r="C101" s="1" t="str">
        <f>IF('PM_info+'!E5="","",'PM_info+'!E5)</f>
        <v/>
      </c>
      <c r="D101" s="3" t="str">
        <f>IF(C101="","",'Plate organization+'!$B$43)</f>
        <v/>
      </c>
      <c r="E101" t="s">
        <v>151</v>
      </c>
    </row>
    <row r="102" spans="1:5" x14ac:dyDescent="0.25">
      <c r="A102" s="3" t="str">
        <f>IF(C102="","",VLOOKUP(C102,Source_Plate!$I$2:$J$97,2,FALSE))</f>
        <v/>
      </c>
      <c r="B102" s="3" t="str">
        <f>IF(C102="","",'PM_info+'!B6)</f>
        <v/>
      </c>
      <c r="C102" s="1" t="str">
        <f>IF('PM_info+'!E6="","",'PM_info+'!E6)</f>
        <v/>
      </c>
      <c r="D102" s="3" t="str">
        <f>IF(C102="","",'Plate organization+'!$B$43)</f>
        <v/>
      </c>
      <c r="E102" t="s">
        <v>151</v>
      </c>
    </row>
    <row r="103" spans="1:5" x14ac:dyDescent="0.25">
      <c r="A103" s="3" t="str">
        <f>IF(C103="","",VLOOKUP(C103,Source_Plate!$I$2:$J$97,2,FALSE))</f>
        <v/>
      </c>
      <c r="B103" s="3" t="str">
        <f>IF(C103="","",'PM_info+'!B7)</f>
        <v/>
      </c>
      <c r="C103" s="1" t="str">
        <f>IF('PM_info+'!E7="","",'PM_info+'!E7)</f>
        <v/>
      </c>
      <c r="D103" s="3" t="str">
        <f>IF(C103="","",'Plate organization+'!$B$43)</f>
        <v/>
      </c>
      <c r="E103" t="s">
        <v>151</v>
      </c>
    </row>
    <row r="104" spans="1:5" x14ac:dyDescent="0.25">
      <c r="A104" s="3" t="str">
        <f>IF(C104="","",VLOOKUP(C104,Source_Plate!$I$2:$J$97,2,FALSE))</f>
        <v/>
      </c>
      <c r="B104" s="3" t="str">
        <f>IF(C104="","",'PM_info+'!B8)</f>
        <v/>
      </c>
      <c r="C104" s="1" t="str">
        <f>IF('PM_info+'!E8="","",'PM_info+'!E8)</f>
        <v/>
      </c>
      <c r="D104" s="3" t="str">
        <f>IF(C104="","",'Plate organization+'!$B$43)</f>
        <v/>
      </c>
      <c r="E104" t="s">
        <v>151</v>
      </c>
    </row>
    <row r="105" spans="1:5" x14ac:dyDescent="0.25">
      <c r="A105" s="3" t="str">
        <f>IF(C105="","",VLOOKUP(C105,Source_Plate!$I$2:$J$97,2,FALSE))</f>
        <v>D01</v>
      </c>
      <c r="B105" s="3" t="str">
        <f>IF(C105="","",'PM_info+'!B9)</f>
        <v>H01</v>
      </c>
      <c r="C105" s="1" t="str">
        <f>IF('PM_info+'!E9="","",'PM_info+'!E9)</f>
        <v>TrrnB</v>
      </c>
      <c r="D105" s="3">
        <f>IF(C105="","",'Plate organization+'!$B$43)</f>
        <v>15</v>
      </c>
      <c r="E105" t="s">
        <v>151</v>
      </c>
    </row>
    <row r="106" spans="1:5" x14ac:dyDescent="0.25">
      <c r="A106" s="3" t="str">
        <f>IF(C106="","",VLOOKUP(C106,Source_Plate!$I$2:$J$97,2,FALSE))</f>
        <v/>
      </c>
      <c r="B106" s="3" t="str">
        <f>IF(C106="","",'PM_info+'!B10)</f>
        <v/>
      </c>
      <c r="C106" s="1" t="str">
        <f>IF('PM_info+'!E10="","",'PM_info+'!E10)</f>
        <v/>
      </c>
      <c r="D106" s="3" t="str">
        <f>IF(C106="","",'Plate organization+'!$B$43)</f>
        <v/>
      </c>
      <c r="E106" t="s">
        <v>151</v>
      </c>
    </row>
    <row r="107" spans="1:5" x14ac:dyDescent="0.25">
      <c r="A107" s="3" t="str">
        <f>IF(C107="","",VLOOKUP(C107,Source_Plate!$I$2:$J$97,2,FALSE))</f>
        <v/>
      </c>
      <c r="B107" s="3" t="str">
        <f>IF(C107="","",'PM_info+'!B11)</f>
        <v/>
      </c>
      <c r="C107" s="1" t="str">
        <f>IF('PM_info+'!E11="","",'PM_info+'!E11)</f>
        <v/>
      </c>
      <c r="D107" s="3" t="str">
        <f>IF(C107="","",'Plate organization+'!$B$43)</f>
        <v/>
      </c>
      <c r="E107" t="s">
        <v>151</v>
      </c>
    </row>
    <row r="108" spans="1:5" x14ac:dyDescent="0.25">
      <c r="A108" s="3" t="str">
        <f>IF(C108="","",VLOOKUP(C108,Source_Plate!$I$2:$J$97,2,FALSE))</f>
        <v/>
      </c>
      <c r="B108" s="3" t="str">
        <f>IF(C108="","",'PM_info+'!B12)</f>
        <v/>
      </c>
      <c r="C108" s="1" t="str">
        <f>IF('PM_info+'!E12="","",'PM_info+'!E12)</f>
        <v/>
      </c>
      <c r="D108" s="3" t="str">
        <f>IF(C108="","",'Plate organization+'!$B$43)</f>
        <v/>
      </c>
      <c r="E108" t="s">
        <v>151</v>
      </c>
    </row>
    <row r="109" spans="1:5" x14ac:dyDescent="0.25">
      <c r="A109" s="3" t="str">
        <f>IF(C109="","",VLOOKUP(C109,Source_Plate!$I$2:$J$97,2,FALSE))</f>
        <v/>
      </c>
      <c r="B109" s="3" t="str">
        <f>IF(C109="","",'PM_info+'!B13)</f>
        <v/>
      </c>
      <c r="C109" s="1" t="str">
        <f>IF('PM_info+'!E13="","",'PM_info+'!E13)</f>
        <v/>
      </c>
      <c r="D109" s="3" t="str">
        <f>IF(C109="","",'Plate organization+'!$B$43)</f>
        <v/>
      </c>
      <c r="E109" t="s">
        <v>151</v>
      </c>
    </row>
    <row r="110" spans="1:5" x14ac:dyDescent="0.25">
      <c r="A110" s="3" t="str">
        <f>IF(C110="","",VLOOKUP(C110,Source_Plate!$I$2:$J$97,2,FALSE))</f>
        <v/>
      </c>
      <c r="B110" s="3" t="str">
        <f>IF(C110="","",'PM_info+'!B14)</f>
        <v/>
      </c>
      <c r="C110" s="1" t="str">
        <f>IF('PM_info+'!E14="","",'PM_info+'!E14)</f>
        <v/>
      </c>
      <c r="D110" s="3" t="str">
        <f>IF(C110="","",'Plate organization+'!$B$43)</f>
        <v/>
      </c>
      <c r="E110" t="s">
        <v>151</v>
      </c>
    </row>
    <row r="111" spans="1:5" x14ac:dyDescent="0.25">
      <c r="A111" s="3" t="str">
        <f>IF(C111="","",VLOOKUP(C111,Source_Plate!$I$2:$J$97,2,FALSE))</f>
        <v/>
      </c>
      <c r="B111" s="3" t="str">
        <f>IF(C111="","",'PM_info+'!B15)</f>
        <v/>
      </c>
      <c r="C111" s="1" t="str">
        <f>IF('PM_info+'!E15="","",'PM_info+'!E15)</f>
        <v/>
      </c>
      <c r="D111" s="3" t="str">
        <f>IF(C111="","",'Plate organization+'!$B$43)</f>
        <v/>
      </c>
      <c r="E111" t="s">
        <v>151</v>
      </c>
    </row>
    <row r="112" spans="1:5" x14ac:dyDescent="0.25">
      <c r="A112" s="3" t="str">
        <f>IF(C112="","",VLOOKUP(C112,Source_Plate!$I$2:$J$97,2,FALSE))</f>
        <v/>
      </c>
      <c r="B112" s="3" t="str">
        <f>IF(C112="","",'PM_info+'!B16)</f>
        <v/>
      </c>
      <c r="C112" s="1" t="str">
        <f>IF('PM_info+'!E16="","",'PM_info+'!E16)</f>
        <v/>
      </c>
      <c r="D112" s="3" t="str">
        <f>IF(C112="","",'Plate organization+'!$B$43)</f>
        <v/>
      </c>
      <c r="E112" t="s">
        <v>151</v>
      </c>
    </row>
    <row r="113" spans="1:5" x14ac:dyDescent="0.25">
      <c r="A113" s="3" t="str">
        <f>IF(C113="","",VLOOKUP(C113,Source_Plate!$I$2:$J$97,2,FALSE))</f>
        <v/>
      </c>
      <c r="B113" s="3" t="str">
        <f>IF(C113="","",'PM_info+'!B17)</f>
        <v/>
      </c>
      <c r="C113" s="1" t="str">
        <f>IF('PM_info+'!E17="","",'PM_info+'!E17)</f>
        <v/>
      </c>
      <c r="D113" s="3" t="str">
        <f>IF(C113="","",'Plate organization+'!$B$43)</f>
        <v/>
      </c>
      <c r="E113" t="s">
        <v>151</v>
      </c>
    </row>
    <row r="114" spans="1:5" x14ac:dyDescent="0.25">
      <c r="A114" s="3" t="str">
        <f>IF(C114="","",VLOOKUP(C114,Source_Plate!$I$2:$J$97,2,FALSE))</f>
        <v/>
      </c>
      <c r="B114" s="3" t="str">
        <f>IF(C114="","",'PM_info+'!B18)</f>
        <v/>
      </c>
      <c r="C114" s="1" t="str">
        <f>IF('PM_info+'!E18="","",'PM_info+'!E18)</f>
        <v/>
      </c>
      <c r="D114" s="3" t="str">
        <f>IF(C114="","",'Plate organization+'!$B$43)</f>
        <v/>
      </c>
      <c r="E114" t="s">
        <v>151</v>
      </c>
    </row>
    <row r="115" spans="1:5" x14ac:dyDescent="0.25">
      <c r="A115" s="3" t="str">
        <f>IF(C115="","",VLOOKUP(C115,Source_Plate!$I$2:$J$97,2,FALSE))</f>
        <v/>
      </c>
      <c r="B115" s="3" t="str">
        <f>IF(C115="","",'PM_info+'!B19)</f>
        <v/>
      </c>
      <c r="C115" s="1" t="str">
        <f>IF('PM_info+'!E19="","",'PM_info+'!E19)</f>
        <v/>
      </c>
      <c r="D115" s="3" t="str">
        <f>IF(C115="","",'Plate organization+'!$B$43)</f>
        <v/>
      </c>
      <c r="E115" t="s">
        <v>151</v>
      </c>
    </row>
    <row r="116" spans="1:5" x14ac:dyDescent="0.25">
      <c r="A116" s="3" t="str">
        <f>IF(C116="","",VLOOKUP(C116,Source_Plate!$I$2:$J$97,2,FALSE))</f>
        <v/>
      </c>
      <c r="B116" s="3" t="str">
        <f>IF(C116="","",'PM_info+'!B20)</f>
        <v/>
      </c>
      <c r="C116" s="1" t="str">
        <f>IF('PM_info+'!E20="","",'PM_info+'!E20)</f>
        <v/>
      </c>
      <c r="D116" s="3" t="str">
        <f>IF(C116="","",'Plate organization+'!$B$43)</f>
        <v/>
      </c>
      <c r="E116" t="s">
        <v>151</v>
      </c>
    </row>
    <row r="117" spans="1:5" x14ac:dyDescent="0.25">
      <c r="A117" s="3" t="str">
        <f>IF(C117="","",VLOOKUP(C117,Source_Plate!$I$2:$J$97,2,FALSE))</f>
        <v/>
      </c>
      <c r="B117" s="3" t="str">
        <f>IF(C117="","",'PM_info+'!B21)</f>
        <v/>
      </c>
      <c r="C117" s="1" t="str">
        <f>IF('PM_info+'!E21="","",'PM_info+'!E21)</f>
        <v/>
      </c>
      <c r="D117" s="3" t="str">
        <f>IF(C117="","",'Plate organization+'!$B$43)</f>
        <v/>
      </c>
      <c r="E117" t="s">
        <v>151</v>
      </c>
    </row>
    <row r="118" spans="1:5" x14ac:dyDescent="0.25">
      <c r="A118" s="3" t="str">
        <f>IF(C118="","",VLOOKUP(C118,Source_Plate!$I$2:$J$97,2,FALSE))</f>
        <v/>
      </c>
      <c r="B118" s="3" t="str">
        <f>IF(C118="","",'PM_info+'!B22)</f>
        <v/>
      </c>
      <c r="C118" s="1" t="str">
        <f>IF('PM_info+'!E22="","",'PM_info+'!E22)</f>
        <v/>
      </c>
      <c r="D118" s="3" t="str">
        <f>IF(C118="","",'Plate organization+'!$B$43)</f>
        <v/>
      </c>
      <c r="E118" t="s">
        <v>151</v>
      </c>
    </row>
    <row r="119" spans="1:5" x14ac:dyDescent="0.25">
      <c r="A119" s="3" t="str">
        <f>IF(C119="","",VLOOKUP(C119,Source_Plate!$I$2:$J$97,2,FALSE))</f>
        <v/>
      </c>
      <c r="B119" s="3" t="str">
        <f>IF(C119="","",'PM_info+'!B23)</f>
        <v/>
      </c>
      <c r="C119" s="1" t="str">
        <f>IF('PM_info+'!E23="","",'PM_info+'!E23)</f>
        <v/>
      </c>
      <c r="D119" s="3" t="str">
        <f>IF(C119="","",'Plate organization+'!$B$43)</f>
        <v/>
      </c>
      <c r="E119" t="s">
        <v>151</v>
      </c>
    </row>
    <row r="120" spans="1:5" x14ac:dyDescent="0.25">
      <c r="A120" s="3" t="str">
        <f>IF(C120="","",VLOOKUP(C120,Source_Plate!$I$2:$J$97,2,FALSE))</f>
        <v/>
      </c>
      <c r="B120" s="3" t="str">
        <f>IF(C120="","",'PM_info+'!B24)</f>
        <v/>
      </c>
      <c r="C120" s="1" t="str">
        <f>IF('PM_info+'!E24="","",'PM_info+'!E24)</f>
        <v/>
      </c>
      <c r="D120" s="3" t="str">
        <f>IF(C120="","",'Plate organization+'!$B$43)</f>
        <v/>
      </c>
      <c r="E120" t="s">
        <v>151</v>
      </c>
    </row>
    <row r="121" spans="1:5" x14ac:dyDescent="0.25">
      <c r="A121" s="3" t="str">
        <f>IF(C121="","",VLOOKUP(C121,Source_Plate!$I$2:$J$97,2,FALSE))</f>
        <v/>
      </c>
      <c r="B121" s="3" t="str">
        <f>IF(C121="","",'PM_info+'!B25)</f>
        <v/>
      </c>
      <c r="C121" s="1" t="str">
        <f>IF('PM_info+'!E25="","",'PM_info+'!E25)</f>
        <v/>
      </c>
      <c r="D121" s="3" t="str">
        <f>IF(C121="","",'Plate organization+'!$B$43)</f>
        <v/>
      </c>
      <c r="E121" t="s">
        <v>151</v>
      </c>
    </row>
    <row r="122" spans="1:5" x14ac:dyDescent="0.25">
      <c r="A122" s="3" t="str">
        <f>IF(C122="","",VLOOKUP(C122,Source_Plate!$I$2:$J$97,2,FALSE))</f>
        <v/>
      </c>
      <c r="B122" s="3" t="str">
        <f>IF(C122="","",'PM_info+'!B26)</f>
        <v/>
      </c>
      <c r="C122" s="1" t="str">
        <f>IF('PM_info+'!E26="","",'PM_info+'!E26)</f>
        <v/>
      </c>
      <c r="D122" s="3" t="str">
        <f>IF(C122="","",'Plate organization+'!$B$43)</f>
        <v/>
      </c>
      <c r="E122" t="s">
        <v>151</v>
      </c>
    </row>
    <row r="123" spans="1:5" x14ac:dyDescent="0.25">
      <c r="A123" s="3" t="str">
        <f>IF(C123="","",VLOOKUP(C123,Source_Plate!$I$2:$J$97,2,FALSE))</f>
        <v/>
      </c>
      <c r="B123" s="3" t="str">
        <f>IF(C123="","",'PM_info+'!B27)</f>
        <v/>
      </c>
      <c r="C123" s="1" t="str">
        <f>IF('PM_info+'!E27="","",'PM_info+'!E27)</f>
        <v/>
      </c>
      <c r="D123" s="3" t="str">
        <f>IF(C123="","",'Plate organization+'!$B$43)</f>
        <v/>
      </c>
      <c r="E123" t="s">
        <v>151</v>
      </c>
    </row>
    <row r="124" spans="1:5" x14ac:dyDescent="0.25">
      <c r="A124" s="3" t="str">
        <f>IF(C124="","",VLOOKUP(C124,Source_Plate!$I$2:$J$97,2,FALSE))</f>
        <v/>
      </c>
      <c r="B124" s="3" t="str">
        <f>IF(C124="","",'PM_info+'!B28)</f>
        <v/>
      </c>
      <c r="C124" s="1" t="str">
        <f>IF('PM_info+'!E28="","",'PM_info+'!E28)</f>
        <v/>
      </c>
      <c r="D124" s="3" t="str">
        <f>IF(C124="","",'Plate organization+'!$B$43)</f>
        <v/>
      </c>
      <c r="E124" t="s">
        <v>151</v>
      </c>
    </row>
    <row r="125" spans="1:5" x14ac:dyDescent="0.25">
      <c r="A125" s="3" t="str">
        <f>IF(C125="","",VLOOKUP(C125,Source_Plate!$I$2:$J$97,2,FALSE))</f>
        <v/>
      </c>
      <c r="B125" s="3" t="str">
        <f>IF(C125="","",'PM_info+'!B29)</f>
        <v/>
      </c>
      <c r="C125" s="1" t="str">
        <f>IF('PM_info+'!E29="","",'PM_info+'!E29)</f>
        <v/>
      </c>
      <c r="D125" s="3" t="str">
        <f>IF(C125="","",'Plate organization+'!$B$43)</f>
        <v/>
      </c>
      <c r="E125" t="s">
        <v>151</v>
      </c>
    </row>
    <row r="126" spans="1:5" x14ac:dyDescent="0.25">
      <c r="A126" s="3" t="str">
        <f>IF(C126="","",VLOOKUP(C126,Source_Plate!$I$2:$J$97,2,FALSE))</f>
        <v/>
      </c>
      <c r="B126" s="3" t="str">
        <f>IF(C126="","",'PM_info+'!B30)</f>
        <v/>
      </c>
      <c r="C126" s="1" t="str">
        <f>IF('PM_info+'!E30="","",'PM_info+'!E30)</f>
        <v/>
      </c>
      <c r="D126" s="3" t="str">
        <f>IF(C126="","",'Plate organization+'!$B$43)</f>
        <v/>
      </c>
      <c r="E126" t="s">
        <v>151</v>
      </c>
    </row>
    <row r="127" spans="1:5" x14ac:dyDescent="0.25">
      <c r="A127" s="3" t="str">
        <f>IF(C127="","",VLOOKUP(C127,Source_Plate!$I$2:$J$97,2,FALSE))</f>
        <v/>
      </c>
      <c r="B127" s="3" t="str">
        <f>IF(C127="","",'PM_info+'!B31)</f>
        <v/>
      </c>
      <c r="C127" s="1" t="str">
        <f>IF('PM_info+'!E31="","",'PM_info+'!E31)</f>
        <v/>
      </c>
      <c r="D127" s="3" t="str">
        <f>IF(C127="","",'Plate organization+'!$B$43)</f>
        <v/>
      </c>
      <c r="E127" t="s">
        <v>151</v>
      </c>
    </row>
    <row r="128" spans="1:5" x14ac:dyDescent="0.25">
      <c r="A128" s="3" t="str">
        <f>IF(C128="","",VLOOKUP(C128,Source_Plate!$I$2:$J$97,2,FALSE))</f>
        <v/>
      </c>
      <c r="B128" s="3" t="str">
        <f>IF(C128="","",'PM_info+'!B32)</f>
        <v/>
      </c>
      <c r="C128" s="1" t="str">
        <f>IF('PM_info+'!E32="","",'PM_info+'!E32)</f>
        <v/>
      </c>
      <c r="D128" s="3" t="str">
        <f>IF(C128="","",'Plate organization+'!$B$43)</f>
        <v/>
      </c>
      <c r="E128" t="s">
        <v>151</v>
      </c>
    </row>
    <row r="129" spans="1:5" x14ac:dyDescent="0.25">
      <c r="A129" s="3" t="str">
        <f>IF(C129="","",VLOOKUP(C129,Source_Plate!$I$2:$J$97,2,FALSE))</f>
        <v/>
      </c>
      <c r="B129" s="3" t="str">
        <f>IF(C129="","",'PM_info+'!B33)</f>
        <v/>
      </c>
      <c r="C129" s="1" t="str">
        <f>IF('PM_info+'!E33="","",'PM_info+'!E33)</f>
        <v/>
      </c>
      <c r="D129" s="3" t="str">
        <f>IF(C129="","",'Plate organization+'!$B$43)</f>
        <v/>
      </c>
      <c r="E129" t="s">
        <v>151</v>
      </c>
    </row>
    <row r="130" spans="1:5" x14ac:dyDescent="0.25">
      <c r="A130" s="3" t="str">
        <f>IF(C130="","",VLOOKUP(C130,Source_Plate!$I$2:$J$97,2,FALSE))</f>
        <v/>
      </c>
      <c r="B130" s="3" t="str">
        <f>IF(C130="","",'PM_info+'!B34)</f>
        <v/>
      </c>
      <c r="C130" s="1" t="str">
        <f>IF('PM_info+'!E34="","",'PM_info+'!E34)</f>
        <v/>
      </c>
      <c r="D130" s="3" t="str">
        <f>IF(C130="","",'Plate organization+'!$B$43)</f>
        <v/>
      </c>
      <c r="E130" t="s">
        <v>151</v>
      </c>
    </row>
    <row r="131" spans="1:5" x14ac:dyDescent="0.25">
      <c r="A131" s="3" t="str">
        <f>IF(C131="","",VLOOKUP(C131,Source_Plate!$I$2:$J$97,2,FALSE))</f>
        <v/>
      </c>
      <c r="B131" s="3" t="str">
        <f>IF(C131="","",'PM_info+'!B35)</f>
        <v/>
      </c>
      <c r="C131" s="1" t="str">
        <f>IF('PM_info+'!E35="","",'PM_info+'!E35)</f>
        <v/>
      </c>
      <c r="D131" s="3" t="str">
        <f>IF(C131="","",'Plate organization+'!$B$43)</f>
        <v/>
      </c>
      <c r="E131" t="s">
        <v>151</v>
      </c>
    </row>
    <row r="132" spans="1:5" x14ac:dyDescent="0.25">
      <c r="A132" s="3" t="str">
        <f>IF(C132="","",VLOOKUP(C132,Source_Plate!$I$2:$J$97,2,FALSE))</f>
        <v/>
      </c>
      <c r="B132" s="3" t="str">
        <f>IF(C132="","",'PM_info+'!B36)</f>
        <v/>
      </c>
      <c r="C132" s="1" t="str">
        <f>IF('PM_info+'!E36="","",'PM_info+'!E36)</f>
        <v/>
      </c>
      <c r="D132" s="3" t="str">
        <f>IF(C132="","",'Plate organization+'!$B$43)</f>
        <v/>
      </c>
      <c r="E132" t="s">
        <v>151</v>
      </c>
    </row>
    <row r="133" spans="1:5" x14ac:dyDescent="0.25">
      <c r="A133" s="3" t="str">
        <f>IF(C133="","",VLOOKUP(C133,Source_Plate!$I$2:$J$97,2,FALSE))</f>
        <v/>
      </c>
      <c r="B133" s="3" t="str">
        <f>IF(C133="","",'PM_info+'!B37)</f>
        <v/>
      </c>
      <c r="C133" s="1" t="str">
        <f>IF('PM_info+'!E37="","",'PM_info+'!E37)</f>
        <v/>
      </c>
      <c r="D133" s="3" t="str">
        <f>IF(C133="","",'Plate organization+'!$B$43)</f>
        <v/>
      </c>
      <c r="E133" t="s">
        <v>151</v>
      </c>
    </row>
    <row r="134" spans="1:5" x14ac:dyDescent="0.25">
      <c r="A134" s="3" t="str">
        <f>IF(C134="","",VLOOKUP(C134,Source_Plate!$I$2:$J$97,2,FALSE))</f>
        <v/>
      </c>
      <c r="B134" s="3" t="str">
        <f>IF(C134="","",'PM_info+'!B38)</f>
        <v/>
      </c>
      <c r="C134" s="1" t="str">
        <f>IF('PM_info+'!E38="","",'PM_info+'!E38)</f>
        <v/>
      </c>
      <c r="D134" s="3" t="str">
        <f>IF(C134="","",'Plate organization+'!$B$43)</f>
        <v/>
      </c>
      <c r="E134" t="s">
        <v>151</v>
      </c>
    </row>
    <row r="135" spans="1:5" x14ac:dyDescent="0.25">
      <c r="A135" s="3" t="str">
        <f>IF(C135="","",VLOOKUP(C135,Source_Plate!$I$2:$J$97,2,FALSE))</f>
        <v/>
      </c>
      <c r="B135" s="3" t="str">
        <f>IF(C135="","",'PM_info+'!B39)</f>
        <v/>
      </c>
      <c r="C135" s="1" t="str">
        <f>IF('PM_info+'!E39="","",'PM_info+'!E39)</f>
        <v/>
      </c>
      <c r="D135" s="3" t="str">
        <f>IF(C135="","",'Plate organization+'!$B$43)</f>
        <v/>
      </c>
      <c r="E135" t="s">
        <v>151</v>
      </c>
    </row>
    <row r="136" spans="1:5" x14ac:dyDescent="0.25">
      <c r="A136" s="3" t="str">
        <f>IF(C136="","",VLOOKUP(C136,Source_Plate!$I$2:$J$97,2,FALSE))</f>
        <v/>
      </c>
      <c r="B136" s="3" t="str">
        <f>IF(C136="","",'PM_info+'!B40)</f>
        <v/>
      </c>
      <c r="C136" s="1" t="str">
        <f>IF('PM_info+'!E40="","",'PM_info+'!E40)</f>
        <v/>
      </c>
      <c r="D136" s="3" t="str">
        <f>IF(C136="","",'Plate organization+'!$B$43)</f>
        <v/>
      </c>
      <c r="E136" t="s">
        <v>151</v>
      </c>
    </row>
    <row r="137" spans="1:5" x14ac:dyDescent="0.25">
      <c r="A137" s="3" t="str">
        <f>IF(C137="","",VLOOKUP(C137,Source_Plate!$I$2:$J$97,2,FALSE))</f>
        <v/>
      </c>
      <c r="B137" s="3" t="str">
        <f>IF(C137="","",'PM_info+'!B41)</f>
        <v/>
      </c>
      <c r="C137" s="1" t="str">
        <f>IF('PM_info+'!E41="","",'PM_info+'!E41)</f>
        <v/>
      </c>
      <c r="D137" s="3" t="str">
        <f>IF(C137="","",'Plate organization+'!$B$43)</f>
        <v/>
      </c>
      <c r="E137" t="s">
        <v>151</v>
      </c>
    </row>
    <row r="138" spans="1:5" x14ac:dyDescent="0.25">
      <c r="A138" s="3" t="str">
        <f>IF(C138="","",VLOOKUP(C138,Source_Plate!$I$2:$J$97,2,FALSE))</f>
        <v/>
      </c>
      <c r="B138" s="3" t="str">
        <f>IF(C138="","",'PM_info+'!B42)</f>
        <v/>
      </c>
      <c r="C138" s="1" t="str">
        <f>IF('PM_info+'!E42="","",'PM_info+'!E42)</f>
        <v/>
      </c>
      <c r="D138" s="3" t="str">
        <f>IF(C138="","",'Plate organization+'!$B$43)</f>
        <v/>
      </c>
      <c r="E138" t="s">
        <v>151</v>
      </c>
    </row>
    <row r="139" spans="1:5" x14ac:dyDescent="0.25">
      <c r="A139" s="3" t="str">
        <f>IF(C139="","",VLOOKUP(C139,Source_Plate!$I$2:$J$97,2,FALSE))</f>
        <v/>
      </c>
      <c r="B139" s="3" t="str">
        <f>IF(C139="","",'PM_info+'!B43)</f>
        <v/>
      </c>
      <c r="C139" s="1" t="str">
        <f>IF('PM_info+'!E43="","",'PM_info+'!E43)</f>
        <v/>
      </c>
      <c r="D139" s="3" t="str">
        <f>IF(C139="","",'Plate organization+'!$B$43)</f>
        <v/>
      </c>
      <c r="E139" t="s">
        <v>151</v>
      </c>
    </row>
    <row r="140" spans="1:5" x14ac:dyDescent="0.25">
      <c r="A140" s="3" t="str">
        <f>IF(C140="","",VLOOKUP(C140,Source_Plate!$I$2:$J$97,2,FALSE))</f>
        <v/>
      </c>
      <c r="B140" s="3" t="str">
        <f>IF(C140="","",'PM_info+'!B44)</f>
        <v/>
      </c>
      <c r="C140" s="1" t="str">
        <f>IF('PM_info+'!E44="","",'PM_info+'!E44)</f>
        <v/>
      </c>
      <c r="D140" s="3" t="str">
        <f>IF(C140="","",'Plate organization+'!$B$43)</f>
        <v/>
      </c>
      <c r="E140" t="s">
        <v>151</v>
      </c>
    </row>
    <row r="141" spans="1:5" x14ac:dyDescent="0.25">
      <c r="A141" s="3" t="str">
        <f>IF(C141="","",VLOOKUP(C141,Source_Plate!$I$2:$J$97,2,FALSE))</f>
        <v/>
      </c>
      <c r="B141" s="3" t="str">
        <f>IF(C141="","",'PM_info+'!B45)</f>
        <v/>
      </c>
      <c r="C141" s="1" t="str">
        <f>IF('PM_info+'!E45="","",'PM_info+'!E45)</f>
        <v/>
      </c>
      <c r="D141" s="3" t="str">
        <f>IF(C141="","",'Plate organization+'!$B$43)</f>
        <v/>
      </c>
      <c r="E141" t="s">
        <v>151</v>
      </c>
    </row>
    <row r="142" spans="1:5" x14ac:dyDescent="0.25">
      <c r="A142" s="3" t="str">
        <f>IF(C142="","",VLOOKUP(C142,Source_Plate!$I$2:$J$97,2,FALSE))</f>
        <v/>
      </c>
      <c r="B142" s="3" t="str">
        <f>IF(C142="","",'PM_info+'!B46)</f>
        <v/>
      </c>
      <c r="C142" s="1" t="str">
        <f>IF('PM_info+'!E46="","",'PM_info+'!E46)</f>
        <v/>
      </c>
      <c r="D142" s="3" t="str">
        <f>IF(C142="","",'Plate organization+'!$B$43)</f>
        <v/>
      </c>
      <c r="E142" t="s">
        <v>151</v>
      </c>
    </row>
    <row r="143" spans="1:5" x14ac:dyDescent="0.25">
      <c r="A143" s="3" t="str">
        <f>IF(C143="","",VLOOKUP(C143,Source_Plate!$I$2:$J$97,2,FALSE))</f>
        <v/>
      </c>
      <c r="B143" s="3" t="str">
        <f>IF(C143="","",'PM_info+'!B47)</f>
        <v/>
      </c>
      <c r="C143" s="1" t="str">
        <f>IF('PM_info+'!E47="","",'PM_info+'!E47)</f>
        <v/>
      </c>
      <c r="D143" s="3" t="str">
        <f>IF(C143="","",'Plate organization+'!$B$43)</f>
        <v/>
      </c>
      <c r="E143" t="s">
        <v>151</v>
      </c>
    </row>
    <row r="144" spans="1:5" x14ac:dyDescent="0.25">
      <c r="A144" s="3" t="str">
        <f>IF(C144="","",VLOOKUP(C144,Source_Plate!$I$2:$J$97,2,FALSE))</f>
        <v/>
      </c>
      <c r="B144" s="3" t="str">
        <f>IF(C144="","",'PM_info+'!B48)</f>
        <v/>
      </c>
      <c r="C144" s="1" t="str">
        <f>IF('PM_info+'!E48="","",'PM_info+'!E48)</f>
        <v/>
      </c>
      <c r="D144" s="3" t="str">
        <f>IF(C144="","",'Plate organization+'!$B$43)</f>
        <v/>
      </c>
      <c r="E144" t="s">
        <v>151</v>
      </c>
    </row>
    <row r="145" spans="1:5" x14ac:dyDescent="0.25">
      <c r="A145" s="3" t="str">
        <f>IF(C145="","",VLOOKUP(C145,Source_Plate!$I$2:$J$97,2,FALSE))</f>
        <v/>
      </c>
      <c r="B145" s="3" t="str">
        <f>IF(C145="","",'PM_info+'!B49)</f>
        <v/>
      </c>
      <c r="C145" s="1" t="str">
        <f>IF('PM_info+'!E49="","",'PM_info+'!E49)</f>
        <v/>
      </c>
      <c r="D145" s="3" t="str">
        <f>IF(C145="","",'Plate organization+'!$B$43)</f>
        <v/>
      </c>
      <c r="E145" t="s">
        <v>151</v>
      </c>
    </row>
    <row r="146" spans="1:5" x14ac:dyDescent="0.25">
      <c r="A146" s="3" t="str">
        <f>IF(C146="","",VLOOKUP(C146,Source_Plate!$I$2:$J$97,2,FALSE))</f>
        <v/>
      </c>
      <c r="B146" s="3" t="str">
        <f>IF(C146="","",'PM_info+'!B50)</f>
        <v/>
      </c>
      <c r="C146" s="1" t="str">
        <f>IF('PM_info+'!E50="","",'PM_info+'!E50)</f>
        <v/>
      </c>
      <c r="D146" s="3" t="str">
        <f>IF(C146="","",'Plate organization+'!$B$43)</f>
        <v/>
      </c>
      <c r="E146" t="s">
        <v>151</v>
      </c>
    </row>
    <row r="147" spans="1:5" x14ac:dyDescent="0.25">
      <c r="A147" s="3" t="str">
        <f>IF(C147="","",VLOOKUP(C147,Source_Plate!$I$2:$J$97,2,FALSE))</f>
        <v/>
      </c>
      <c r="B147" s="3" t="str">
        <f>IF(C147="","",'PM_info+'!B51)</f>
        <v/>
      </c>
      <c r="C147" s="1" t="str">
        <f>IF('PM_info+'!E51="","",'PM_info+'!E51)</f>
        <v/>
      </c>
      <c r="D147" s="3" t="str">
        <f>IF(C147="","",'Plate organization+'!$B$43)</f>
        <v/>
      </c>
      <c r="E147" t="s">
        <v>151</v>
      </c>
    </row>
    <row r="148" spans="1:5" x14ac:dyDescent="0.25">
      <c r="A148" s="3" t="str">
        <f>IF(C148="","",VLOOKUP(C148,Source_Plate!$I$2:$J$97,2,FALSE))</f>
        <v/>
      </c>
      <c r="B148" s="3" t="str">
        <f>IF(C148="","",'PM_info+'!B52)</f>
        <v/>
      </c>
      <c r="C148" s="1" t="str">
        <f>IF('PM_info+'!E52="","",'PM_info+'!E52)</f>
        <v/>
      </c>
      <c r="D148" s="3" t="str">
        <f>IF(C148="","",'Plate organization+'!$B$43)</f>
        <v/>
      </c>
      <c r="E148" t="s">
        <v>151</v>
      </c>
    </row>
    <row r="149" spans="1:5" x14ac:dyDescent="0.25">
      <c r="A149" s="3" t="str">
        <f>IF(C149="","",VLOOKUP(C149,Source_Plate!$I$2:$J$97,2,FALSE))</f>
        <v/>
      </c>
      <c r="B149" s="3" t="str">
        <f>IF(C149="","",'PM_info+'!B53)</f>
        <v/>
      </c>
      <c r="C149" s="1" t="str">
        <f>IF('PM_info+'!E53="","",'PM_info+'!E53)</f>
        <v/>
      </c>
      <c r="D149" s="3" t="str">
        <f>IF(C149="","",'Plate organization+'!$B$43)</f>
        <v/>
      </c>
      <c r="E149" t="s">
        <v>151</v>
      </c>
    </row>
    <row r="150" spans="1:5" x14ac:dyDescent="0.25">
      <c r="A150" s="3" t="str">
        <f>IF(C150="","",VLOOKUP(C150,Source_Plate!$I$2:$J$97,2,FALSE))</f>
        <v/>
      </c>
      <c r="B150" s="3" t="str">
        <f>IF(C150="","",'PM_info+'!B54)</f>
        <v/>
      </c>
      <c r="C150" s="1" t="str">
        <f>IF('PM_info+'!E54="","",'PM_info+'!E54)</f>
        <v/>
      </c>
      <c r="D150" s="3" t="str">
        <f>IF(C150="","",'Plate organization+'!$B$43)</f>
        <v/>
      </c>
      <c r="E150" t="s">
        <v>151</v>
      </c>
    </row>
    <row r="151" spans="1:5" x14ac:dyDescent="0.25">
      <c r="A151" s="3" t="str">
        <f>IF(C151="","",VLOOKUP(C151,Source_Plate!$I$2:$J$97,2,FALSE))</f>
        <v/>
      </c>
      <c r="B151" s="3" t="str">
        <f>IF(C151="","",'PM_info+'!B55)</f>
        <v/>
      </c>
      <c r="C151" s="1" t="str">
        <f>IF('PM_info+'!E55="","",'PM_info+'!E55)</f>
        <v/>
      </c>
      <c r="D151" s="3" t="str">
        <f>IF(C151="","",'Plate organization+'!$B$43)</f>
        <v/>
      </c>
      <c r="E151" t="s">
        <v>151</v>
      </c>
    </row>
    <row r="152" spans="1:5" x14ac:dyDescent="0.25">
      <c r="A152" s="3" t="str">
        <f>IF(C152="","",VLOOKUP(C152,Source_Plate!$I$2:$J$97,2,FALSE))</f>
        <v/>
      </c>
      <c r="B152" s="3" t="str">
        <f>IF(C152="","",'PM_info+'!B56)</f>
        <v/>
      </c>
      <c r="C152" s="1" t="str">
        <f>IF('PM_info+'!E56="","",'PM_info+'!E56)</f>
        <v/>
      </c>
      <c r="D152" s="3" t="str">
        <f>IF(C152="","",'Plate organization+'!$B$43)</f>
        <v/>
      </c>
      <c r="E152" t="s">
        <v>151</v>
      </c>
    </row>
    <row r="153" spans="1:5" x14ac:dyDescent="0.25">
      <c r="A153" s="3" t="str">
        <f>IF(C153="","",VLOOKUP(C153,Source_Plate!$I$2:$J$97,2,FALSE))</f>
        <v/>
      </c>
      <c r="B153" s="3" t="str">
        <f>IF(C153="","",'PM_info+'!B57)</f>
        <v/>
      </c>
      <c r="C153" s="1" t="str">
        <f>IF('PM_info+'!E57="","",'PM_info+'!E57)</f>
        <v/>
      </c>
      <c r="D153" s="3" t="str">
        <f>IF(C153="","",'Plate organization+'!$B$43)</f>
        <v/>
      </c>
      <c r="E153" t="s">
        <v>151</v>
      </c>
    </row>
    <row r="154" spans="1:5" x14ac:dyDescent="0.25">
      <c r="A154" s="3" t="str">
        <f>IF(C154="","",VLOOKUP(C154,Source_Plate!$I$2:$J$97,2,FALSE))</f>
        <v/>
      </c>
      <c r="B154" s="3" t="str">
        <f>IF(C154="","",'PM_info+'!B58)</f>
        <v/>
      </c>
      <c r="C154" s="1" t="str">
        <f>IF('PM_info+'!E58="","",'PM_info+'!E58)</f>
        <v/>
      </c>
      <c r="D154" s="3" t="str">
        <f>IF(C154="","",'Plate organization+'!$B$43)</f>
        <v/>
      </c>
      <c r="E154" t="s">
        <v>151</v>
      </c>
    </row>
    <row r="155" spans="1:5" x14ac:dyDescent="0.25">
      <c r="A155" s="3" t="str">
        <f>IF(C155="","",VLOOKUP(C155,Source_Plate!$I$2:$J$97,2,FALSE))</f>
        <v/>
      </c>
      <c r="B155" s="3" t="str">
        <f>IF(C155="","",'PM_info+'!B59)</f>
        <v/>
      </c>
      <c r="C155" s="1" t="str">
        <f>IF('PM_info+'!E59="","",'PM_info+'!E59)</f>
        <v/>
      </c>
      <c r="D155" s="3" t="str">
        <f>IF(C155="","",'Plate organization+'!$B$43)</f>
        <v/>
      </c>
      <c r="E155" t="s">
        <v>151</v>
      </c>
    </row>
    <row r="156" spans="1:5" x14ac:dyDescent="0.25">
      <c r="A156" s="3" t="str">
        <f>IF(C156="","",VLOOKUP(C156,Source_Plate!$I$2:$J$97,2,FALSE))</f>
        <v/>
      </c>
      <c r="B156" s="3" t="str">
        <f>IF(C156="","",'PM_info+'!B60)</f>
        <v/>
      </c>
      <c r="C156" s="1" t="str">
        <f>IF('PM_info+'!E60="","",'PM_info+'!E60)</f>
        <v/>
      </c>
      <c r="D156" s="3" t="str">
        <f>IF(C156="","",'Plate organization+'!$B$43)</f>
        <v/>
      </c>
      <c r="E156" t="s">
        <v>151</v>
      </c>
    </row>
    <row r="157" spans="1:5" x14ac:dyDescent="0.25">
      <c r="A157" s="3" t="str">
        <f>IF(C157="","",VLOOKUP(C157,Source_Plate!$I$2:$J$97,2,FALSE))</f>
        <v/>
      </c>
      <c r="B157" s="3" t="str">
        <f>IF(C157="","",'PM_info+'!B61)</f>
        <v/>
      </c>
      <c r="C157" s="1" t="str">
        <f>IF('PM_info+'!E61="","",'PM_info+'!E61)</f>
        <v/>
      </c>
      <c r="D157" s="3" t="str">
        <f>IF(C157="","",'Plate organization+'!$B$43)</f>
        <v/>
      </c>
      <c r="E157" t="s">
        <v>151</v>
      </c>
    </row>
    <row r="158" spans="1:5" x14ac:dyDescent="0.25">
      <c r="A158" s="3" t="str">
        <f>IF(C158="","",VLOOKUP(C158,Source_Plate!$I$2:$J$97,2,FALSE))</f>
        <v/>
      </c>
      <c r="B158" s="3" t="str">
        <f>IF(C158="","",'PM_info+'!B62)</f>
        <v/>
      </c>
      <c r="C158" s="1" t="str">
        <f>IF('PM_info+'!E62="","",'PM_info+'!E62)</f>
        <v/>
      </c>
      <c r="D158" s="3" t="str">
        <f>IF(C158="","",'Plate organization+'!$B$43)</f>
        <v/>
      </c>
      <c r="E158" t="s">
        <v>151</v>
      </c>
    </row>
    <row r="159" spans="1:5" x14ac:dyDescent="0.25">
      <c r="A159" s="3" t="str">
        <f>IF(C159="","",VLOOKUP(C159,Source_Plate!$I$2:$J$97,2,FALSE))</f>
        <v/>
      </c>
      <c r="B159" s="3" t="str">
        <f>IF(C159="","",'PM_info+'!B63)</f>
        <v/>
      </c>
      <c r="C159" s="1" t="str">
        <f>IF('PM_info+'!E63="","",'PM_info+'!E63)</f>
        <v/>
      </c>
      <c r="D159" s="3" t="str">
        <f>IF(C159="","",'Plate organization+'!$B$43)</f>
        <v/>
      </c>
      <c r="E159" t="s">
        <v>151</v>
      </c>
    </row>
    <row r="160" spans="1:5" x14ac:dyDescent="0.25">
      <c r="A160" s="3" t="str">
        <f>IF(C160="","",VLOOKUP(C160,Source_Plate!$I$2:$J$97,2,FALSE))</f>
        <v/>
      </c>
      <c r="B160" s="3" t="str">
        <f>IF(C160="","",'PM_info+'!B64)</f>
        <v/>
      </c>
      <c r="C160" s="1" t="str">
        <f>IF('PM_info+'!E64="","",'PM_info+'!E64)</f>
        <v/>
      </c>
      <c r="D160" s="3" t="str">
        <f>IF(C160="","",'Plate organization+'!$B$43)</f>
        <v/>
      </c>
      <c r="E160" t="s">
        <v>151</v>
      </c>
    </row>
    <row r="161" spans="1:5" x14ac:dyDescent="0.25">
      <c r="A161" s="3" t="str">
        <f>IF(C161="","",VLOOKUP(C161,Source_Plate!$I$2:$J$97,2,FALSE))</f>
        <v/>
      </c>
      <c r="B161" s="3" t="str">
        <f>IF(C161="","",'PM_info+'!B65)</f>
        <v/>
      </c>
      <c r="C161" s="1" t="str">
        <f>IF('PM_info+'!E65="","",'PM_info+'!E65)</f>
        <v/>
      </c>
      <c r="D161" s="3" t="str">
        <f>IF(C161="","",'Plate organization+'!$B$43)</f>
        <v/>
      </c>
      <c r="E161" t="s">
        <v>151</v>
      </c>
    </row>
    <row r="162" spans="1:5" x14ac:dyDescent="0.25">
      <c r="A162" s="3" t="str">
        <f>IF(C162="","",VLOOKUP(C162,Source_Plate!$I$2:$J$97,2,FALSE))</f>
        <v/>
      </c>
      <c r="B162" s="3" t="str">
        <f>IF(C162="","",'PM_info+'!B66)</f>
        <v/>
      </c>
      <c r="C162" s="1" t="str">
        <f>IF('PM_info+'!E66="","",'PM_info+'!E66)</f>
        <v/>
      </c>
      <c r="D162" s="3" t="str">
        <f>IF(C162="","",'Plate organization+'!$B$43)</f>
        <v/>
      </c>
      <c r="E162" t="s">
        <v>151</v>
      </c>
    </row>
    <row r="163" spans="1:5" x14ac:dyDescent="0.25">
      <c r="A163" s="3" t="str">
        <f>IF(C163="","",VLOOKUP(C163,Source_Plate!$I$2:$J$97,2,FALSE))</f>
        <v/>
      </c>
      <c r="B163" s="3" t="str">
        <f>IF(C163="","",'PM_info+'!B67)</f>
        <v/>
      </c>
      <c r="C163" s="1" t="str">
        <f>IF('PM_info+'!E67="","",'PM_info+'!E67)</f>
        <v/>
      </c>
      <c r="D163" s="3" t="str">
        <f>IF(C163="","",'Plate organization+'!$B$43)</f>
        <v/>
      </c>
      <c r="E163" t="s">
        <v>151</v>
      </c>
    </row>
    <row r="164" spans="1:5" x14ac:dyDescent="0.25">
      <c r="A164" s="3" t="str">
        <f>IF(C164="","",VLOOKUP(C164,Source_Plate!$I$2:$J$97,2,FALSE))</f>
        <v/>
      </c>
      <c r="B164" s="3" t="str">
        <f>IF(C164="","",'PM_info+'!B68)</f>
        <v/>
      </c>
      <c r="C164" s="1" t="str">
        <f>IF('PM_info+'!E68="","",'PM_info+'!E68)</f>
        <v/>
      </c>
      <c r="D164" s="3" t="str">
        <f>IF(C164="","",'Plate organization+'!$B$43)</f>
        <v/>
      </c>
      <c r="E164" t="s">
        <v>151</v>
      </c>
    </row>
    <row r="165" spans="1:5" x14ac:dyDescent="0.25">
      <c r="A165" s="3" t="str">
        <f>IF(C165="","",VLOOKUP(C165,Source_Plate!$I$2:$J$97,2,FALSE))</f>
        <v/>
      </c>
      <c r="B165" s="3" t="str">
        <f>IF(C165="","",'PM_info+'!B69)</f>
        <v/>
      </c>
      <c r="C165" s="1" t="str">
        <f>IF('PM_info+'!E69="","",'PM_info+'!E69)</f>
        <v/>
      </c>
      <c r="D165" s="3" t="str">
        <f>IF(C165="","",'Plate organization+'!$B$43)</f>
        <v/>
      </c>
      <c r="E165" t="s">
        <v>151</v>
      </c>
    </row>
    <row r="166" spans="1:5" x14ac:dyDescent="0.25">
      <c r="A166" s="3" t="str">
        <f>IF(C166="","",VLOOKUP(C166,Source_Plate!$I$2:$J$97,2,FALSE))</f>
        <v/>
      </c>
      <c r="B166" s="3" t="str">
        <f>IF(C166="","",'PM_info+'!B70)</f>
        <v/>
      </c>
      <c r="C166" s="1" t="str">
        <f>IF('PM_info+'!E70="","",'PM_info+'!E70)</f>
        <v/>
      </c>
      <c r="D166" s="3" t="str">
        <f>IF(C166="","",'Plate organization+'!$B$43)</f>
        <v/>
      </c>
      <c r="E166" t="s">
        <v>151</v>
      </c>
    </row>
    <row r="167" spans="1:5" x14ac:dyDescent="0.25">
      <c r="A167" s="3" t="str">
        <f>IF(C167="","",VLOOKUP(C167,Source_Plate!$I$2:$J$97,2,FALSE))</f>
        <v/>
      </c>
      <c r="B167" s="3" t="str">
        <f>IF(C167="","",'PM_info+'!B71)</f>
        <v/>
      </c>
      <c r="C167" s="1" t="str">
        <f>IF('PM_info+'!E71="","",'PM_info+'!E71)</f>
        <v/>
      </c>
      <c r="D167" s="3" t="str">
        <f>IF(C167="","",'Plate organization+'!$B$43)</f>
        <v/>
      </c>
      <c r="E167" t="s">
        <v>151</v>
      </c>
    </row>
    <row r="168" spans="1:5" x14ac:dyDescent="0.25">
      <c r="A168" s="3" t="str">
        <f>IF(C168="","",VLOOKUP(C168,Source_Plate!$I$2:$J$97,2,FALSE))</f>
        <v/>
      </c>
      <c r="B168" s="3" t="str">
        <f>IF(C168="","",'PM_info+'!B72)</f>
        <v/>
      </c>
      <c r="C168" s="1" t="str">
        <f>IF('PM_info+'!E72="","",'PM_info+'!E72)</f>
        <v/>
      </c>
      <c r="D168" s="3" t="str">
        <f>IF(C168="","",'Plate organization+'!$B$43)</f>
        <v/>
      </c>
      <c r="E168" t="s">
        <v>151</v>
      </c>
    </row>
    <row r="169" spans="1:5" x14ac:dyDescent="0.25">
      <c r="A169" s="3" t="str">
        <f>IF(C169="","",VLOOKUP(C169,Source_Plate!$I$2:$J$97,2,FALSE))</f>
        <v/>
      </c>
      <c r="B169" s="3" t="str">
        <f>IF(C169="","",'PM_info+'!B73)</f>
        <v/>
      </c>
      <c r="C169" s="1" t="str">
        <f>IF('PM_info+'!E73="","",'PM_info+'!E73)</f>
        <v/>
      </c>
      <c r="D169" s="3" t="str">
        <f>IF(C169="","",'Plate organization+'!$B$43)</f>
        <v/>
      </c>
      <c r="E169" t="s">
        <v>151</v>
      </c>
    </row>
    <row r="170" spans="1:5" x14ac:dyDescent="0.25">
      <c r="A170" s="3" t="str">
        <f>IF(C170="","",VLOOKUP(C170,Source_Plate!$I$2:$J$97,2,FALSE))</f>
        <v/>
      </c>
      <c r="B170" s="3" t="str">
        <f>IF(C170="","",'PM_info+'!B74)</f>
        <v/>
      </c>
      <c r="C170" s="1" t="str">
        <f>IF('PM_info+'!E74="","",'PM_info+'!E74)</f>
        <v/>
      </c>
      <c r="D170" s="3" t="str">
        <f>IF(C170="","",'Plate organization+'!$B$43)</f>
        <v/>
      </c>
      <c r="E170" t="s">
        <v>151</v>
      </c>
    </row>
    <row r="171" spans="1:5" x14ac:dyDescent="0.25">
      <c r="A171" s="3" t="str">
        <f>IF(C171="","",VLOOKUP(C171,Source_Plate!$I$2:$J$97,2,FALSE))</f>
        <v/>
      </c>
      <c r="B171" s="3" t="str">
        <f>IF(C171="","",'PM_info+'!B75)</f>
        <v/>
      </c>
      <c r="C171" s="1" t="str">
        <f>IF('PM_info+'!E75="","",'PM_info+'!E75)</f>
        <v/>
      </c>
      <c r="D171" s="3" t="str">
        <f>IF(C171="","",'Plate organization+'!$B$43)</f>
        <v/>
      </c>
      <c r="E171" t="s">
        <v>151</v>
      </c>
    </row>
    <row r="172" spans="1:5" x14ac:dyDescent="0.25">
      <c r="A172" s="3" t="str">
        <f>IF(C172="","",VLOOKUP(C172,Source_Plate!$I$2:$J$97,2,FALSE))</f>
        <v/>
      </c>
      <c r="B172" s="3" t="str">
        <f>IF(C172="","",'PM_info+'!B76)</f>
        <v/>
      </c>
      <c r="C172" s="1" t="str">
        <f>IF('PM_info+'!E76="","",'PM_info+'!E76)</f>
        <v/>
      </c>
      <c r="D172" s="3" t="str">
        <f>IF(C172="","",'Plate organization+'!$B$43)</f>
        <v/>
      </c>
      <c r="E172" t="s">
        <v>151</v>
      </c>
    </row>
    <row r="173" spans="1:5" x14ac:dyDescent="0.25">
      <c r="A173" s="3" t="str">
        <f>IF(C173="","",VLOOKUP(C173,Source_Plate!$I$2:$J$97,2,FALSE))</f>
        <v/>
      </c>
      <c r="B173" s="3" t="str">
        <f>IF(C173="","",'PM_info+'!B77)</f>
        <v/>
      </c>
      <c r="C173" s="1" t="str">
        <f>IF('PM_info+'!E77="","",'PM_info+'!E77)</f>
        <v/>
      </c>
      <c r="D173" s="3" t="str">
        <f>IF(C173="","",'Plate organization+'!$B$43)</f>
        <v/>
      </c>
      <c r="E173" t="s">
        <v>151</v>
      </c>
    </row>
    <row r="174" spans="1:5" x14ac:dyDescent="0.25">
      <c r="A174" s="3" t="str">
        <f>IF(C174="","",VLOOKUP(C174,Source_Plate!$I$2:$J$97,2,FALSE))</f>
        <v/>
      </c>
      <c r="B174" s="3" t="str">
        <f>IF(C174="","",'PM_info+'!B78)</f>
        <v/>
      </c>
      <c r="C174" s="1" t="str">
        <f>IF('PM_info+'!E78="","",'PM_info+'!E78)</f>
        <v/>
      </c>
      <c r="D174" s="3" t="str">
        <f>IF(C174="","",'Plate organization+'!$B$43)</f>
        <v/>
      </c>
      <c r="E174" t="s">
        <v>151</v>
      </c>
    </row>
    <row r="175" spans="1:5" x14ac:dyDescent="0.25">
      <c r="A175" s="3" t="str">
        <f>IF(C175="","",VLOOKUP(C175,Source_Plate!$I$2:$J$97,2,FALSE))</f>
        <v/>
      </c>
      <c r="B175" s="3" t="str">
        <f>IF(C175="","",'PM_info+'!B79)</f>
        <v/>
      </c>
      <c r="C175" s="1" t="str">
        <f>IF('PM_info+'!E79="","",'PM_info+'!E79)</f>
        <v/>
      </c>
      <c r="D175" s="3" t="str">
        <f>IF(C175="","",'Plate organization+'!$B$43)</f>
        <v/>
      </c>
      <c r="E175" t="s">
        <v>151</v>
      </c>
    </row>
    <row r="176" spans="1:5" x14ac:dyDescent="0.25">
      <c r="A176" s="3" t="str">
        <f>IF(C176="","",VLOOKUP(C176,Source_Plate!$I$2:$J$97,2,FALSE))</f>
        <v/>
      </c>
      <c r="B176" s="3" t="str">
        <f>IF(C176="","",'PM_info+'!B80)</f>
        <v/>
      </c>
      <c r="C176" s="1" t="str">
        <f>IF('PM_info+'!E80="","",'PM_info+'!E80)</f>
        <v/>
      </c>
      <c r="D176" s="3" t="str">
        <f>IF(C176="","",'Plate organization+'!$B$43)</f>
        <v/>
      </c>
      <c r="E176" t="s">
        <v>151</v>
      </c>
    </row>
    <row r="177" spans="1:5" x14ac:dyDescent="0.25">
      <c r="A177" s="3" t="str">
        <f>IF(C177="","",VLOOKUP(C177,Source_Plate!$I$2:$J$97,2,FALSE))</f>
        <v/>
      </c>
      <c r="B177" s="3" t="str">
        <f>IF(C177="","",'PM_info+'!B81)</f>
        <v/>
      </c>
      <c r="C177" s="1" t="str">
        <f>IF('PM_info+'!E81="","",'PM_info+'!E81)</f>
        <v/>
      </c>
      <c r="D177" s="3" t="str">
        <f>IF(C177="","",'Plate organization+'!$B$43)</f>
        <v/>
      </c>
      <c r="E177" t="s">
        <v>151</v>
      </c>
    </row>
    <row r="178" spans="1:5" x14ac:dyDescent="0.25">
      <c r="A178" s="3" t="str">
        <f>IF(C178="","",VLOOKUP(C178,Source_Plate!$I$2:$J$97,2,FALSE))</f>
        <v/>
      </c>
      <c r="B178" s="3" t="str">
        <f>IF(C178="","",'PM_info+'!B82)</f>
        <v/>
      </c>
      <c r="C178" s="1" t="str">
        <f>IF('PM_info+'!E82="","",'PM_info+'!E82)</f>
        <v/>
      </c>
      <c r="D178" s="3" t="str">
        <f>IF(C178="","",'Plate organization+'!$B$43)</f>
        <v/>
      </c>
      <c r="E178" t="s">
        <v>151</v>
      </c>
    </row>
    <row r="179" spans="1:5" x14ac:dyDescent="0.25">
      <c r="A179" s="3" t="str">
        <f>IF(C179="","",VLOOKUP(C179,Source_Plate!$I$2:$J$97,2,FALSE))</f>
        <v/>
      </c>
      <c r="B179" s="3" t="str">
        <f>IF(C179="","",'PM_info+'!B83)</f>
        <v/>
      </c>
      <c r="C179" s="1" t="str">
        <f>IF('PM_info+'!E83="","",'PM_info+'!E83)</f>
        <v/>
      </c>
      <c r="D179" s="3" t="str">
        <f>IF(C179="","",'Plate organization+'!$B$43)</f>
        <v/>
      </c>
      <c r="E179" t="s">
        <v>151</v>
      </c>
    </row>
    <row r="180" spans="1:5" x14ac:dyDescent="0.25">
      <c r="A180" s="3" t="str">
        <f>IF(C180="","",VLOOKUP(C180,Source_Plate!$I$2:$J$97,2,FALSE))</f>
        <v/>
      </c>
      <c r="B180" s="3" t="str">
        <f>IF(C180="","",'PM_info+'!B84)</f>
        <v/>
      </c>
      <c r="C180" s="1" t="str">
        <f>IF('PM_info+'!E84="","",'PM_info+'!E84)</f>
        <v/>
      </c>
      <c r="D180" s="3" t="str">
        <f>IF(C180="","",'Plate organization+'!$B$43)</f>
        <v/>
      </c>
      <c r="E180" t="s">
        <v>151</v>
      </c>
    </row>
    <row r="181" spans="1:5" x14ac:dyDescent="0.25">
      <c r="A181" s="3" t="str">
        <f>IF(C181="","",VLOOKUP(C181,Source_Plate!$I$2:$J$97,2,FALSE))</f>
        <v/>
      </c>
      <c r="B181" s="3" t="str">
        <f>IF(C181="","",'PM_info+'!B85)</f>
        <v/>
      </c>
      <c r="C181" s="1" t="str">
        <f>IF('PM_info+'!E85="","",'PM_info+'!E85)</f>
        <v/>
      </c>
      <c r="D181" s="3" t="str">
        <f>IF(C181="","",'Plate organization+'!$B$43)</f>
        <v/>
      </c>
      <c r="E181" t="s">
        <v>151</v>
      </c>
    </row>
    <row r="182" spans="1:5" x14ac:dyDescent="0.25">
      <c r="A182" s="3" t="str">
        <f>IF(C182="","",VLOOKUP(C182,Source_Plate!$I$2:$J$97,2,FALSE))</f>
        <v/>
      </c>
      <c r="B182" s="3" t="str">
        <f>IF(C182="","",'PM_info+'!B86)</f>
        <v/>
      </c>
      <c r="C182" s="1" t="str">
        <f>IF('PM_info+'!E86="","",'PM_info+'!E86)</f>
        <v/>
      </c>
      <c r="D182" s="3" t="str">
        <f>IF(C182="","",'Plate organization+'!$B$43)</f>
        <v/>
      </c>
      <c r="E182" t="s">
        <v>151</v>
      </c>
    </row>
    <row r="183" spans="1:5" x14ac:dyDescent="0.25">
      <c r="A183" s="3" t="str">
        <f>IF(C183="","",VLOOKUP(C183,Source_Plate!$I$2:$J$97,2,FALSE))</f>
        <v/>
      </c>
      <c r="B183" s="3" t="str">
        <f>IF(C183="","",'PM_info+'!B87)</f>
        <v/>
      </c>
      <c r="C183" s="1" t="str">
        <f>IF('PM_info+'!E87="","",'PM_info+'!E87)</f>
        <v/>
      </c>
      <c r="D183" s="3" t="str">
        <f>IF(C183="","",'Plate organization+'!$B$43)</f>
        <v/>
      </c>
      <c r="E183" t="s">
        <v>151</v>
      </c>
    </row>
    <row r="184" spans="1:5" x14ac:dyDescent="0.25">
      <c r="A184" s="3" t="str">
        <f>IF(C184="","",VLOOKUP(C184,Source_Plate!$I$2:$J$97,2,FALSE))</f>
        <v/>
      </c>
      <c r="B184" s="3" t="str">
        <f>IF(C184="","",'PM_info+'!B88)</f>
        <v/>
      </c>
      <c r="C184" s="1" t="str">
        <f>IF('PM_info+'!E88="","",'PM_info+'!E88)</f>
        <v/>
      </c>
      <c r="D184" s="3" t="str">
        <f>IF(C184="","",'Plate organization+'!$B$43)</f>
        <v/>
      </c>
      <c r="E184" t="s">
        <v>151</v>
      </c>
    </row>
    <row r="185" spans="1:5" x14ac:dyDescent="0.25">
      <c r="A185" s="3" t="str">
        <f>IF(C185="","",VLOOKUP(C185,Source_Plate!$I$2:$J$97,2,FALSE))</f>
        <v/>
      </c>
      <c r="B185" s="3" t="str">
        <f>IF(C185="","",'PM_info+'!B89)</f>
        <v/>
      </c>
      <c r="C185" s="1" t="str">
        <f>IF('PM_info+'!E89="","",'PM_info+'!E89)</f>
        <v/>
      </c>
      <c r="D185" s="3" t="str">
        <f>IF(C185="","",'Plate organization+'!$B$43)</f>
        <v/>
      </c>
      <c r="E185" t="s">
        <v>151</v>
      </c>
    </row>
    <row r="186" spans="1:5" x14ac:dyDescent="0.25">
      <c r="A186" s="3" t="str">
        <f>IF(C186="","",VLOOKUP(C186,Source_Plate!$I$2:$J$97,2,FALSE))</f>
        <v/>
      </c>
      <c r="B186" s="3" t="str">
        <f>IF(C186="","",'PM_info+'!B90)</f>
        <v/>
      </c>
      <c r="C186" s="1" t="str">
        <f>IF('PM_info+'!E90="","",'PM_info+'!E90)</f>
        <v/>
      </c>
      <c r="D186" s="3" t="str">
        <f>IF(C186="","",'Plate organization+'!$B$43)</f>
        <v/>
      </c>
      <c r="E186" t="s">
        <v>151</v>
      </c>
    </row>
    <row r="187" spans="1:5" x14ac:dyDescent="0.25">
      <c r="A187" s="3" t="str">
        <f>IF(C187="","",VLOOKUP(C187,Source_Plate!$I$2:$J$97,2,FALSE))</f>
        <v/>
      </c>
      <c r="B187" s="3" t="str">
        <f>IF(C187="","",'PM_info+'!B91)</f>
        <v/>
      </c>
      <c r="C187" s="1" t="str">
        <f>IF('PM_info+'!E91="","",'PM_info+'!E91)</f>
        <v/>
      </c>
      <c r="D187" s="3" t="str">
        <f>IF(C187="","",'Plate organization+'!$B$43)</f>
        <v/>
      </c>
      <c r="E187" t="s">
        <v>151</v>
      </c>
    </row>
    <row r="188" spans="1:5" x14ac:dyDescent="0.25">
      <c r="A188" s="3" t="str">
        <f>IF(C188="","",VLOOKUP(C188,Source_Plate!$I$2:$J$97,2,FALSE))</f>
        <v/>
      </c>
      <c r="B188" s="3" t="str">
        <f>IF(C188="","",'PM_info+'!B92)</f>
        <v/>
      </c>
      <c r="C188" s="1" t="str">
        <f>IF('PM_info+'!E92="","",'PM_info+'!E92)</f>
        <v/>
      </c>
      <c r="D188" s="3" t="str">
        <f>IF(C188="","",'Plate organization+'!$B$43)</f>
        <v/>
      </c>
      <c r="E188" t="s">
        <v>151</v>
      </c>
    </row>
    <row r="189" spans="1:5" x14ac:dyDescent="0.25">
      <c r="A189" s="3" t="str">
        <f>IF(C189="","",VLOOKUP(C189,Source_Plate!$I$2:$J$97,2,FALSE))</f>
        <v/>
      </c>
      <c r="B189" s="3" t="str">
        <f>IF(C189="","",'PM_info+'!B93)</f>
        <v/>
      </c>
      <c r="C189" s="1" t="str">
        <f>IF('PM_info+'!E93="","",'PM_info+'!E93)</f>
        <v/>
      </c>
      <c r="D189" s="3" t="str">
        <f>IF(C189="","",'Plate organization+'!$B$43)</f>
        <v/>
      </c>
      <c r="E189" t="s">
        <v>151</v>
      </c>
    </row>
    <row r="190" spans="1:5" x14ac:dyDescent="0.25">
      <c r="A190" s="3" t="str">
        <f>IF(C190="","",VLOOKUP(C190,Source_Plate!$I$2:$J$97,2,FALSE))</f>
        <v/>
      </c>
      <c r="B190" s="3" t="str">
        <f>IF(C190="","",'PM_info+'!B94)</f>
        <v/>
      </c>
      <c r="C190" s="1" t="str">
        <f>IF('PM_info+'!E94="","",'PM_info+'!E94)</f>
        <v/>
      </c>
      <c r="D190" s="3" t="str">
        <f>IF(C190="","",'Plate organization+'!$B$43)</f>
        <v/>
      </c>
      <c r="E190" t="s">
        <v>151</v>
      </c>
    </row>
    <row r="191" spans="1:5" x14ac:dyDescent="0.25">
      <c r="A191" s="3" t="str">
        <f>IF(C191="","",VLOOKUP(C191,Source_Plate!$I$2:$J$97,2,FALSE))</f>
        <v/>
      </c>
      <c r="B191" s="3" t="str">
        <f>IF(C191="","",'PM_info+'!B95)</f>
        <v/>
      </c>
      <c r="C191" s="1" t="str">
        <f>IF('PM_info+'!E95="","",'PM_info+'!E95)</f>
        <v/>
      </c>
      <c r="D191" s="3" t="str">
        <f>IF(C191="","",'Plate organization+'!$B$43)</f>
        <v/>
      </c>
      <c r="E191" t="s">
        <v>151</v>
      </c>
    </row>
    <row r="192" spans="1:5" x14ac:dyDescent="0.25">
      <c r="A192" s="3" t="str">
        <f>IF(C192="","",VLOOKUP(C192,Source_Plate!$I$2:$J$97,2,FALSE))</f>
        <v/>
      </c>
      <c r="B192" s="3" t="str">
        <f>IF(C192="","",'PM_info+'!B96)</f>
        <v/>
      </c>
      <c r="C192" s="1" t="str">
        <f>IF('PM_info+'!E96="","",'PM_info+'!E96)</f>
        <v/>
      </c>
      <c r="D192" s="3" t="str">
        <f>IF(C192="","",'Plate organization+'!$B$43)</f>
        <v/>
      </c>
      <c r="E192" t="s">
        <v>151</v>
      </c>
    </row>
    <row r="193" spans="1:5" s="119" customFormat="1" x14ac:dyDescent="0.25">
      <c r="A193" s="118" t="str">
        <f>IF(C193="","",VLOOKUP(C193,Source_Plate!$I$2:$J$97,2,FALSE))</f>
        <v/>
      </c>
      <c r="B193" s="118" t="str">
        <f>IF(C193="","",'PM_info+'!B97)</f>
        <v/>
      </c>
      <c r="C193" s="120" t="str">
        <f>IF('PM_info+'!E97="","",'PM_info+'!E97)</f>
        <v/>
      </c>
      <c r="D193" s="118" t="str">
        <f>IF(C193="","",'Plate organization+'!$B$43)</f>
        <v/>
      </c>
      <c r="E193" s="119" t="s">
        <v>151</v>
      </c>
    </row>
    <row r="194" spans="1:5" x14ac:dyDescent="0.25">
      <c r="A194" s="3" t="str">
        <f>IF(C194="","",VLOOKUP(C194,Source_Plate!$I$2:$J$97,2,FALSE))</f>
        <v/>
      </c>
      <c r="B194" s="3" t="str">
        <f>IF(C194="","",'PM_info+'!B2)</f>
        <v/>
      </c>
      <c r="C194" s="1" t="str">
        <f>IF('PM_info+'!F2="","",'PM_info+'!F2)</f>
        <v/>
      </c>
      <c r="D194" s="3" t="str">
        <f>IF(C194="","",'Plate organization+'!$B$43)</f>
        <v/>
      </c>
      <c r="E194" t="s">
        <v>151</v>
      </c>
    </row>
    <row r="195" spans="1:5" x14ac:dyDescent="0.25">
      <c r="A195" s="3" t="str">
        <f>IF(C195="","",VLOOKUP(C195,Source_Plate!$I$2:$J$97,2,FALSE))</f>
        <v/>
      </c>
      <c r="B195" s="3" t="str">
        <f>IF(C195="","",'PM_info+'!B3)</f>
        <v/>
      </c>
      <c r="C195" s="1" t="str">
        <f>IF('PM_info+'!F3="","",'PM_info+'!F3)</f>
        <v/>
      </c>
      <c r="D195" s="3" t="str">
        <f>IF(C195="","",'Plate organization+'!$B$43)</f>
        <v/>
      </c>
      <c r="E195" t="s">
        <v>151</v>
      </c>
    </row>
    <row r="196" spans="1:5" x14ac:dyDescent="0.25">
      <c r="A196" s="3" t="str">
        <f>IF(C196="","",VLOOKUP(C196,Source_Plate!$I$2:$J$97,2,FALSE))</f>
        <v/>
      </c>
      <c r="B196" s="3" t="str">
        <f>IF(C196="","",'PM_info+'!B4)</f>
        <v/>
      </c>
      <c r="C196" s="1" t="str">
        <f>IF('PM_info+'!F4="","",'PM_info+'!F4)</f>
        <v/>
      </c>
      <c r="D196" s="3" t="str">
        <f>IF(C196="","",'Plate organization+'!$B$43)</f>
        <v/>
      </c>
      <c r="E196" t="s">
        <v>151</v>
      </c>
    </row>
    <row r="197" spans="1:5" x14ac:dyDescent="0.25">
      <c r="A197" s="3" t="str">
        <f>IF(C197="","",VLOOKUP(C197,Source_Plate!$I$2:$J$97,2,FALSE))</f>
        <v/>
      </c>
      <c r="B197" s="3" t="str">
        <f>IF(C197="","",'PM_info+'!B5)</f>
        <v/>
      </c>
      <c r="C197" s="1" t="str">
        <f>IF('PM_info+'!F5="","",'PM_info+'!F5)</f>
        <v/>
      </c>
      <c r="D197" s="3" t="str">
        <f>IF(C197="","",'Plate organization+'!$B$43)</f>
        <v/>
      </c>
      <c r="E197" t="s">
        <v>151</v>
      </c>
    </row>
    <row r="198" spans="1:5" x14ac:dyDescent="0.25">
      <c r="A198" s="3" t="str">
        <f>IF(C198="","",VLOOKUP(C198,Source_Plate!$I$2:$J$97,2,FALSE))</f>
        <v/>
      </c>
      <c r="B198" s="3" t="str">
        <f>IF(C198="","",'PM_info+'!B6)</f>
        <v/>
      </c>
      <c r="C198" s="1" t="str">
        <f>IF('PM_info+'!F6="","",'PM_info+'!F6)</f>
        <v/>
      </c>
      <c r="D198" s="3" t="str">
        <f>IF(C198="","",'Plate organization+'!$B$43)</f>
        <v/>
      </c>
      <c r="E198" t="s">
        <v>151</v>
      </c>
    </row>
    <row r="199" spans="1:5" x14ac:dyDescent="0.25">
      <c r="A199" s="3" t="str">
        <f>IF(C199="","",VLOOKUP(C199,Source_Plate!$I$2:$J$97,2,FALSE))</f>
        <v/>
      </c>
      <c r="B199" s="3" t="str">
        <f>IF(C199="","",'PM_info+'!B7)</f>
        <v/>
      </c>
      <c r="C199" s="1" t="str">
        <f>IF('PM_info+'!F7="","",'PM_info+'!F7)</f>
        <v/>
      </c>
      <c r="D199" s="3" t="str">
        <f>IF(C199="","",'Plate organization+'!$B$43)</f>
        <v/>
      </c>
      <c r="E199" t="s">
        <v>151</v>
      </c>
    </row>
    <row r="200" spans="1:5" x14ac:dyDescent="0.25">
      <c r="A200" s="3" t="str">
        <f>IF(C200="","",VLOOKUP(C200,Source_Plate!$I$2:$J$97,2,FALSE))</f>
        <v/>
      </c>
      <c r="B200" s="3" t="str">
        <f>IF(C200="","",'PM_info+'!B8)</f>
        <v/>
      </c>
      <c r="C200" s="1" t="str">
        <f>IF('PM_info+'!F8="","",'PM_info+'!F8)</f>
        <v/>
      </c>
      <c r="D200" s="3" t="str">
        <f>IF(C200="","",'Plate organization+'!$B$43)</f>
        <v/>
      </c>
      <c r="E200" t="s">
        <v>151</v>
      </c>
    </row>
    <row r="201" spans="1:5" x14ac:dyDescent="0.25">
      <c r="A201" s="3" t="str">
        <f>IF(C201="","",VLOOKUP(C201,Source_Plate!$I$2:$J$97,2,FALSE))</f>
        <v>E01</v>
      </c>
      <c r="B201" s="3" t="str">
        <f>IF(C201="","",'PM_info+'!B9)</f>
        <v>H01</v>
      </c>
      <c r="C201" s="1" t="str">
        <f>IF('PM_info+'!F9="","",'PM_info+'!F9)</f>
        <v>DVK_AE</v>
      </c>
      <c r="D201" s="3">
        <f>IF(C201="","",'Plate organization+'!$B$43)</f>
        <v>15</v>
      </c>
      <c r="E201" t="s">
        <v>151</v>
      </c>
    </row>
    <row r="202" spans="1:5" x14ac:dyDescent="0.25">
      <c r="A202" s="3" t="str">
        <f>IF(C202="","",VLOOKUP(C202,Source_Plate!$I$2:$J$97,2,FALSE))</f>
        <v/>
      </c>
      <c r="B202" s="3" t="str">
        <f>IF(C202="","",'PM_info+'!B10)</f>
        <v/>
      </c>
      <c r="C202" s="1" t="str">
        <f>IF('PM_info+'!F10="","",'PM_info+'!F10)</f>
        <v/>
      </c>
      <c r="D202" s="3" t="str">
        <f>IF(C202="","",'Plate organization+'!$B$43)</f>
        <v/>
      </c>
      <c r="E202" t="s">
        <v>151</v>
      </c>
    </row>
    <row r="203" spans="1:5" x14ac:dyDescent="0.25">
      <c r="A203" s="3" t="str">
        <f>IF(C203="","",VLOOKUP(C203,Source_Plate!$I$2:$J$97,2,FALSE))</f>
        <v/>
      </c>
      <c r="B203" s="3" t="str">
        <f>IF(C203="","",'PM_info+'!B11)</f>
        <v/>
      </c>
      <c r="C203" s="1" t="str">
        <f>IF('PM_info+'!F11="","",'PM_info+'!F11)</f>
        <v/>
      </c>
      <c r="D203" s="3" t="str">
        <f>IF(C203="","",'Plate organization+'!$B$43)</f>
        <v/>
      </c>
      <c r="E203" t="s">
        <v>151</v>
      </c>
    </row>
    <row r="204" spans="1:5" x14ac:dyDescent="0.25">
      <c r="A204" s="3" t="str">
        <f>IF(C204="","",VLOOKUP(C204,Source_Plate!$I$2:$J$97,2,FALSE))</f>
        <v/>
      </c>
      <c r="B204" s="3" t="str">
        <f>IF(C204="","",'PM_info+'!B12)</f>
        <v/>
      </c>
      <c r="C204" s="1" t="str">
        <f>IF('PM_info+'!F12="","",'PM_info+'!F12)</f>
        <v/>
      </c>
      <c r="D204" s="3" t="str">
        <f>IF(C204="","",'Plate organization+'!$B$43)</f>
        <v/>
      </c>
      <c r="E204" t="s">
        <v>151</v>
      </c>
    </row>
    <row r="205" spans="1:5" x14ac:dyDescent="0.25">
      <c r="A205" s="3" t="str">
        <f>IF(C205="","",VLOOKUP(C205,Source_Plate!$I$2:$J$97,2,FALSE))</f>
        <v/>
      </c>
      <c r="B205" s="3" t="str">
        <f>IF(C205="","",'PM_info+'!B13)</f>
        <v/>
      </c>
      <c r="C205" s="1" t="str">
        <f>IF('PM_info+'!F13="","",'PM_info+'!F13)</f>
        <v/>
      </c>
      <c r="D205" s="3" t="str">
        <f>IF(C205="","",'Plate organization+'!$B$43)</f>
        <v/>
      </c>
      <c r="E205" t="s">
        <v>151</v>
      </c>
    </row>
    <row r="206" spans="1:5" x14ac:dyDescent="0.25">
      <c r="A206" s="3" t="str">
        <f>IF(C206="","",VLOOKUP(C206,Source_Plate!$I$2:$J$97,2,FALSE))</f>
        <v/>
      </c>
      <c r="B206" s="3" t="str">
        <f>IF(C206="","",'PM_info+'!B14)</f>
        <v/>
      </c>
      <c r="C206" s="1" t="str">
        <f>IF('PM_info+'!F14="","",'PM_info+'!F14)</f>
        <v/>
      </c>
      <c r="D206" s="3" t="str">
        <f>IF(C206="","",'Plate organization+'!$B$43)</f>
        <v/>
      </c>
      <c r="E206" t="s">
        <v>151</v>
      </c>
    </row>
    <row r="207" spans="1:5" x14ac:dyDescent="0.25">
      <c r="A207" s="3" t="str">
        <f>IF(C207="","",VLOOKUP(C207,Source_Plate!$I$2:$J$97,2,FALSE))</f>
        <v/>
      </c>
      <c r="B207" s="3" t="str">
        <f>IF(C207="","",'PM_info+'!B15)</f>
        <v/>
      </c>
      <c r="C207" s="1" t="str">
        <f>IF('PM_info+'!F15="","",'PM_info+'!F15)</f>
        <v/>
      </c>
      <c r="D207" s="3" t="str">
        <f>IF(C207="","",'Plate organization+'!$B$43)</f>
        <v/>
      </c>
      <c r="E207" t="s">
        <v>151</v>
      </c>
    </row>
    <row r="208" spans="1:5" x14ac:dyDescent="0.25">
      <c r="A208" s="3" t="str">
        <f>IF(C208="","",VLOOKUP(C208,Source_Plate!$I$2:$J$97,2,FALSE))</f>
        <v/>
      </c>
      <c r="B208" s="3" t="str">
        <f>IF(C208="","",'PM_info+'!B16)</f>
        <v/>
      </c>
      <c r="C208" s="1" t="str">
        <f>IF('PM_info+'!F16="","",'PM_info+'!F16)</f>
        <v/>
      </c>
      <c r="D208" s="3" t="str">
        <f>IF(C208="","",'Plate organization+'!$B$43)</f>
        <v/>
      </c>
      <c r="E208" t="s">
        <v>151</v>
      </c>
    </row>
    <row r="209" spans="1:5" x14ac:dyDescent="0.25">
      <c r="A209" s="3" t="str">
        <f>IF(C209="","",VLOOKUP(C209,Source_Plate!$I$2:$J$97,2,FALSE))</f>
        <v/>
      </c>
      <c r="B209" s="3" t="str">
        <f>IF(C209="","",'PM_info+'!B17)</f>
        <v/>
      </c>
      <c r="C209" s="1" t="str">
        <f>IF('PM_info+'!F17="","",'PM_info+'!F17)</f>
        <v/>
      </c>
      <c r="D209" s="3" t="str">
        <f>IF(C209="","",'Plate organization+'!$B$43)</f>
        <v/>
      </c>
      <c r="E209" t="s">
        <v>151</v>
      </c>
    </row>
    <row r="210" spans="1:5" x14ac:dyDescent="0.25">
      <c r="A210" s="3" t="str">
        <f>IF(C210="","",VLOOKUP(C210,Source_Plate!$I$2:$J$97,2,FALSE))</f>
        <v/>
      </c>
      <c r="B210" s="3" t="str">
        <f>IF(C210="","",'PM_info+'!B18)</f>
        <v/>
      </c>
      <c r="C210" s="1" t="str">
        <f>IF('PM_info+'!F18="","",'PM_info+'!F18)</f>
        <v/>
      </c>
      <c r="D210" s="3" t="str">
        <f>IF(C210="","",'Plate organization+'!$B$43)</f>
        <v/>
      </c>
      <c r="E210" t="s">
        <v>151</v>
      </c>
    </row>
    <row r="211" spans="1:5" x14ac:dyDescent="0.25">
      <c r="A211" s="3" t="str">
        <f>IF(C211="","",VLOOKUP(C211,Source_Plate!$I$2:$J$97,2,FALSE))</f>
        <v/>
      </c>
      <c r="B211" s="3" t="str">
        <f>IF(C211="","",'PM_info+'!B19)</f>
        <v/>
      </c>
      <c r="C211" s="1" t="str">
        <f>IF('PM_info+'!F19="","",'PM_info+'!F19)</f>
        <v/>
      </c>
      <c r="D211" s="3" t="str">
        <f>IF(C211="","",'Plate organization+'!$B$43)</f>
        <v/>
      </c>
      <c r="E211" t="s">
        <v>151</v>
      </c>
    </row>
    <row r="212" spans="1:5" x14ac:dyDescent="0.25">
      <c r="A212" s="3" t="str">
        <f>IF(C212="","",VLOOKUP(C212,Source_Plate!$I$2:$J$97,2,FALSE))</f>
        <v/>
      </c>
      <c r="B212" s="3" t="str">
        <f>IF(C212="","",'PM_info+'!B20)</f>
        <v/>
      </c>
      <c r="C212" s="1" t="str">
        <f>IF('PM_info+'!F20="","",'PM_info+'!F20)</f>
        <v/>
      </c>
      <c r="D212" s="3" t="str">
        <f>IF(C212="","",'Plate organization+'!$B$43)</f>
        <v/>
      </c>
      <c r="E212" t="s">
        <v>151</v>
      </c>
    </row>
    <row r="213" spans="1:5" x14ac:dyDescent="0.25">
      <c r="A213" s="3" t="str">
        <f>IF(C213="","",VLOOKUP(C213,Source_Plate!$I$2:$J$97,2,FALSE))</f>
        <v/>
      </c>
      <c r="B213" s="3" t="str">
        <f>IF(C213="","",'PM_info+'!B21)</f>
        <v/>
      </c>
      <c r="C213" s="1" t="str">
        <f>IF('PM_info+'!F21="","",'PM_info+'!F21)</f>
        <v/>
      </c>
      <c r="D213" s="3" t="str">
        <f>IF(C213="","",'Plate organization+'!$B$43)</f>
        <v/>
      </c>
      <c r="E213" t="s">
        <v>151</v>
      </c>
    </row>
    <row r="214" spans="1:5" x14ac:dyDescent="0.25">
      <c r="A214" s="3" t="str">
        <f>IF(C214="","",VLOOKUP(C214,Source_Plate!$I$2:$J$97,2,FALSE))</f>
        <v/>
      </c>
      <c r="B214" s="3" t="str">
        <f>IF(C214="","",'PM_info+'!B22)</f>
        <v/>
      </c>
      <c r="C214" s="1" t="str">
        <f>IF('PM_info+'!F22="","",'PM_info+'!F22)</f>
        <v/>
      </c>
      <c r="D214" s="3" t="str">
        <f>IF(C214="","",'Plate organization+'!$B$43)</f>
        <v/>
      </c>
      <c r="E214" t="s">
        <v>151</v>
      </c>
    </row>
    <row r="215" spans="1:5" x14ac:dyDescent="0.25">
      <c r="A215" s="3" t="str">
        <f>IF(C215="","",VLOOKUP(C215,Source_Plate!$I$2:$J$97,2,FALSE))</f>
        <v/>
      </c>
      <c r="B215" s="3" t="str">
        <f>IF(C215="","",'PM_info+'!B23)</f>
        <v/>
      </c>
      <c r="C215" s="1" t="str">
        <f>IF('PM_info+'!F23="","",'PM_info+'!F23)</f>
        <v/>
      </c>
      <c r="D215" s="3" t="str">
        <f>IF(C215="","",'Plate organization+'!$B$43)</f>
        <v/>
      </c>
      <c r="E215" t="s">
        <v>151</v>
      </c>
    </row>
    <row r="216" spans="1:5" x14ac:dyDescent="0.25">
      <c r="A216" s="3" t="str">
        <f>IF(C216="","",VLOOKUP(C216,Source_Plate!$I$2:$J$97,2,FALSE))</f>
        <v/>
      </c>
      <c r="B216" s="3" t="str">
        <f>IF(C216="","",'PM_info+'!B24)</f>
        <v/>
      </c>
      <c r="C216" s="1" t="str">
        <f>IF('PM_info+'!F24="","",'PM_info+'!F24)</f>
        <v/>
      </c>
      <c r="D216" s="3" t="str">
        <f>IF(C216="","",'Plate organization+'!$B$43)</f>
        <v/>
      </c>
      <c r="E216" t="s">
        <v>151</v>
      </c>
    </row>
    <row r="217" spans="1:5" x14ac:dyDescent="0.25">
      <c r="A217" s="3" t="str">
        <f>IF(C217="","",VLOOKUP(C217,Source_Plate!$I$2:$J$97,2,FALSE))</f>
        <v/>
      </c>
      <c r="B217" s="3" t="str">
        <f>IF(C217="","",'PM_info+'!B25)</f>
        <v/>
      </c>
      <c r="C217" s="1" t="str">
        <f>IF('PM_info+'!F25="","",'PM_info+'!F25)</f>
        <v/>
      </c>
      <c r="D217" s="3" t="str">
        <f>IF(C217="","",'Plate organization+'!$B$43)</f>
        <v/>
      </c>
      <c r="E217" t="s">
        <v>151</v>
      </c>
    </row>
    <row r="218" spans="1:5" x14ac:dyDescent="0.25">
      <c r="A218" s="3" t="str">
        <f>IF(C218="","",VLOOKUP(C218,Source_Plate!$I$2:$J$97,2,FALSE))</f>
        <v/>
      </c>
      <c r="B218" s="3" t="str">
        <f>IF(C218="","",'PM_info+'!B26)</f>
        <v/>
      </c>
      <c r="C218" s="1" t="str">
        <f>IF('PM_info+'!F26="","",'PM_info+'!F26)</f>
        <v/>
      </c>
      <c r="D218" s="3" t="str">
        <f>IF(C218="","",'Plate organization+'!$B$43)</f>
        <v/>
      </c>
      <c r="E218" t="s">
        <v>151</v>
      </c>
    </row>
    <row r="219" spans="1:5" x14ac:dyDescent="0.25">
      <c r="A219" s="3" t="str">
        <f>IF(C219="","",VLOOKUP(C219,Source_Plate!$I$2:$J$97,2,FALSE))</f>
        <v/>
      </c>
      <c r="B219" s="3" t="str">
        <f>IF(C219="","",'PM_info+'!B27)</f>
        <v/>
      </c>
      <c r="C219" s="1" t="str">
        <f>IF('PM_info+'!F27="","",'PM_info+'!F27)</f>
        <v/>
      </c>
      <c r="D219" s="3" t="str">
        <f>IF(C219="","",'Plate organization+'!$B$43)</f>
        <v/>
      </c>
      <c r="E219" t="s">
        <v>151</v>
      </c>
    </row>
    <row r="220" spans="1:5" x14ac:dyDescent="0.25">
      <c r="A220" s="3" t="str">
        <f>IF(C220="","",VLOOKUP(C220,Source_Plate!$I$2:$J$97,2,FALSE))</f>
        <v/>
      </c>
      <c r="B220" s="3" t="str">
        <f>IF(C220="","",'PM_info+'!B28)</f>
        <v/>
      </c>
      <c r="C220" s="1" t="str">
        <f>IF('PM_info+'!F28="","",'PM_info+'!F28)</f>
        <v/>
      </c>
      <c r="D220" s="3" t="str">
        <f>IF(C220="","",'Plate organization+'!$B$43)</f>
        <v/>
      </c>
      <c r="E220" t="s">
        <v>151</v>
      </c>
    </row>
    <row r="221" spans="1:5" x14ac:dyDescent="0.25">
      <c r="A221" s="3" t="str">
        <f>IF(C221="","",VLOOKUP(C221,Source_Plate!$I$2:$J$97,2,FALSE))</f>
        <v/>
      </c>
      <c r="B221" s="3" t="str">
        <f>IF(C221="","",'PM_info+'!B29)</f>
        <v/>
      </c>
      <c r="C221" s="1" t="str">
        <f>IF('PM_info+'!F29="","",'PM_info+'!F29)</f>
        <v/>
      </c>
      <c r="D221" s="3" t="str">
        <f>IF(C221="","",'Plate organization+'!$B$43)</f>
        <v/>
      </c>
      <c r="E221" t="s">
        <v>151</v>
      </c>
    </row>
    <row r="222" spans="1:5" x14ac:dyDescent="0.25">
      <c r="A222" s="3" t="str">
        <f>IF(C222="","",VLOOKUP(C222,Source_Plate!$I$2:$J$97,2,FALSE))</f>
        <v/>
      </c>
      <c r="B222" s="3" t="str">
        <f>IF(C222="","",'PM_info+'!B30)</f>
        <v/>
      </c>
      <c r="C222" s="1" t="str">
        <f>IF('PM_info+'!F30="","",'PM_info+'!F30)</f>
        <v/>
      </c>
      <c r="D222" s="3" t="str">
        <f>IF(C222="","",'Plate organization+'!$B$43)</f>
        <v/>
      </c>
      <c r="E222" t="s">
        <v>151</v>
      </c>
    </row>
    <row r="223" spans="1:5" x14ac:dyDescent="0.25">
      <c r="A223" s="3" t="str">
        <f>IF(C223="","",VLOOKUP(C223,Source_Plate!$I$2:$J$97,2,FALSE))</f>
        <v/>
      </c>
      <c r="B223" s="3" t="str">
        <f>IF(C223="","",'PM_info+'!B31)</f>
        <v/>
      </c>
      <c r="C223" s="1" t="str">
        <f>IF('PM_info+'!F31="","",'PM_info+'!F31)</f>
        <v/>
      </c>
      <c r="D223" s="3" t="str">
        <f>IF(C223="","",'Plate organization+'!$B$43)</f>
        <v/>
      </c>
      <c r="E223" t="s">
        <v>151</v>
      </c>
    </row>
    <row r="224" spans="1:5" x14ac:dyDescent="0.25">
      <c r="A224" s="3" t="str">
        <f>IF(C224="","",VLOOKUP(C224,Source_Plate!$I$2:$J$97,2,FALSE))</f>
        <v/>
      </c>
      <c r="B224" s="3" t="str">
        <f>IF(C224="","",'PM_info+'!B32)</f>
        <v/>
      </c>
      <c r="C224" s="1" t="str">
        <f>IF('PM_info+'!F32="","",'PM_info+'!F32)</f>
        <v/>
      </c>
      <c r="D224" s="3" t="str">
        <f>IF(C224="","",'Plate organization+'!$B$43)</f>
        <v/>
      </c>
      <c r="E224" t="s">
        <v>151</v>
      </c>
    </row>
    <row r="225" spans="1:5" x14ac:dyDescent="0.25">
      <c r="A225" s="3" t="str">
        <f>IF(C225="","",VLOOKUP(C225,Source_Plate!$I$2:$J$97,2,FALSE))</f>
        <v/>
      </c>
      <c r="B225" s="3" t="str">
        <f>IF(C225="","",'PM_info+'!B33)</f>
        <v/>
      </c>
      <c r="C225" s="1" t="str">
        <f>IF('PM_info+'!F33="","",'PM_info+'!F33)</f>
        <v/>
      </c>
      <c r="D225" s="3" t="str">
        <f>IF(C225="","",'Plate organization+'!$B$43)</f>
        <v/>
      </c>
      <c r="E225" t="s">
        <v>151</v>
      </c>
    </row>
    <row r="226" spans="1:5" x14ac:dyDescent="0.25">
      <c r="A226" s="3" t="str">
        <f>IF(C226="","",VLOOKUP(C226,Source_Plate!$I$2:$J$97,2,FALSE))</f>
        <v/>
      </c>
      <c r="B226" s="3" t="str">
        <f>IF(C226="","",'PM_info+'!B34)</f>
        <v/>
      </c>
      <c r="C226" s="1" t="str">
        <f>IF('PM_info+'!F34="","",'PM_info+'!F34)</f>
        <v/>
      </c>
      <c r="D226" s="3" t="str">
        <f>IF(C226="","",'Plate organization+'!$B$43)</f>
        <v/>
      </c>
      <c r="E226" t="s">
        <v>151</v>
      </c>
    </row>
    <row r="227" spans="1:5" x14ac:dyDescent="0.25">
      <c r="A227" s="3" t="str">
        <f>IF(C227="","",VLOOKUP(C227,Source_Plate!$I$2:$J$97,2,FALSE))</f>
        <v/>
      </c>
      <c r="B227" s="3" t="str">
        <f>IF(C227="","",'PM_info+'!B35)</f>
        <v/>
      </c>
      <c r="C227" s="1" t="str">
        <f>IF('PM_info+'!F35="","",'PM_info+'!F35)</f>
        <v/>
      </c>
      <c r="D227" s="3" t="str">
        <f>IF(C227="","",'Plate organization+'!$B$43)</f>
        <v/>
      </c>
      <c r="E227" t="s">
        <v>151</v>
      </c>
    </row>
    <row r="228" spans="1:5" x14ac:dyDescent="0.25">
      <c r="A228" s="3" t="str">
        <f>IF(C228="","",VLOOKUP(C228,Source_Plate!$I$2:$J$97,2,FALSE))</f>
        <v/>
      </c>
      <c r="B228" s="3" t="str">
        <f>IF(C228="","",'PM_info+'!B36)</f>
        <v/>
      </c>
      <c r="C228" s="1" t="str">
        <f>IF('PM_info+'!F36="","",'PM_info+'!F36)</f>
        <v/>
      </c>
      <c r="D228" s="3" t="str">
        <f>IF(C228="","",'Plate organization+'!$B$43)</f>
        <v/>
      </c>
      <c r="E228" t="s">
        <v>151</v>
      </c>
    </row>
    <row r="229" spans="1:5" x14ac:dyDescent="0.25">
      <c r="A229" s="3" t="str">
        <f>IF(C229="","",VLOOKUP(C229,Source_Plate!$I$2:$J$97,2,FALSE))</f>
        <v/>
      </c>
      <c r="B229" s="3" t="str">
        <f>IF(C229="","",'PM_info+'!B37)</f>
        <v/>
      </c>
      <c r="C229" s="1" t="str">
        <f>IF('PM_info+'!F37="","",'PM_info+'!F37)</f>
        <v/>
      </c>
      <c r="D229" s="3" t="str">
        <f>IF(C229="","",'Plate organization+'!$B$43)</f>
        <v/>
      </c>
      <c r="E229" t="s">
        <v>151</v>
      </c>
    </row>
    <row r="230" spans="1:5" x14ac:dyDescent="0.25">
      <c r="A230" s="3" t="str">
        <f>IF(C230="","",VLOOKUP(C230,Source_Plate!$I$2:$J$97,2,FALSE))</f>
        <v/>
      </c>
      <c r="B230" s="3" t="str">
        <f>IF(C230="","",'PM_info+'!B38)</f>
        <v/>
      </c>
      <c r="C230" s="1" t="str">
        <f>IF('PM_info+'!F38="","",'PM_info+'!F38)</f>
        <v/>
      </c>
      <c r="D230" s="3" t="str">
        <f>IF(C230="","",'Plate organization+'!$B$43)</f>
        <v/>
      </c>
      <c r="E230" t="s">
        <v>151</v>
      </c>
    </row>
    <row r="231" spans="1:5" x14ac:dyDescent="0.25">
      <c r="A231" s="3" t="str">
        <f>IF(C231="","",VLOOKUP(C231,Source_Plate!$I$2:$J$97,2,FALSE))</f>
        <v/>
      </c>
      <c r="B231" s="3" t="str">
        <f>IF(C231="","",'PM_info+'!B39)</f>
        <v/>
      </c>
      <c r="C231" s="1" t="str">
        <f>IF('PM_info+'!F39="","",'PM_info+'!F39)</f>
        <v/>
      </c>
      <c r="D231" s="3" t="str">
        <f>IF(C231="","",'Plate organization+'!$B$43)</f>
        <v/>
      </c>
      <c r="E231" t="s">
        <v>151</v>
      </c>
    </row>
    <row r="232" spans="1:5" x14ac:dyDescent="0.25">
      <c r="A232" s="3" t="str">
        <f>IF(C232="","",VLOOKUP(C232,Source_Plate!$I$2:$J$97,2,FALSE))</f>
        <v/>
      </c>
      <c r="B232" s="3" t="str">
        <f>IF(C232="","",'PM_info+'!B40)</f>
        <v/>
      </c>
      <c r="C232" s="1" t="str">
        <f>IF('PM_info+'!F40="","",'PM_info+'!F40)</f>
        <v/>
      </c>
      <c r="D232" s="3" t="str">
        <f>IF(C232="","",'Plate organization+'!$B$43)</f>
        <v/>
      </c>
      <c r="E232" t="s">
        <v>151</v>
      </c>
    </row>
    <row r="233" spans="1:5" x14ac:dyDescent="0.25">
      <c r="A233" s="3" t="str">
        <f>IF(C233="","",VLOOKUP(C233,Source_Plate!$I$2:$J$97,2,FALSE))</f>
        <v/>
      </c>
      <c r="B233" s="3" t="str">
        <f>IF(C233="","",'PM_info+'!B41)</f>
        <v/>
      </c>
      <c r="C233" s="1" t="str">
        <f>IF('PM_info+'!F41="","",'PM_info+'!F41)</f>
        <v/>
      </c>
      <c r="D233" s="3" t="str">
        <f>IF(C233="","",'Plate organization+'!$B$43)</f>
        <v/>
      </c>
      <c r="E233" t="s">
        <v>151</v>
      </c>
    </row>
    <row r="234" spans="1:5" x14ac:dyDescent="0.25">
      <c r="A234" s="3" t="str">
        <f>IF(C234="","",VLOOKUP(C234,Source_Plate!$I$2:$J$97,2,FALSE))</f>
        <v/>
      </c>
      <c r="B234" s="3" t="str">
        <f>IF(C234="","",'PM_info+'!B42)</f>
        <v/>
      </c>
      <c r="C234" s="1" t="str">
        <f>IF('PM_info+'!F42="","",'PM_info+'!F42)</f>
        <v/>
      </c>
      <c r="D234" s="3" t="str">
        <f>IF(C234="","",'Plate organization+'!$B$43)</f>
        <v/>
      </c>
      <c r="E234" t="s">
        <v>151</v>
      </c>
    </row>
    <row r="235" spans="1:5" x14ac:dyDescent="0.25">
      <c r="A235" s="3" t="str">
        <f>IF(C235="","",VLOOKUP(C235,Source_Plate!$I$2:$J$97,2,FALSE))</f>
        <v/>
      </c>
      <c r="B235" s="3" t="str">
        <f>IF(C235="","",'PM_info+'!B43)</f>
        <v/>
      </c>
      <c r="C235" s="1" t="str">
        <f>IF('PM_info+'!F43="","",'PM_info+'!F43)</f>
        <v/>
      </c>
      <c r="D235" s="3" t="str">
        <f>IF(C235="","",'Plate organization+'!$B$43)</f>
        <v/>
      </c>
      <c r="E235" t="s">
        <v>151</v>
      </c>
    </row>
    <row r="236" spans="1:5" x14ac:dyDescent="0.25">
      <c r="A236" s="3" t="str">
        <f>IF(C236="","",VLOOKUP(C236,Source_Plate!$I$2:$J$97,2,FALSE))</f>
        <v/>
      </c>
      <c r="B236" s="3" t="str">
        <f>IF(C236="","",'PM_info+'!B44)</f>
        <v/>
      </c>
      <c r="C236" s="1" t="str">
        <f>IF('PM_info+'!F44="","",'PM_info+'!F44)</f>
        <v/>
      </c>
      <c r="D236" s="3" t="str">
        <f>IF(C236="","",'Plate organization+'!$B$43)</f>
        <v/>
      </c>
      <c r="E236" t="s">
        <v>151</v>
      </c>
    </row>
    <row r="237" spans="1:5" x14ac:dyDescent="0.25">
      <c r="A237" s="3" t="str">
        <f>IF(C237="","",VLOOKUP(C237,Source_Plate!$I$2:$J$97,2,FALSE))</f>
        <v/>
      </c>
      <c r="B237" s="3" t="str">
        <f>IF(C237="","",'PM_info+'!B45)</f>
        <v/>
      </c>
      <c r="C237" s="1" t="str">
        <f>IF('PM_info+'!F45="","",'PM_info+'!F45)</f>
        <v/>
      </c>
      <c r="D237" s="3" t="str">
        <f>IF(C237="","",'Plate organization+'!$B$43)</f>
        <v/>
      </c>
      <c r="E237" t="s">
        <v>151</v>
      </c>
    </row>
    <row r="238" spans="1:5" x14ac:dyDescent="0.25">
      <c r="A238" s="3" t="str">
        <f>IF(C238="","",VLOOKUP(C238,Source_Plate!$I$2:$J$97,2,FALSE))</f>
        <v/>
      </c>
      <c r="B238" s="3" t="str">
        <f>IF(C238="","",'PM_info+'!B46)</f>
        <v/>
      </c>
      <c r="C238" s="1" t="str">
        <f>IF('PM_info+'!F46="","",'PM_info+'!F46)</f>
        <v/>
      </c>
      <c r="D238" s="3" t="str">
        <f>IF(C238="","",'Plate organization+'!$B$43)</f>
        <v/>
      </c>
      <c r="E238" t="s">
        <v>151</v>
      </c>
    </row>
    <row r="239" spans="1:5" x14ac:dyDescent="0.25">
      <c r="A239" s="3" t="str">
        <f>IF(C239="","",VLOOKUP(C239,Source_Plate!$I$2:$J$97,2,FALSE))</f>
        <v/>
      </c>
      <c r="B239" s="3" t="str">
        <f>IF(C239="","",'PM_info+'!B47)</f>
        <v/>
      </c>
      <c r="C239" s="1" t="str">
        <f>IF('PM_info+'!F47="","",'PM_info+'!F47)</f>
        <v/>
      </c>
      <c r="D239" s="3" t="str">
        <f>IF(C239="","",'Plate organization+'!$B$43)</f>
        <v/>
      </c>
      <c r="E239" t="s">
        <v>151</v>
      </c>
    </row>
    <row r="240" spans="1:5" x14ac:dyDescent="0.25">
      <c r="A240" s="3" t="str">
        <f>IF(C240="","",VLOOKUP(C240,Source_Plate!$I$2:$J$97,2,FALSE))</f>
        <v/>
      </c>
      <c r="B240" s="3" t="str">
        <f>IF(C240="","",'PM_info+'!B48)</f>
        <v/>
      </c>
      <c r="C240" s="1" t="str">
        <f>IF('PM_info+'!F48="","",'PM_info+'!F48)</f>
        <v/>
      </c>
      <c r="D240" s="3" t="str">
        <f>IF(C240="","",'Plate organization+'!$B$43)</f>
        <v/>
      </c>
      <c r="E240" t="s">
        <v>151</v>
      </c>
    </row>
    <row r="241" spans="1:5" x14ac:dyDescent="0.25">
      <c r="A241" s="3" t="str">
        <f>IF(C241="","",VLOOKUP(C241,Source_Plate!$I$2:$J$97,2,FALSE))</f>
        <v/>
      </c>
      <c r="B241" s="3" t="str">
        <f>IF(C241="","",'PM_info+'!B49)</f>
        <v/>
      </c>
      <c r="C241" s="1" t="str">
        <f>IF('PM_info+'!F49="","",'PM_info+'!F49)</f>
        <v/>
      </c>
      <c r="D241" s="3" t="str">
        <f>IF(C241="","",'Plate organization+'!$B$43)</f>
        <v/>
      </c>
      <c r="E241" t="s">
        <v>151</v>
      </c>
    </row>
    <row r="242" spans="1:5" x14ac:dyDescent="0.25">
      <c r="A242" s="3" t="str">
        <f>IF(C242="","",VLOOKUP(C242,Source_Plate!$I$2:$J$97,2,FALSE))</f>
        <v/>
      </c>
      <c r="B242" s="3" t="str">
        <f>IF(C242="","",'PM_info+'!B50)</f>
        <v/>
      </c>
      <c r="C242" s="1" t="str">
        <f>IF('PM_info+'!F50="","",'PM_info+'!F50)</f>
        <v/>
      </c>
      <c r="D242" s="3" t="str">
        <f>IF(C242="","",'Plate organization+'!$B$43)</f>
        <v/>
      </c>
      <c r="E242" t="s">
        <v>151</v>
      </c>
    </row>
    <row r="243" spans="1:5" x14ac:dyDescent="0.25">
      <c r="A243" s="3" t="str">
        <f>IF(C243="","",VLOOKUP(C243,Source_Plate!$I$2:$J$97,2,FALSE))</f>
        <v/>
      </c>
      <c r="B243" s="3" t="str">
        <f>IF(C243="","",'PM_info+'!B51)</f>
        <v/>
      </c>
      <c r="C243" s="1" t="str">
        <f>IF('PM_info+'!F51="","",'PM_info+'!F51)</f>
        <v/>
      </c>
      <c r="D243" s="3" t="str">
        <f>IF(C243="","",'Plate organization+'!$B$43)</f>
        <v/>
      </c>
      <c r="E243" t="s">
        <v>151</v>
      </c>
    </row>
    <row r="244" spans="1:5" x14ac:dyDescent="0.25">
      <c r="A244" s="3" t="str">
        <f>IF(C244="","",VLOOKUP(C244,Source_Plate!$I$2:$J$97,2,FALSE))</f>
        <v/>
      </c>
      <c r="B244" s="3" t="str">
        <f>IF(C244="","",'PM_info+'!B52)</f>
        <v/>
      </c>
      <c r="C244" s="1" t="str">
        <f>IF('PM_info+'!F52="","",'PM_info+'!F52)</f>
        <v/>
      </c>
      <c r="D244" s="3" t="str">
        <f>IF(C244="","",'Plate organization+'!$B$43)</f>
        <v/>
      </c>
      <c r="E244" t="s">
        <v>151</v>
      </c>
    </row>
    <row r="245" spans="1:5" x14ac:dyDescent="0.25">
      <c r="A245" s="3" t="str">
        <f>IF(C245="","",VLOOKUP(C245,Source_Plate!$I$2:$J$97,2,FALSE))</f>
        <v/>
      </c>
      <c r="B245" s="3" t="str">
        <f>IF(C245="","",'PM_info+'!B53)</f>
        <v/>
      </c>
      <c r="C245" s="1" t="str">
        <f>IF('PM_info+'!F53="","",'PM_info+'!F53)</f>
        <v/>
      </c>
      <c r="D245" s="3" t="str">
        <f>IF(C245="","",'Plate organization+'!$B$43)</f>
        <v/>
      </c>
      <c r="E245" t="s">
        <v>151</v>
      </c>
    </row>
    <row r="246" spans="1:5" x14ac:dyDescent="0.25">
      <c r="A246" s="3" t="str">
        <f>IF(C246="","",VLOOKUP(C246,Source_Plate!$I$2:$J$97,2,FALSE))</f>
        <v/>
      </c>
      <c r="B246" s="3" t="str">
        <f>IF(C246="","",'PM_info+'!B54)</f>
        <v/>
      </c>
      <c r="C246" s="1" t="str">
        <f>IF('PM_info+'!F54="","",'PM_info+'!F54)</f>
        <v/>
      </c>
      <c r="D246" s="3" t="str">
        <f>IF(C246="","",'Plate organization+'!$B$43)</f>
        <v/>
      </c>
      <c r="E246" t="s">
        <v>151</v>
      </c>
    </row>
    <row r="247" spans="1:5" x14ac:dyDescent="0.25">
      <c r="A247" s="3" t="str">
        <f>IF(C247="","",VLOOKUP(C247,Source_Plate!$I$2:$J$97,2,FALSE))</f>
        <v/>
      </c>
      <c r="B247" s="3" t="str">
        <f>IF(C247="","",'PM_info+'!B55)</f>
        <v/>
      </c>
      <c r="C247" s="1" t="str">
        <f>IF('PM_info+'!F55="","",'PM_info+'!F55)</f>
        <v/>
      </c>
      <c r="D247" s="3" t="str">
        <f>IF(C247="","",'Plate organization+'!$B$43)</f>
        <v/>
      </c>
      <c r="E247" t="s">
        <v>151</v>
      </c>
    </row>
    <row r="248" spans="1:5" x14ac:dyDescent="0.25">
      <c r="A248" s="3" t="str">
        <f>IF(C248="","",VLOOKUP(C248,Source_Plate!$I$2:$J$97,2,FALSE))</f>
        <v/>
      </c>
      <c r="B248" s="3" t="str">
        <f>IF(C248="","",'PM_info+'!B56)</f>
        <v/>
      </c>
      <c r="C248" s="1" t="str">
        <f>IF('PM_info+'!F56="","",'PM_info+'!F56)</f>
        <v/>
      </c>
      <c r="D248" s="3" t="str">
        <f>IF(C248="","",'Plate organization+'!$B$43)</f>
        <v/>
      </c>
      <c r="E248" t="s">
        <v>151</v>
      </c>
    </row>
    <row r="249" spans="1:5" x14ac:dyDescent="0.25">
      <c r="A249" s="3" t="str">
        <f>IF(C249="","",VLOOKUP(C249,Source_Plate!$I$2:$J$97,2,FALSE))</f>
        <v/>
      </c>
      <c r="B249" s="3" t="str">
        <f>IF(C249="","",'PM_info+'!B57)</f>
        <v/>
      </c>
      <c r="C249" s="1" t="str">
        <f>IF('PM_info+'!F57="","",'PM_info+'!F57)</f>
        <v/>
      </c>
      <c r="D249" s="3" t="str">
        <f>IF(C249="","",'Plate organization+'!$B$43)</f>
        <v/>
      </c>
      <c r="E249" t="s">
        <v>151</v>
      </c>
    </row>
    <row r="250" spans="1:5" x14ac:dyDescent="0.25">
      <c r="A250" s="3" t="str">
        <f>IF(C250="","",VLOOKUP(C250,Source_Plate!$I$2:$J$97,2,FALSE))</f>
        <v/>
      </c>
      <c r="B250" s="3" t="str">
        <f>IF(C250="","",'PM_info+'!B58)</f>
        <v/>
      </c>
      <c r="C250" s="1" t="str">
        <f>IF('PM_info+'!F58="","",'PM_info+'!F58)</f>
        <v/>
      </c>
      <c r="D250" s="3" t="str">
        <f>IF(C250="","",'Plate organization+'!$B$43)</f>
        <v/>
      </c>
      <c r="E250" t="s">
        <v>151</v>
      </c>
    </row>
    <row r="251" spans="1:5" x14ac:dyDescent="0.25">
      <c r="A251" s="3" t="str">
        <f>IF(C251="","",VLOOKUP(C251,Source_Plate!$I$2:$J$97,2,FALSE))</f>
        <v/>
      </c>
      <c r="B251" s="3" t="str">
        <f>IF(C251="","",'PM_info+'!B59)</f>
        <v/>
      </c>
      <c r="C251" s="1" t="str">
        <f>IF('PM_info+'!F59="","",'PM_info+'!F59)</f>
        <v/>
      </c>
      <c r="D251" s="3" t="str">
        <f>IF(C251="","",'Plate organization+'!$B$43)</f>
        <v/>
      </c>
      <c r="E251" t="s">
        <v>151</v>
      </c>
    </row>
    <row r="252" spans="1:5" x14ac:dyDescent="0.25">
      <c r="A252" s="3" t="str">
        <f>IF(C252="","",VLOOKUP(C252,Source_Plate!$I$2:$J$97,2,FALSE))</f>
        <v/>
      </c>
      <c r="B252" s="3" t="str">
        <f>IF(C252="","",'PM_info+'!B60)</f>
        <v/>
      </c>
      <c r="C252" s="1" t="str">
        <f>IF('PM_info+'!F60="","",'PM_info+'!F60)</f>
        <v/>
      </c>
      <c r="D252" s="3" t="str">
        <f>IF(C252="","",'Plate organization+'!$B$43)</f>
        <v/>
      </c>
      <c r="E252" t="s">
        <v>151</v>
      </c>
    </row>
    <row r="253" spans="1:5" x14ac:dyDescent="0.25">
      <c r="A253" s="3" t="str">
        <f>IF(C253="","",VLOOKUP(C253,Source_Plate!$I$2:$J$97,2,FALSE))</f>
        <v/>
      </c>
      <c r="B253" s="3" t="str">
        <f>IF(C253="","",'PM_info+'!B61)</f>
        <v/>
      </c>
      <c r="C253" s="1" t="str">
        <f>IF('PM_info+'!F61="","",'PM_info+'!F61)</f>
        <v/>
      </c>
      <c r="D253" s="3" t="str">
        <f>IF(C253="","",'Plate organization+'!$B$43)</f>
        <v/>
      </c>
      <c r="E253" t="s">
        <v>151</v>
      </c>
    </row>
    <row r="254" spans="1:5" x14ac:dyDescent="0.25">
      <c r="A254" s="3" t="str">
        <f>IF(C254="","",VLOOKUP(C254,Source_Plate!$I$2:$J$97,2,FALSE))</f>
        <v/>
      </c>
      <c r="B254" s="3" t="str">
        <f>IF(C254="","",'PM_info+'!B62)</f>
        <v/>
      </c>
      <c r="C254" s="1" t="str">
        <f>IF('PM_info+'!F62="","",'PM_info+'!F62)</f>
        <v/>
      </c>
      <c r="D254" s="3" t="str">
        <f>IF(C254="","",'Plate organization+'!$B$43)</f>
        <v/>
      </c>
      <c r="E254" t="s">
        <v>151</v>
      </c>
    </row>
    <row r="255" spans="1:5" x14ac:dyDescent="0.25">
      <c r="A255" s="3" t="str">
        <f>IF(C255="","",VLOOKUP(C255,Source_Plate!$I$2:$J$97,2,FALSE))</f>
        <v/>
      </c>
      <c r="B255" s="3" t="str">
        <f>IF(C255="","",'PM_info+'!B63)</f>
        <v/>
      </c>
      <c r="C255" s="1" t="str">
        <f>IF('PM_info+'!F63="","",'PM_info+'!F63)</f>
        <v/>
      </c>
      <c r="D255" s="3" t="str">
        <f>IF(C255="","",'Plate organization+'!$B$43)</f>
        <v/>
      </c>
      <c r="E255" t="s">
        <v>151</v>
      </c>
    </row>
    <row r="256" spans="1:5" x14ac:dyDescent="0.25">
      <c r="A256" s="3" t="str">
        <f>IF(C256="","",VLOOKUP(C256,Source_Plate!$I$2:$J$97,2,FALSE))</f>
        <v/>
      </c>
      <c r="B256" s="3" t="str">
        <f>IF(C256="","",'PM_info+'!B64)</f>
        <v/>
      </c>
      <c r="C256" s="1" t="str">
        <f>IF('PM_info+'!F64="","",'PM_info+'!F64)</f>
        <v/>
      </c>
      <c r="D256" s="3" t="str">
        <f>IF(C256="","",'Plate organization+'!$B$43)</f>
        <v/>
      </c>
      <c r="E256" t="s">
        <v>151</v>
      </c>
    </row>
    <row r="257" spans="1:5" x14ac:dyDescent="0.25">
      <c r="A257" s="3" t="str">
        <f>IF(C257="","",VLOOKUP(C257,Source_Plate!$I$2:$J$97,2,FALSE))</f>
        <v/>
      </c>
      <c r="B257" s="3" t="str">
        <f>IF(C257="","",'PM_info+'!B65)</f>
        <v/>
      </c>
      <c r="C257" s="1" t="str">
        <f>IF('PM_info+'!F65="","",'PM_info+'!F65)</f>
        <v/>
      </c>
      <c r="D257" s="3" t="str">
        <f>IF(C257="","",'Plate organization+'!$B$43)</f>
        <v/>
      </c>
      <c r="E257" t="s">
        <v>151</v>
      </c>
    </row>
    <row r="258" spans="1:5" x14ac:dyDescent="0.25">
      <c r="A258" s="3" t="str">
        <f>IF(C258="","",VLOOKUP(C258,Source_Plate!$I$2:$J$97,2,FALSE))</f>
        <v/>
      </c>
      <c r="B258" s="3" t="str">
        <f>IF(C258="","",'PM_info+'!B66)</f>
        <v/>
      </c>
      <c r="C258" s="1" t="str">
        <f>IF('PM_info+'!F66="","",'PM_info+'!F66)</f>
        <v/>
      </c>
      <c r="D258" s="3" t="str">
        <f>IF(C258="","",'Plate organization+'!$B$43)</f>
        <v/>
      </c>
      <c r="E258" t="s">
        <v>151</v>
      </c>
    </row>
    <row r="259" spans="1:5" x14ac:dyDescent="0.25">
      <c r="A259" s="3" t="str">
        <f>IF(C259="","",VLOOKUP(C259,Source_Plate!$I$2:$J$97,2,FALSE))</f>
        <v/>
      </c>
      <c r="B259" s="3" t="str">
        <f>IF(C259="","",'PM_info+'!B67)</f>
        <v/>
      </c>
      <c r="C259" s="1" t="str">
        <f>IF('PM_info+'!F67="","",'PM_info+'!F67)</f>
        <v/>
      </c>
      <c r="D259" s="3" t="str">
        <f>IF(C259="","",'Plate organization+'!$B$43)</f>
        <v/>
      </c>
      <c r="E259" t="s">
        <v>151</v>
      </c>
    </row>
    <row r="260" spans="1:5" x14ac:dyDescent="0.25">
      <c r="A260" s="3" t="str">
        <f>IF(C260="","",VLOOKUP(C260,Source_Plate!$I$2:$J$97,2,FALSE))</f>
        <v/>
      </c>
      <c r="B260" s="3" t="str">
        <f>IF(C260="","",'PM_info+'!B68)</f>
        <v/>
      </c>
      <c r="C260" s="1" t="str">
        <f>IF('PM_info+'!F68="","",'PM_info+'!F68)</f>
        <v/>
      </c>
      <c r="D260" s="3" t="str">
        <f>IF(C260="","",'Plate organization+'!$B$43)</f>
        <v/>
      </c>
      <c r="E260" t="s">
        <v>151</v>
      </c>
    </row>
    <row r="261" spans="1:5" x14ac:dyDescent="0.25">
      <c r="A261" s="3" t="str">
        <f>IF(C261="","",VLOOKUP(C261,Source_Plate!$I$2:$J$97,2,FALSE))</f>
        <v/>
      </c>
      <c r="B261" s="3" t="str">
        <f>IF(C261="","",'PM_info+'!B69)</f>
        <v/>
      </c>
      <c r="C261" s="1" t="str">
        <f>IF('PM_info+'!F69="","",'PM_info+'!F69)</f>
        <v/>
      </c>
      <c r="D261" s="3" t="str">
        <f>IF(C261="","",'Plate organization+'!$B$43)</f>
        <v/>
      </c>
      <c r="E261" t="s">
        <v>151</v>
      </c>
    </row>
    <row r="262" spans="1:5" x14ac:dyDescent="0.25">
      <c r="A262" s="3" t="str">
        <f>IF(C262="","",VLOOKUP(C262,Source_Plate!$I$2:$J$97,2,FALSE))</f>
        <v/>
      </c>
      <c r="B262" s="3" t="str">
        <f>IF(C262="","",'PM_info+'!B70)</f>
        <v/>
      </c>
      <c r="C262" s="1" t="str">
        <f>IF('PM_info+'!F70="","",'PM_info+'!F70)</f>
        <v/>
      </c>
      <c r="D262" s="3" t="str">
        <f>IF(C262="","",'Plate organization+'!$B$43)</f>
        <v/>
      </c>
      <c r="E262" t="s">
        <v>151</v>
      </c>
    </row>
    <row r="263" spans="1:5" x14ac:dyDescent="0.25">
      <c r="A263" s="3" t="str">
        <f>IF(C263="","",VLOOKUP(C263,Source_Plate!$I$2:$J$97,2,FALSE))</f>
        <v/>
      </c>
      <c r="B263" s="3" t="str">
        <f>IF(C263="","",'PM_info+'!B71)</f>
        <v/>
      </c>
      <c r="C263" s="1" t="str">
        <f>IF('PM_info+'!F71="","",'PM_info+'!F71)</f>
        <v/>
      </c>
      <c r="D263" s="3" t="str">
        <f>IF(C263="","",'Plate organization+'!$B$43)</f>
        <v/>
      </c>
      <c r="E263" t="s">
        <v>151</v>
      </c>
    </row>
    <row r="264" spans="1:5" x14ac:dyDescent="0.25">
      <c r="A264" s="3" t="str">
        <f>IF(C264="","",VLOOKUP(C264,Source_Plate!$I$2:$J$97,2,FALSE))</f>
        <v/>
      </c>
      <c r="B264" s="3" t="str">
        <f>IF(C264="","",'PM_info+'!B72)</f>
        <v/>
      </c>
      <c r="C264" s="1" t="str">
        <f>IF('PM_info+'!F72="","",'PM_info+'!F72)</f>
        <v/>
      </c>
      <c r="D264" s="3" t="str">
        <f>IF(C264="","",'Plate organization+'!$B$43)</f>
        <v/>
      </c>
      <c r="E264" t="s">
        <v>151</v>
      </c>
    </row>
    <row r="265" spans="1:5" x14ac:dyDescent="0.25">
      <c r="A265" s="3" t="str">
        <f>IF(C265="","",VLOOKUP(C265,Source_Plate!$I$2:$J$97,2,FALSE))</f>
        <v/>
      </c>
      <c r="B265" s="3" t="str">
        <f>IF(C265="","",'PM_info+'!B73)</f>
        <v/>
      </c>
      <c r="C265" s="1" t="str">
        <f>IF('PM_info+'!F73="","",'PM_info+'!F73)</f>
        <v/>
      </c>
      <c r="D265" s="3" t="str">
        <f>IF(C265="","",'Plate organization+'!$B$43)</f>
        <v/>
      </c>
      <c r="E265" t="s">
        <v>151</v>
      </c>
    </row>
    <row r="266" spans="1:5" x14ac:dyDescent="0.25">
      <c r="A266" s="3" t="str">
        <f>IF(C266="","",VLOOKUP(C266,Source_Plate!$I$2:$J$97,2,FALSE))</f>
        <v/>
      </c>
      <c r="B266" s="3" t="str">
        <f>IF(C266="","",'PM_info+'!B74)</f>
        <v/>
      </c>
      <c r="C266" s="1" t="str">
        <f>IF('PM_info+'!F74="","",'PM_info+'!F74)</f>
        <v/>
      </c>
      <c r="D266" s="3" t="str">
        <f>IF(C266="","",'Plate organization+'!$B$43)</f>
        <v/>
      </c>
      <c r="E266" t="s">
        <v>151</v>
      </c>
    </row>
    <row r="267" spans="1:5" x14ac:dyDescent="0.25">
      <c r="A267" s="3" t="str">
        <f>IF(C267="","",VLOOKUP(C267,Source_Plate!$I$2:$J$97,2,FALSE))</f>
        <v/>
      </c>
      <c r="B267" s="3" t="str">
        <f>IF(C267="","",'PM_info+'!B75)</f>
        <v/>
      </c>
      <c r="C267" s="1" t="str">
        <f>IF('PM_info+'!F75="","",'PM_info+'!F75)</f>
        <v/>
      </c>
      <c r="D267" s="3" t="str">
        <f>IF(C267="","",'Plate organization+'!$B$43)</f>
        <v/>
      </c>
      <c r="E267" t="s">
        <v>151</v>
      </c>
    </row>
    <row r="268" spans="1:5" x14ac:dyDescent="0.25">
      <c r="A268" s="3" t="str">
        <f>IF(C268="","",VLOOKUP(C268,Source_Plate!$I$2:$J$97,2,FALSE))</f>
        <v/>
      </c>
      <c r="B268" s="3" t="str">
        <f>IF(C268="","",'PM_info+'!B76)</f>
        <v/>
      </c>
      <c r="C268" s="1" t="str">
        <f>IF('PM_info+'!F76="","",'PM_info+'!F76)</f>
        <v/>
      </c>
      <c r="D268" s="3" t="str">
        <f>IF(C268="","",'Plate organization+'!$B$43)</f>
        <v/>
      </c>
      <c r="E268" t="s">
        <v>151</v>
      </c>
    </row>
    <row r="269" spans="1:5" x14ac:dyDescent="0.25">
      <c r="A269" s="3" t="str">
        <f>IF(C269="","",VLOOKUP(C269,Source_Plate!$I$2:$J$97,2,FALSE))</f>
        <v/>
      </c>
      <c r="B269" s="3" t="str">
        <f>IF(C269="","",'PM_info+'!B77)</f>
        <v/>
      </c>
      <c r="C269" s="1" t="str">
        <f>IF('PM_info+'!F77="","",'PM_info+'!F77)</f>
        <v/>
      </c>
      <c r="D269" s="3" t="str">
        <f>IF(C269="","",'Plate organization+'!$B$43)</f>
        <v/>
      </c>
      <c r="E269" t="s">
        <v>151</v>
      </c>
    </row>
    <row r="270" spans="1:5" x14ac:dyDescent="0.25">
      <c r="A270" s="3" t="str">
        <f>IF(C270="","",VLOOKUP(C270,Source_Plate!$I$2:$J$97,2,FALSE))</f>
        <v/>
      </c>
      <c r="B270" s="3" t="str">
        <f>IF(C270="","",'PM_info+'!B78)</f>
        <v/>
      </c>
      <c r="C270" s="1" t="str">
        <f>IF('PM_info+'!F78="","",'PM_info+'!F78)</f>
        <v/>
      </c>
      <c r="D270" s="3" t="str">
        <f>IF(C270="","",'Plate organization+'!$B$43)</f>
        <v/>
      </c>
      <c r="E270" t="s">
        <v>151</v>
      </c>
    </row>
    <row r="271" spans="1:5" x14ac:dyDescent="0.25">
      <c r="A271" s="3" t="str">
        <f>IF(C271="","",VLOOKUP(C271,Source_Plate!$I$2:$J$97,2,FALSE))</f>
        <v/>
      </c>
      <c r="B271" s="3" t="str">
        <f>IF(C271="","",'PM_info+'!B79)</f>
        <v/>
      </c>
      <c r="C271" s="1" t="str">
        <f>IF('PM_info+'!F79="","",'PM_info+'!F79)</f>
        <v/>
      </c>
      <c r="D271" s="3" t="str">
        <f>IF(C271="","",'Plate organization+'!$B$43)</f>
        <v/>
      </c>
      <c r="E271" t="s">
        <v>151</v>
      </c>
    </row>
    <row r="272" spans="1:5" x14ac:dyDescent="0.25">
      <c r="A272" s="3" t="str">
        <f>IF(C272="","",VLOOKUP(C272,Source_Plate!$I$2:$J$97,2,FALSE))</f>
        <v/>
      </c>
      <c r="B272" s="3" t="str">
        <f>IF(C272="","",'PM_info+'!B80)</f>
        <v/>
      </c>
      <c r="C272" s="1" t="str">
        <f>IF('PM_info+'!F80="","",'PM_info+'!F80)</f>
        <v/>
      </c>
      <c r="D272" s="3" t="str">
        <f>IF(C272="","",'Plate organization+'!$B$43)</f>
        <v/>
      </c>
      <c r="E272" t="s">
        <v>151</v>
      </c>
    </row>
    <row r="273" spans="1:5" x14ac:dyDescent="0.25">
      <c r="A273" s="3" t="str">
        <f>IF(C273="","",VLOOKUP(C273,Source_Plate!$I$2:$J$97,2,FALSE))</f>
        <v/>
      </c>
      <c r="B273" s="3" t="str">
        <f>IF(C273="","",'PM_info+'!B81)</f>
        <v/>
      </c>
      <c r="C273" s="1" t="str">
        <f>IF('PM_info+'!F81="","",'PM_info+'!F81)</f>
        <v/>
      </c>
      <c r="D273" s="3" t="str">
        <f>IF(C273="","",'Plate organization+'!$B$43)</f>
        <v/>
      </c>
      <c r="E273" t="s">
        <v>151</v>
      </c>
    </row>
    <row r="274" spans="1:5" x14ac:dyDescent="0.25">
      <c r="A274" s="3" t="str">
        <f>IF(C274="","",VLOOKUP(C274,Source_Plate!$I$2:$J$97,2,FALSE))</f>
        <v/>
      </c>
      <c r="B274" s="3" t="str">
        <f>IF(C274="","",'PM_info+'!B82)</f>
        <v/>
      </c>
      <c r="C274" s="1" t="str">
        <f>IF('PM_info+'!F82="","",'PM_info+'!F82)</f>
        <v/>
      </c>
      <c r="D274" s="3" t="str">
        <f>IF(C274="","",'Plate organization+'!$B$43)</f>
        <v/>
      </c>
      <c r="E274" t="s">
        <v>151</v>
      </c>
    </row>
    <row r="275" spans="1:5" x14ac:dyDescent="0.25">
      <c r="A275" s="3" t="str">
        <f>IF(C275="","",VLOOKUP(C275,Source_Plate!$I$2:$J$97,2,FALSE))</f>
        <v/>
      </c>
      <c r="B275" s="3" t="str">
        <f>IF(C275="","",'PM_info+'!B83)</f>
        <v/>
      </c>
      <c r="C275" s="1" t="str">
        <f>IF('PM_info+'!F83="","",'PM_info+'!F83)</f>
        <v/>
      </c>
      <c r="D275" s="3" t="str">
        <f>IF(C275="","",'Plate organization+'!$B$43)</f>
        <v/>
      </c>
      <c r="E275" t="s">
        <v>151</v>
      </c>
    </row>
    <row r="276" spans="1:5" x14ac:dyDescent="0.25">
      <c r="A276" s="3" t="str">
        <f>IF(C276="","",VLOOKUP(C276,Source_Plate!$I$2:$J$97,2,FALSE))</f>
        <v/>
      </c>
      <c r="B276" s="3" t="str">
        <f>IF(C276="","",'PM_info+'!B84)</f>
        <v/>
      </c>
      <c r="C276" s="1" t="str">
        <f>IF('PM_info+'!F84="","",'PM_info+'!F84)</f>
        <v/>
      </c>
      <c r="D276" s="3" t="str">
        <f>IF(C276="","",'Plate organization+'!$B$43)</f>
        <v/>
      </c>
      <c r="E276" t="s">
        <v>151</v>
      </c>
    </row>
    <row r="277" spans="1:5" x14ac:dyDescent="0.25">
      <c r="A277" s="3" t="str">
        <f>IF(C277="","",VLOOKUP(C277,Source_Plate!$I$2:$J$97,2,FALSE))</f>
        <v/>
      </c>
      <c r="B277" s="3" t="str">
        <f>IF(C277="","",'PM_info+'!B85)</f>
        <v/>
      </c>
      <c r="C277" s="1" t="str">
        <f>IF('PM_info+'!F85="","",'PM_info+'!F85)</f>
        <v/>
      </c>
      <c r="D277" s="3" t="str">
        <f>IF(C277="","",'Plate organization+'!$B$43)</f>
        <v/>
      </c>
      <c r="E277" t="s">
        <v>151</v>
      </c>
    </row>
    <row r="278" spans="1:5" x14ac:dyDescent="0.25">
      <c r="A278" s="3" t="str">
        <f>IF(C278="","",VLOOKUP(C278,Source_Plate!$I$2:$J$97,2,FALSE))</f>
        <v/>
      </c>
      <c r="B278" s="3" t="str">
        <f>IF(C278="","",'PM_info+'!B86)</f>
        <v/>
      </c>
      <c r="C278" s="1" t="str">
        <f>IF('PM_info+'!F86="","",'PM_info+'!F86)</f>
        <v/>
      </c>
      <c r="D278" s="3" t="str">
        <f>IF(C278="","",'Plate organization+'!$B$43)</f>
        <v/>
      </c>
      <c r="E278" t="s">
        <v>151</v>
      </c>
    </row>
    <row r="279" spans="1:5" x14ac:dyDescent="0.25">
      <c r="A279" s="3" t="str">
        <f>IF(C279="","",VLOOKUP(C279,Source_Plate!$I$2:$J$97,2,FALSE))</f>
        <v/>
      </c>
      <c r="B279" s="3" t="str">
        <f>IF(C279="","",'PM_info+'!B87)</f>
        <v/>
      </c>
      <c r="C279" s="1" t="str">
        <f>IF('PM_info+'!F87="","",'PM_info+'!F87)</f>
        <v/>
      </c>
      <c r="D279" s="3" t="str">
        <f>IF(C279="","",'Plate organization+'!$B$43)</f>
        <v/>
      </c>
      <c r="E279" t="s">
        <v>151</v>
      </c>
    </row>
    <row r="280" spans="1:5" x14ac:dyDescent="0.25">
      <c r="A280" s="3" t="str">
        <f>IF(C280="","",VLOOKUP(C280,Source_Plate!$I$2:$J$97,2,FALSE))</f>
        <v/>
      </c>
      <c r="B280" s="3" t="str">
        <f>IF(C280="","",'PM_info+'!B88)</f>
        <v/>
      </c>
      <c r="C280" s="1" t="str">
        <f>IF('PM_info+'!F88="","",'PM_info+'!F88)</f>
        <v/>
      </c>
      <c r="D280" s="3" t="str">
        <f>IF(C280="","",'Plate organization+'!$B$43)</f>
        <v/>
      </c>
      <c r="E280" t="s">
        <v>151</v>
      </c>
    </row>
    <row r="281" spans="1:5" x14ac:dyDescent="0.25">
      <c r="A281" s="3" t="str">
        <f>IF(C281="","",VLOOKUP(C281,Source_Plate!$I$2:$J$97,2,FALSE))</f>
        <v/>
      </c>
      <c r="B281" s="3" t="str">
        <f>IF(C281="","",'PM_info+'!B89)</f>
        <v/>
      </c>
      <c r="C281" s="1" t="str">
        <f>IF('PM_info+'!F89="","",'PM_info+'!F89)</f>
        <v/>
      </c>
      <c r="D281" s="3" t="str">
        <f>IF(C281="","",'Plate organization+'!$B$43)</f>
        <v/>
      </c>
      <c r="E281" t="s">
        <v>151</v>
      </c>
    </row>
    <row r="282" spans="1:5" x14ac:dyDescent="0.25">
      <c r="A282" s="3" t="str">
        <f>IF(C282="","",VLOOKUP(C282,Source_Plate!$I$2:$J$97,2,FALSE))</f>
        <v/>
      </c>
      <c r="B282" s="3" t="str">
        <f>IF(C282="","",'PM_info+'!B90)</f>
        <v/>
      </c>
      <c r="C282" s="1" t="str">
        <f>IF('PM_info+'!F90="","",'PM_info+'!F90)</f>
        <v/>
      </c>
      <c r="D282" s="3" t="str">
        <f>IF(C282="","",'Plate organization+'!$B$43)</f>
        <v/>
      </c>
      <c r="E282" t="s">
        <v>151</v>
      </c>
    </row>
    <row r="283" spans="1:5" x14ac:dyDescent="0.25">
      <c r="A283" s="3" t="str">
        <f>IF(C283="","",VLOOKUP(C283,Source_Plate!$I$2:$J$97,2,FALSE))</f>
        <v/>
      </c>
      <c r="B283" s="3" t="str">
        <f>IF(C283="","",'PM_info+'!B91)</f>
        <v/>
      </c>
      <c r="C283" s="1" t="str">
        <f>IF('PM_info+'!F91="","",'PM_info+'!F91)</f>
        <v/>
      </c>
      <c r="D283" s="3" t="str">
        <f>IF(C283="","",'Plate organization+'!$B$43)</f>
        <v/>
      </c>
      <c r="E283" t="s">
        <v>151</v>
      </c>
    </row>
    <row r="284" spans="1:5" x14ac:dyDescent="0.25">
      <c r="A284" s="3" t="str">
        <f>IF(C284="","",VLOOKUP(C284,Source_Plate!$I$2:$J$97,2,FALSE))</f>
        <v/>
      </c>
      <c r="B284" s="3" t="str">
        <f>IF(C284="","",'PM_info+'!B92)</f>
        <v/>
      </c>
      <c r="C284" s="1" t="str">
        <f>IF('PM_info+'!F92="","",'PM_info+'!F92)</f>
        <v/>
      </c>
      <c r="D284" s="3" t="str">
        <f>IF(C284="","",'Plate organization+'!$B$43)</f>
        <v/>
      </c>
      <c r="E284" t="s">
        <v>151</v>
      </c>
    </row>
    <row r="285" spans="1:5" x14ac:dyDescent="0.25">
      <c r="A285" s="3" t="str">
        <f>IF(C285="","",VLOOKUP(C285,Source_Plate!$I$2:$J$97,2,FALSE))</f>
        <v/>
      </c>
      <c r="B285" s="3" t="str">
        <f>IF(C285="","",'PM_info+'!B93)</f>
        <v/>
      </c>
      <c r="C285" s="1" t="str">
        <f>IF('PM_info+'!F93="","",'PM_info+'!F93)</f>
        <v/>
      </c>
      <c r="D285" s="3" t="str">
        <f>IF(C285="","",'Plate organization+'!$B$43)</f>
        <v/>
      </c>
      <c r="E285" t="s">
        <v>151</v>
      </c>
    </row>
    <row r="286" spans="1:5" x14ac:dyDescent="0.25">
      <c r="A286" s="3" t="str">
        <f>IF(C286="","",VLOOKUP(C286,Source_Plate!$I$2:$J$97,2,FALSE))</f>
        <v/>
      </c>
      <c r="B286" s="3" t="str">
        <f>IF(C286="","",'PM_info+'!B94)</f>
        <v/>
      </c>
      <c r="C286" s="1" t="str">
        <f>IF('PM_info+'!F94="","",'PM_info+'!F94)</f>
        <v/>
      </c>
      <c r="D286" s="3" t="str">
        <f>IF(C286="","",'Plate organization+'!$B$43)</f>
        <v/>
      </c>
      <c r="E286" t="s">
        <v>151</v>
      </c>
    </row>
    <row r="287" spans="1:5" x14ac:dyDescent="0.25">
      <c r="A287" s="3" t="str">
        <f>IF(C287="","",VLOOKUP(C287,Source_Plate!$I$2:$J$97,2,FALSE))</f>
        <v/>
      </c>
      <c r="B287" s="3" t="str">
        <f>IF(C287="","",'PM_info+'!B95)</f>
        <v/>
      </c>
      <c r="C287" s="1" t="str">
        <f>IF('PM_info+'!F95="","",'PM_info+'!F95)</f>
        <v/>
      </c>
      <c r="D287" s="3" t="str">
        <f>IF(C287="","",'Plate organization+'!$B$43)</f>
        <v/>
      </c>
      <c r="E287" t="s">
        <v>151</v>
      </c>
    </row>
    <row r="288" spans="1:5" ht="15.75" customHeight="1" x14ac:dyDescent="0.25">
      <c r="A288" s="3" t="str">
        <f>IF(C288="","",VLOOKUP(C288,Source_Plate!$I$2:$J$97,2,FALSE))</f>
        <v/>
      </c>
      <c r="B288" s="3" t="str">
        <f>IF(C288="","",'PM_info+'!B96)</f>
        <v/>
      </c>
      <c r="C288" s="1" t="str">
        <f>IF('PM_info+'!F96="","",'PM_info+'!F96)</f>
        <v/>
      </c>
      <c r="D288" s="3" t="str">
        <f>IF(C288="","",'Plate organization+'!$B$43)</f>
        <v/>
      </c>
      <c r="E288" t="s">
        <v>151</v>
      </c>
    </row>
    <row r="289" spans="1:5" s="119" customFormat="1" x14ac:dyDescent="0.25">
      <c r="A289" s="118" t="str">
        <f>IF(C289="","",VLOOKUP(C289,Source_Plate!$I$2:$J$97,2,FALSE))</f>
        <v/>
      </c>
      <c r="B289" s="118" t="str">
        <f>IF(C289="","",'PM_info+'!B97)</f>
        <v/>
      </c>
      <c r="C289" s="120" t="str">
        <f>IF('PM_info+'!F97="","",'PM_info+'!F97)</f>
        <v/>
      </c>
      <c r="D289" s="118" t="str">
        <f>IF(C289="","",'Plate organization+'!$B$43)</f>
        <v/>
      </c>
      <c r="E289" s="119" t="s">
        <v>151</v>
      </c>
    </row>
    <row r="290" spans="1:5" x14ac:dyDescent="0.25">
      <c r="A290" s="3" t="str">
        <f>IF(C290="","",VLOOKUP(C290,Source_Plate!$I$2:$J$97,2,FALSE))</f>
        <v/>
      </c>
      <c r="B290" s="3" t="str">
        <f>IF(C290="","",'PM_info+'!B2)</f>
        <v/>
      </c>
      <c r="C290" s="1" t="str">
        <f>IF('PM_info+'!G2="","",'PM_info+'!G2)</f>
        <v/>
      </c>
      <c r="D290" s="3" t="str">
        <f>IF(C290="","",'Plate organization+'!$B$43)</f>
        <v/>
      </c>
      <c r="E290" t="s">
        <v>151</v>
      </c>
    </row>
    <row r="291" spans="1:5" x14ac:dyDescent="0.25">
      <c r="A291" s="3" t="str">
        <f>IF(C291="","",VLOOKUP(C291,Source_Plate!$I$2:$J$97,2,FALSE))</f>
        <v/>
      </c>
      <c r="B291" s="3" t="str">
        <f>IF(C291="","",'PM_info+'!B3)</f>
        <v/>
      </c>
      <c r="C291" s="1" t="str">
        <f>IF('PM_info+'!G3="","",'PM_info+'!G3)</f>
        <v/>
      </c>
      <c r="D291" s="3" t="str">
        <f>IF(C291="","",'Plate organization+'!$B$43)</f>
        <v/>
      </c>
      <c r="E291" t="s">
        <v>151</v>
      </c>
    </row>
    <row r="292" spans="1:5" x14ac:dyDescent="0.25">
      <c r="A292" s="3" t="str">
        <f>IF(C292="","",VLOOKUP(C292,Source_Plate!$I$2:$J$97,2,FALSE))</f>
        <v/>
      </c>
      <c r="B292" s="3" t="str">
        <f>IF(C292="","",'PM_info+'!B4)</f>
        <v/>
      </c>
      <c r="C292" s="1" t="str">
        <f>IF('PM_info+'!G4="","",'PM_info+'!G4)</f>
        <v/>
      </c>
      <c r="D292" s="3" t="str">
        <f>IF(C292="","",'Plate organization+'!$B$43)</f>
        <v/>
      </c>
      <c r="E292" t="s">
        <v>151</v>
      </c>
    </row>
    <row r="293" spans="1:5" x14ac:dyDescent="0.25">
      <c r="A293" s="3" t="str">
        <f>IF(C293="","",VLOOKUP(C293,Source_Plate!$I$2:$J$97,2,FALSE))</f>
        <v/>
      </c>
      <c r="B293" s="3" t="str">
        <f>IF(C293="","",'PM_info+'!B5)</f>
        <v/>
      </c>
      <c r="C293" s="1" t="str">
        <f>IF('PM_info+'!G5="","",'PM_info+'!G5)</f>
        <v/>
      </c>
      <c r="D293" s="3" t="str">
        <f>IF(C293="","",'Plate organization+'!$B$43)</f>
        <v/>
      </c>
      <c r="E293" t="s">
        <v>151</v>
      </c>
    </row>
    <row r="294" spans="1:5" x14ac:dyDescent="0.25">
      <c r="A294" s="3" t="str">
        <f>IF(C294="","",VLOOKUP(C294,Source_Plate!$I$2:$J$97,2,FALSE))</f>
        <v/>
      </c>
      <c r="B294" s="3" t="str">
        <f>IF(C294="","",'PM_info+'!B6)</f>
        <v/>
      </c>
      <c r="C294" s="1" t="str">
        <f>IF('PM_info+'!G6="","",'PM_info+'!G6)</f>
        <v/>
      </c>
      <c r="D294" s="3" t="str">
        <f>IF(C294="","",'Plate organization+'!$B$43)</f>
        <v/>
      </c>
      <c r="E294" t="s">
        <v>151</v>
      </c>
    </row>
    <row r="295" spans="1:5" x14ac:dyDescent="0.25">
      <c r="A295" s="3" t="str">
        <f>IF(C295="","",VLOOKUP(C295,Source_Plate!$I$2:$J$97,2,FALSE))</f>
        <v/>
      </c>
      <c r="B295" s="3" t="str">
        <f>IF(C295="","",'PM_info+'!B7)</f>
        <v/>
      </c>
      <c r="C295" s="1" t="str">
        <f>IF('PM_info+'!G7="","",'PM_info+'!G7)</f>
        <v/>
      </c>
      <c r="D295" s="3" t="str">
        <f>IF(C295="","",'Plate organization+'!$B$43)</f>
        <v/>
      </c>
      <c r="E295" t="s">
        <v>151</v>
      </c>
    </row>
    <row r="296" spans="1:5" x14ac:dyDescent="0.25">
      <c r="A296" s="3" t="str">
        <f>IF(C296="","",VLOOKUP(C296,Source_Plate!$I$2:$J$97,2,FALSE))</f>
        <v/>
      </c>
      <c r="B296" s="3" t="str">
        <f>IF(C296="","",'PM_info+'!B8)</f>
        <v/>
      </c>
      <c r="C296" s="1" t="str">
        <f>IF('PM_info+'!G8="","",'PM_info+'!G8)</f>
        <v/>
      </c>
      <c r="D296" s="3" t="str">
        <f>IF(C296="","",'Plate organization+'!$B$43)</f>
        <v/>
      </c>
      <c r="E296" t="s">
        <v>151</v>
      </c>
    </row>
    <row r="297" spans="1:5" x14ac:dyDescent="0.25">
      <c r="A297" s="3" t="str">
        <f>IF(C297="","",VLOOKUP(C297,Source_Plate!$I$2:$J$97,2,FALSE))</f>
        <v/>
      </c>
      <c r="B297" s="3" t="str">
        <f>IF(C297="","",'PM_info+'!B9)</f>
        <v/>
      </c>
      <c r="C297" s="1" t="str">
        <f>IF('PM_info+'!G9="","",'PM_info+'!G9)</f>
        <v/>
      </c>
      <c r="D297" s="3" t="str">
        <f>IF(C297="","",'Plate organization+'!$B$43)</f>
        <v/>
      </c>
      <c r="E297" t="s">
        <v>151</v>
      </c>
    </row>
    <row r="298" spans="1:5" x14ac:dyDescent="0.25">
      <c r="A298" s="3" t="str">
        <f>IF(C298="","",VLOOKUP(C298,Source_Plate!$I$2:$J$97,2,FALSE))</f>
        <v/>
      </c>
      <c r="B298" s="3" t="str">
        <f>IF(C298="","",'PM_info+'!B10)</f>
        <v/>
      </c>
      <c r="C298" s="1" t="str">
        <f>IF('PM_info+'!G10="","",'PM_info+'!G10)</f>
        <v/>
      </c>
      <c r="D298" s="3" t="str">
        <f>IF(C298="","",'Plate organization+'!$B$43)</f>
        <v/>
      </c>
      <c r="E298" t="s">
        <v>151</v>
      </c>
    </row>
    <row r="299" spans="1:5" x14ac:dyDescent="0.25">
      <c r="A299" s="3" t="str">
        <f>IF(C299="","",VLOOKUP(C299,Source_Plate!$I$2:$J$97,2,FALSE))</f>
        <v/>
      </c>
      <c r="B299" s="3" t="str">
        <f>IF(C299="","",'PM_info+'!B11)</f>
        <v/>
      </c>
      <c r="C299" s="1" t="str">
        <f>IF('PM_info+'!G11="","",'PM_info+'!G11)</f>
        <v/>
      </c>
      <c r="D299" s="3" t="str">
        <f>IF(C299="","",'Plate organization+'!$B$43)</f>
        <v/>
      </c>
      <c r="E299" t="s">
        <v>151</v>
      </c>
    </row>
    <row r="300" spans="1:5" x14ac:dyDescent="0.25">
      <c r="A300" s="3" t="str">
        <f>IF(C300="","",VLOOKUP(C300,Source_Plate!$I$2:$J$97,2,FALSE))</f>
        <v/>
      </c>
      <c r="B300" s="3" t="str">
        <f>IF(C300="","",'PM_info+'!B12)</f>
        <v/>
      </c>
      <c r="C300" s="1" t="str">
        <f>IF('PM_info+'!G12="","",'PM_info+'!G12)</f>
        <v/>
      </c>
      <c r="D300" s="3" t="str">
        <f>IF(C300="","",'Plate organization+'!$B$43)</f>
        <v/>
      </c>
      <c r="E300" t="s">
        <v>151</v>
      </c>
    </row>
    <row r="301" spans="1:5" x14ac:dyDescent="0.25">
      <c r="A301" s="3" t="str">
        <f>IF(C301="","",VLOOKUP(C301,Source_Plate!$I$2:$J$97,2,FALSE))</f>
        <v/>
      </c>
      <c r="B301" s="3" t="str">
        <f>IF(C301="","",'PM_info+'!B13)</f>
        <v/>
      </c>
      <c r="C301" s="1" t="str">
        <f>IF('PM_info+'!G13="","",'PM_info+'!G13)</f>
        <v/>
      </c>
      <c r="D301" s="3" t="str">
        <f>IF(C301="","",'Plate organization+'!$B$43)</f>
        <v/>
      </c>
      <c r="E301" t="s">
        <v>151</v>
      </c>
    </row>
    <row r="302" spans="1:5" x14ac:dyDescent="0.25">
      <c r="A302" s="3" t="str">
        <f>IF(C302="","",VLOOKUP(C302,Source_Plate!$I$2:$J$97,2,FALSE))</f>
        <v/>
      </c>
      <c r="B302" s="3" t="str">
        <f>IF(C302="","",'PM_info+'!B14)</f>
        <v/>
      </c>
      <c r="C302" s="1" t="str">
        <f>IF('PM_info+'!G14="","",'PM_info+'!G14)</f>
        <v/>
      </c>
      <c r="D302" s="3" t="str">
        <f>IF(C302="","",'Plate organization+'!$B$43)</f>
        <v/>
      </c>
      <c r="E302" t="s">
        <v>151</v>
      </c>
    </row>
    <row r="303" spans="1:5" x14ac:dyDescent="0.25">
      <c r="A303" s="3" t="str">
        <f>IF(C303="","",VLOOKUP(C303,Source_Plate!$I$2:$J$97,2,FALSE))</f>
        <v/>
      </c>
      <c r="B303" s="3" t="str">
        <f>IF(C303="","",'PM_info+'!B15)</f>
        <v/>
      </c>
      <c r="C303" s="1" t="str">
        <f>IF('PM_info+'!G15="","",'PM_info+'!G15)</f>
        <v/>
      </c>
      <c r="D303" s="3" t="str">
        <f>IF(C303="","",'Plate organization+'!$B$43)</f>
        <v/>
      </c>
      <c r="E303" t="s">
        <v>151</v>
      </c>
    </row>
    <row r="304" spans="1:5" x14ac:dyDescent="0.25">
      <c r="A304" s="3" t="str">
        <f>IF(C304="","",VLOOKUP(C304,Source_Plate!$I$2:$J$97,2,FALSE))</f>
        <v/>
      </c>
      <c r="B304" s="3" t="str">
        <f>IF(C304="","",'PM_info+'!B16)</f>
        <v/>
      </c>
      <c r="C304" s="1" t="str">
        <f>IF('PM_info+'!G16="","",'PM_info+'!G16)</f>
        <v/>
      </c>
      <c r="D304" s="3" t="str">
        <f>IF(C304="","",'Plate organization+'!$B$43)</f>
        <v/>
      </c>
      <c r="E304" t="s">
        <v>151</v>
      </c>
    </row>
    <row r="305" spans="1:5" x14ac:dyDescent="0.25">
      <c r="A305" s="3" t="str">
        <f>IF(C305="","",VLOOKUP(C305,Source_Plate!$I$2:$J$97,2,FALSE))</f>
        <v/>
      </c>
      <c r="B305" s="3" t="str">
        <f>IF(C305="","",'PM_info+'!B17)</f>
        <v/>
      </c>
      <c r="C305" s="1" t="str">
        <f>IF('PM_info+'!G17="","",'PM_info+'!G17)</f>
        <v/>
      </c>
      <c r="D305" s="3" t="str">
        <f>IF(C305="","",'Plate organization+'!$B$43)</f>
        <v/>
      </c>
      <c r="E305" t="s">
        <v>151</v>
      </c>
    </row>
    <row r="306" spans="1:5" x14ac:dyDescent="0.25">
      <c r="A306" s="3" t="str">
        <f>IF(C306="","",VLOOKUP(C306,Source_Plate!$I$2:$J$97,2,FALSE))</f>
        <v/>
      </c>
      <c r="B306" s="3" t="str">
        <f>IF(C306="","",'PM_info+'!B18)</f>
        <v/>
      </c>
      <c r="C306" s="1" t="str">
        <f>IF('PM_info+'!G18="","",'PM_info+'!G18)</f>
        <v/>
      </c>
      <c r="D306" s="3" t="str">
        <f>IF(C306="","",'Plate organization+'!$B$43)</f>
        <v/>
      </c>
      <c r="E306" t="s">
        <v>151</v>
      </c>
    </row>
    <row r="307" spans="1:5" x14ac:dyDescent="0.25">
      <c r="A307" s="3" t="str">
        <f>IF(C307="","",VLOOKUP(C307,Source_Plate!$I$2:$J$97,2,FALSE))</f>
        <v/>
      </c>
      <c r="B307" s="3" t="str">
        <f>IF(C307="","",'PM_info+'!B19)</f>
        <v/>
      </c>
      <c r="C307" s="1" t="str">
        <f>IF('PM_info+'!G19="","",'PM_info+'!G19)</f>
        <v/>
      </c>
      <c r="D307" s="3" t="str">
        <f>IF(C307="","",'Plate organization+'!$B$43)</f>
        <v/>
      </c>
      <c r="E307" t="s">
        <v>151</v>
      </c>
    </row>
    <row r="308" spans="1:5" x14ac:dyDescent="0.25">
      <c r="A308" s="3" t="str">
        <f>IF(C308="","",VLOOKUP(C308,Source_Plate!$I$2:$J$97,2,FALSE))</f>
        <v/>
      </c>
      <c r="B308" s="3" t="str">
        <f>IF(C308="","",'PM_info+'!B20)</f>
        <v/>
      </c>
      <c r="C308" s="1" t="str">
        <f>IF('PM_info+'!G20="","",'PM_info+'!G20)</f>
        <v/>
      </c>
      <c r="D308" s="3" t="str">
        <f>IF(C308="","",'Plate organization+'!$B$43)</f>
        <v/>
      </c>
      <c r="E308" t="s">
        <v>151</v>
      </c>
    </row>
    <row r="309" spans="1:5" x14ac:dyDescent="0.25">
      <c r="A309" s="3" t="str">
        <f>IF(C309="","",VLOOKUP(C309,Source_Plate!$I$2:$J$97,2,FALSE))</f>
        <v/>
      </c>
      <c r="B309" s="3" t="str">
        <f>IF(C309="","",'PM_info+'!B21)</f>
        <v/>
      </c>
      <c r="C309" s="1" t="str">
        <f>IF('PM_info+'!G21="","",'PM_info+'!G21)</f>
        <v/>
      </c>
      <c r="D309" s="3" t="str">
        <f>IF(C309="","",'Plate organization+'!$B$43)</f>
        <v/>
      </c>
      <c r="E309" t="s">
        <v>151</v>
      </c>
    </row>
    <row r="310" spans="1:5" x14ac:dyDescent="0.25">
      <c r="A310" s="3" t="str">
        <f>IF(C310="","",VLOOKUP(C310,Source_Plate!$I$2:$J$97,2,FALSE))</f>
        <v/>
      </c>
      <c r="B310" s="3" t="str">
        <f>IF(C310="","",'PM_info+'!B22)</f>
        <v/>
      </c>
      <c r="C310" s="1" t="str">
        <f>IF('PM_info+'!G22="","",'PM_info+'!G22)</f>
        <v/>
      </c>
      <c r="D310" s="3" t="str">
        <f>IF(C310="","",'Plate organization+'!$B$43)</f>
        <v/>
      </c>
      <c r="E310" t="s">
        <v>151</v>
      </c>
    </row>
    <row r="311" spans="1:5" x14ac:dyDescent="0.25">
      <c r="A311" s="3" t="str">
        <f>IF(C311="","",VLOOKUP(C311,Source_Plate!$I$2:$J$97,2,FALSE))</f>
        <v/>
      </c>
      <c r="B311" s="3" t="str">
        <f>IF(C311="","",'PM_info+'!B23)</f>
        <v/>
      </c>
      <c r="C311" s="1" t="str">
        <f>IF('PM_info+'!G23="","",'PM_info+'!G23)</f>
        <v/>
      </c>
      <c r="D311" s="3" t="str">
        <f>IF(C311="","",'Plate organization+'!$B$43)</f>
        <v/>
      </c>
      <c r="E311" t="s">
        <v>151</v>
      </c>
    </row>
    <row r="312" spans="1:5" x14ac:dyDescent="0.25">
      <c r="A312" s="3" t="str">
        <f>IF(C312="","",VLOOKUP(C312,Source_Plate!$I$2:$J$97,2,FALSE))</f>
        <v/>
      </c>
      <c r="B312" s="3" t="str">
        <f>IF(C312="","",'PM_info+'!B24)</f>
        <v/>
      </c>
      <c r="C312" s="1" t="str">
        <f>IF('PM_info+'!G24="","",'PM_info+'!G24)</f>
        <v/>
      </c>
      <c r="D312" s="3" t="str">
        <f>IF(C312="","",'Plate organization+'!$B$43)</f>
        <v/>
      </c>
      <c r="E312" t="s">
        <v>151</v>
      </c>
    </row>
    <row r="313" spans="1:5" x14ac:dyDescent="0.25">
      <c r="A313" s="3" t="str">
        <f>IF(C313="","",VLOOKUP(C313,Source_Plate!$I$2:$J$97,2,FALSE))</f>
        <v/>
      </c>
      <c r="B313" s="3" t="str">
        <f>IF(C313="","",'PM_info+'!B25)</f>
        <v/>
      </c>
      <c r="C313" s="1" t="str">
        <f>IF('PM_info+'!G25="","",'PM_info+'!G25)</f>
        <v/>
      </c>
      <c r="D313" s="3" t="str">
        <f>IF(C313="","",'Plate organization+'!$B$43)</f>
        <v/>
      </c>
      <c r="E313" t="s">
        <v>151</v>
      </c>
    </row>
    <row r="314" spans="1:5" x14ac:dyDescent="0.25">
      <c r="A314" s="3" t="str">
        <f>IF(C314="","",VLOOKUP(C314,Source_Plate!$I$2:$J$97,2,FALSE))</f>
        <v/>
      </c>
      <c r="B314" s="3" t="str">
        <f>IF(C314="","",'PM_info+'!B26)</f>
        <v/>
      </c>
      <c r="C314" s="1" t="str">
        <f>IF('PM_info+'!G26="","",'PM_info+'!G26)</f>
        <v/>
      </c>
      <c r="D314" s="3" t="str">
        <f>IF(C314="","",'Plate organization+'!$B$43)</f>
        <v/>
      </c>
      <c r="E314" t="s">
        <v>151</v>
      </c>
    </row>
    <row r="315" spans="1:5" x14ac:dyDescent="0.25">
      <c r="A315" s="3" t="str">
        <f>IF(C315="","",VLOOKUP(C315,Source_Plate!$I$2:$J$97,2,FALSE))</f>
        <v/>
      </c>
      <c r="B315" s="3" t="str">
        <f>IF(C315="","",'PM_info+'!B27)</f>
        <v/>
      </c>
      <c r="C315" s="1" t="str">
        <f>IF('PM_info+'!G27="","",'PM_info+'!G27)</f>
        <v/>
      </c>
      <c r="D315" s="3" t="str">
        <f>IF(C315="","",'Plate organization+'!$B$43)</f>
        <v/>
      </c>
      <c r="E315" t="s">
        <v>151</v>
      </c>
    </row>
    <row r="316" spans="1:5" x14ac:dyDescent="0.25">
      <c r="A316" s="3" t="str">
        <f>IF(C316="","",VLOOKUP(C316,Source_Plate!$I$2:$J$97,2,FALSE))</f>
        <v/>
      </c>
      <c r="B316" s="3" t="str">
        <f>IF(C316="","",'PM_info+'!B28)</f>
        <v/>
      </c>
      <c r="C316" s="1" t="str">
        <f>IF('PM_info+'!G28="","",'PM_info+'!G28)</f>
        <v/>
      </c>
      <c r="D316" s="3" t="str">
        <f>IF(C316="","",'Plate organization+'!$B$43)</f>
        <v/>
      </c>
      <c r="E316" t="s">
        <v>151</v>
      </c>
    </row>
    <row r="317" spans="1:5" x14ac:dyDescent="0.25">
      <c r="A317" s="3" t="str">
        <f>IF(C317="","",VLOOKUP(C317,Source_Plate!$I$2:$J$97,2,FALSE))</f>
        <v/>
      </c>
      <c r="B317" s="3" t="str">
        <f>IF(C317="","",'PM_info+'!B29)</f>
        <v/>
      </c>
      <c r="C317" s="1" t="str">
        <f>IF('PM_info+'!G29="","",'PM_info+'!G29)</f>
        <v/>
      </c>
      <c r="D317" s="3" t="str">
        <f>IF(C317="","",'Plate organization+'!$B$43)</f>
        <v/>
      </c>
      <c r="E317" t="s">
        <v>151</v>
      </c>
    </row>
    <row r="318" spans="1:5" x14ac:dyDescent="0.25">
      <c r="A318" s="3" t="str">
        <f>IF(C318="","",VLOOKUP(C318,Source_Plate!$I$2:$J$97,2,FALSE))</f>
        <v/>
      </c>
      <c r="B318" s="3" t="str">
        <f>IF(C318="","",'PM_info+'!B30)</f>
        <v/>
      </c>
      <c r="C318" s="1" t="str">
        <f>IF('PM_info+'!G30="","",'PM_info+'!G30)</f>
        <v/>
      </c>
      <c r="D318" s="3" t="str">
        <f>IF(C318="","",'Plate organization+'!$B$43)</f>
        <v/>
      </c>
      <c r="E318" t="s">
        <v>151</v>
      </c>
    </row>
    <row r="319" spans="1:5" x14ac:dyDescent="0.25">
      <c r="A319" s="3" t="str">
        <f>IF(C319="","",VLOOKUP(C319,Source_Plate!$I$2:$J$97,2,FALSE))</f>
        <v/>
      </c>
      <c r="B319" s="3" t="str">
        <f>IF(C319="","",'PM_info+'!B31)</f>
        <v/>
      </c>
      <c r="C319" s="1" t="str">
        <f>IF('PM_info+'!G31="","",'PM_info+'!G31)</f>
        <v/>
      </c>
      <c r="D319" s="3" t="str">
        <f>IF(C319="","",'Plate organization+'!$B$43)</f>
        <v/>
      </c>
      <c r="E319" t="s">
        <v>151</v>
      </c>
    </row>
    <row r="320" spans="1:5" x14ac:dyDescent="0.25">
      <c r="A320" s="3" t="str">
        <f>IF(C320="","",VLOOKUP(C320,Source_Plate!$I$2:$J$97,2,FALSE))</f>
        <v/>
      </c>
      <c r="B320" s="3" t="str">
        <f>IF(C320="","",'PM_info+'!B32)</f>
        <v/>
      </c>
      <c r="C320" s="1" t="str">
        <f>IF('PM_info+'!G32="","",'PM_info+'!G32)</f>
        <v/>
      </c>
      <c r="D320" s="3" t="str">
        <f>IF(C320="","",'Plate organization+'!$B$43)</f>
        <v/>
      </c>
      <c r="E320" t="s">
        <v>151</v>
      </c>
    </row>
    <row r="321" spans="1:5" x14ac:dyDescent="0.25">
      <c r="A321" s="3" t="str">
        <f>IF(C321="","",VLOOKUP(C321,Source_Plate!$I$2:$J$97,2,FALSE))</f>
        <v/>
      </c>
      <c r="B321" s="3" t="str">
        <f>IF(C321="","",'PM_info+'!B33)</f>
        <v/>
      </c>
      <c r="C321" s="1" t="str">
        <f>IF('PM_info+'!G33="","",'PM_info+'!G33)</f>
        <v/>
      </c>
      <c r="D321" s="3" t="str">
        <f>IF(C321="","",'Plate organization+'!$B$43)</f>
        <v/>
      </c>
      <c r="E321" t="s">
        <v>151</v>
      </c>
    </row>
    <row r="322" spans="1:5" x14ac:dyDescent="0.25">
      <c r="A322" s="3" t="str">
        <f>IF(C322="","",VLOOKUP(C322,Source_Plate!$I$2:$J$97,2,FALSE))</f>
        <v/>
      </c>
      <c r="B322" s="3" t="str">
        <f>IF(C322="","",'PM_info+'!B34)</f>
        <v/>
      </c>
      <c r="C322" s="1" t="str">
        <f>IF('PM_info+'!G34="","",'PM_info+'!G34)</f>
        <v/>
      </c>
      <c r="D322" s="3" t="str">
        <f>IF(C322="","",'Plate organization+'!$B$43)</f>
        <v/>
      </c>
      <c r="E322" t="s">
        <v>151</v>
      </c>
    </row>
    <row r="323" spans="1:5" x14ac:dyDescent="0.25">
      <c r="A323" s="3" t="str">
        <f>IF(C323="","",VLOOKUP(C323,Source_Plate!$I$2:$J$97,2,FALSE))</f>
        <v/>
      </c>
      <c r="B323" s="3" t="str">
        <f>IF(C323="","",'PM_info+'!B35)</f>
        <v/>
      </c>
      <c r="C323" s="1" t="str">
        <f>IF('PM_info+'!G35="","",'PM_info+'!G35)</f>
        <v/>
      </c>
      <c r="D323" s="3" t="str">
        <f>IF(C323="","",'Plate organization+'!$B$43)</f>
        <v/>
      </c>
      <c r="E323" t="s">
        <v>151</v>
      </c>
    </row>
    <row r="324" spans="1:5" x14ac:dyDescent="0.25">
      <c r="A324" s="3" t="str">
        <f>IF(C324="","",VLOOKUP(C324,Source_Plate!$I$2:$J$97,2,FALSE))</f>
        <v/>
      </c>
      <c r="B324" s="3" t="str">
        <f>IF(C324="","",'PM_info+'!B36)</f>
        <v/>
      </c>
      <c r="C324" s="1" t="str">
        <f>IF('PM_info+'!G36="","",'PM_info+'!G36)</f>
        <v/>
      </c>
      <c r="D324" s="3" t="str">
        <f>IF(C324="","",'Plate organization+'!$B$43)</f>
        <v/>
      </c>
      <c r="E324" t="s">
        <v>151</v>
      </c>
    </row>
    <row r="325" spans="1:5" x14ac:dyDescent="0.25">
      <c r="A325" s="3" t="str">
        <f>IF(C325="","",VLOOKUP(C325,Source_Plate!$I$2:$J$97,2,FALSE))</f>
        <v/>
      </c>
      <c r="B325" s="3" t="str">
        <f>IF(C325="","",'PM_info+'!B37)</f>
        <v/>
      </c>
      <c r="C325" s="1" t="str">
        <f>IF('PM_info+'!G37="","",'PM_info+'!G37)</f>
        <v/>
      </c>
      <c r="D325" s="3" t="str">
        <f>IF(C325="","",'Plate organization+'!$B$43)</f>
        <v/>
      </c>
      <c r="E325" t="s">
        <v>151</v>
      </c>
    </row>
    <row r="326" spans="1:5" x14ac:dyDescent="0.25">
      <c r="A326" s="3" t="str">
        <f>IF(C326="","",VLOOKUP(C326,Source_Plate!$I$2:$J$97,2,FALSE))</f>
        <v/>
      </c>
      <c r="B326" s="3" t="str">
        <f>IF(C326="","",'PM_info+'!B38)</f>
        <v/>
      </c>
      <c r="C326" s="1" t="str">
        <f>IF('PM_info+'!G38="","",'PM_info+'!G38)</f>
        <v/>
      </c>
      <c r="D326" s="3" t="str">
        <f>IF(C326="","",'Plate organization+'!$B$43)</f>
        <v/>
      </c>
      <c r="E326" t="s">
        <v>151</v>
      </c>
    </row>
    <row r="327" spans="1:5" x14ac:dyDescent="0.25">
      <c r="A327" s="3" t="str">
        <f>IF(C327="","",VLOOKUP(C327,Source_Plate!$I$2:$J$97,2,FALSE))</f>
        <v/>
      </c>
      <c r="B327" s="3" t="str">
        <f>IF(C327="","",'PM_info+'!B39)</f>
        <v/>
      </c>
      <c r="C327" s="1" t="str">
        <f>IF('PM_info+'!G39="","",'PM_info+'!G39)</f>
        <v/>
      </c>
      <c r="D327" s="3" t="str">
        <f>IF(C327="","",'Plate organization+'!$B$43)</f>
        <v/>
      </c>
      <c r="E327" t="s">
        <v>151</v>
      </c>
    </row>
    <row r="328" spans="1:5" x14ac:dyDescent="0.25">
      <c r="A328" s="3" t="str">
        <f>IF(C328="","",VLOOKUP(C328,Source_Plate!$I$2:$J$97,2,FALSE))</f>
        <v/>
      </c>
      <c r="B328" s="3" t="str">
        <f>IF(C328="","",'PM_info+'!B40)</f>
        <v/>
      </c>
      <c r="C328" s="1" t="str">
        <f>IF('PM_info+'!G40="","",'PM_info+'!G40)</f>
        <v/>
      </c>
      <c r="D328" s="3" t="str">
        <f>IF(C328="","",'Plate organization+'!$B$43)</f>
        <v/>
      </c>
      <c r="E328" t="s">
        <v>151</v>
      </c>
    </row>
    <row r="329" spans="1:5" x14ac:dyDescent="0.25">
      <c r="A329" s="3" t="str">
        <f>IF(C329="","",VLOOKUP(C329,Source_Plate!$I$2:$J$97,2,FALSE))</f>
        <v/>
      </c>
      <c r="B329" s="3" t="str">
        <f>IF(C329="","",'PM_info+'!B41)</f>
        <v/>
      </c>
      <c r="C329" s="1" t="str">
        <f>IF('PM_info+'!G41="","",'PM_info+'!G41)</f>
        <v/>
      </c>
      <c r="D329" s="3" t="str">
        <f>IF(C329="","",'Plate organization+'!$B$43)</f>
        <v/>
      </c>
      <c r="E329" t="s">
        <v>151</v>
      </c>
    </row>
    <row r="330" spans="1:5" x14ac:dyDescent="0.25">
      <c r="A330" s="3" t="str">
        <f>IF(C330="","",VLOOKUP(C330,Source_Plate!$I$2:$J$97,2,FALSE))</f>
        <v/>
      </c>
      <c r="B330" s="3" t="str">
        <f>IF(C330="","",'PM_info+'!B42)</f>
        <v/>
      </c>
      <c r="C330" s="1" t="str">
        <f>IF('PM_info+'!G42="","",'PM_info+'!G42)</f>
        <v/>
      </c>
      <c r="D330" s="3" t="str">
        <f>IF(C330="","",'Plate organization+'!$B$43)</f>
        <v/>
      </c>
      <c r="E330" t="s">
        <v>151</v>
      </c>
    </row>
    <row r="331" spans="1:5" x14ac:dyDescent="0.25">
      <c r="A331" s="3" t="str">
        <f>IF(C331="","",VLOOKUP(C331,Source_Plate!$I$2:$J$97,2,FALSE))</f>
        <v/>
      </c>
      <c r="B331" s="3" t="str">
        <f>IF(C331="","",'PM_info+'!B43)</f>
        <v/>
      </c>
      <c r="C331" s="1" t="str">
        <f>IF('PM_info+'!G43="","",'PM_info+'!G43)</f>
        <v/>
      </c>
      <c r="D331" s="3" t="str">
        <f>IF(C331="","",'Plate organization+'!$B$43)</f>
        <v/>
      </c>
      <c r="E331" t="s">
        <v>151</v>
      </c>
    </row>
    <row r="332" spans="1:5" x14ac:dyDescent="0.25">
      <c r="A332" s="3" t="str">
        <f>IF(C332="","",VLOOKUP(C332,Source_Plate!$I$2:$J$97,2,FALSE))</f>
        <v/>
      </c>
      <c r="B332" s="3" t="str">
        <f>IF(C332="","",'PM_info+'!B44)</f>
        <v/>
      </c>
      <c r="C332" s="1" t="str">
        <f>IF('PM_info+'!G44="","",'PM_info+'!G44)</f>
        <v/>
      </c>
      <c r="D332" s="3" t="str">
        <f>IF(C332="","",'Plate organization+'!$B$43)</f>
        <v/>
      </c>
      <c r="E332" t="s">
        <v>151</v>
      </c>
    </row>
    <row r="333" spans="1:5" x14ac:dyDescent="0.25">
      <c r="A333" s="3" t="str">
        <f>IF(C333="","",VLOOKUP(C333,Source_Plate!$I$2:$J$97,2,FALSE))</f>
        <v/>
      </c>
      <c r="B333" s="3" t="str">
        <f>IF(C333="","",'PM_info+'!B45)</f>
        <v/>
      </c>
      <c r="C333" s="1" t="str">
        <f>IF('PM_info+'!G45="","",'PM_info+'!G45)</f>
        <v/>
      </c>
      <c r="D333" s="3" t="str">
        <f>IF(C333="","",'Plate organization+'!$B$43)</f>
        <v/>
      </c>
      <c r="E333" t="s">
        <v>151</v>
      </c>
    </row>
    <row r="334" spans="1:5" x14ac:dyDescent="0.25">
      <c r="A334" s="3" t="str">
        <f>IF(C334="","",VLOOKUP(C334,Source_Plate!$I$2:$J$97,2,FALSE))</f>
        <v/>
      </c>
      <c r="B334" s="3" t="str">
        <f>IF(C334="","",'PM_info+'!B46)</f>
        <v/>
      </c>
      <c r="C334" s="1" t="str">
        <f>IF('PM_info+'!G46="","",'PM_info+'!G46)</f>
        <v/>
      </c>
      <c r="D334" s="3" t="str">
        <f>IF(C334="","",'Plate organization+'!$B$43)</f>
        <v/>
      </c>
      <c r="E334" t="s">
        <v>151</v>
      </c>
    </row>
    <row r="335" spans="1:5" x14ac:dyDescent="0.25">
      <c r="A335" s="3" t="str">
        <f>IF(C335="","",VLOOKUP(C335,Source_Plate!$I$2:$J$97,2,FALSE))</f>
        <v/>
      </c>
      <c r="B335" s="3" t="str">
        <f>IF(C335="","",'PM_info+'!B47)</f>
        <v/>
      </c>
      <c r="C335" s="1" t="str">
        <f>IF('PM_info+'!G47="","",'PM_info+'!G47)</f>
        <v/>
      </c>
      <c r="D335" s="3" t="str">
        <f>IF(C335="","",'Plate organization+'!$B$43)</f>
        <v/>
      </c>
      <c r="E335" t="s">
        <v>151</v>
      </c>
    </row>
    <row r="336" spans="1:5" x14ac:dyDescent="0.25">
      <c r="A336" s="3" t="str">
        <f>IF(C336="","",VLOOKUP(C336,Source_Plate!$I$2:$J$97,2,FALSE))</f>
        <v/>
      </c>
      <c r="B336" s="3" t="str">
        <f>IF(C336="","",'PM_info+'!B48)</f>
        <v/>
      </c>
      <c r="C336" s="1" t="str">
        <f>IF('PM_info+'!G48="","",'PM_info+'!G48)</f>
        <v/>
      </c>
      <c r="D336" s="3" t="str">
        <f>IF(C336="","",'Plate organization+'!$B$43)</f>
        <v/>
      </c>
      <c r="E336" t="s">
        <v>151</v>
      </c>
    </row>
    <row r="337" spans="1:5" x14ac:dyDescent="0.25">
      <c r="A337" s="3" t="str">
        <f>IF(C337="","",VLOOKUP(C337,Source_Plate!$I$2:$J$97,2,FALSE))</f>
        <v/>
      </c>
      <c r="B337" s="3" t="str">
        <f>IF(C337="","",'PM_info+'!B49)</f>
        <v/>
      </c>
      <c r="C337" s="1" t="str">
        <f>IF('PM_info+'!G49="","",'PM_info+'!G49)</f>
        <v/>
      </c>
      <c r="D337" s="3" t="str">
        <f>IF(C337="","",'Plate organization+'!$B$43)</f>
        <v/>
      </c>
      <c r="E337" t="s">
        <v>151</v>
      </c>
    </row>
    <row r="338" spans="1:5" x14ac:dyDescent="0.25">
      <c r="A338" s="3" t="str">
        <f>IF(C338="","",VLOOKUP(C338,Source_Plate!$I$2:$J$97,2,FALSE))</f>
        <v/>
      </c>
      <c r="B338" s="3" t="str">
        <f>IF(C338="","",'PM_info+'!B50)</f>
        <v/>
      </c>
      <c r="C338" s="1" t="str">
        <f>IF('PM_info+'!G50="","",'PM_info+'!G50)</f>
        <v/>
      </c>
      <c r="D338" s="3" t="str">
        <f>IF(C338="","",'Plate organization+'!$B$43)</f>
        <v/>
      </c>
      <c r="E338" t="s">
        <v>151</v>
      </c>
    </row>
    <row r="339" spans="1:5" x14ac:dyDescent="0.25">
      <c r="A339" s="3" t="str">
        <f>IF(C339="","",VLOOKUP(C339,Source_Plate!$I$2:$J$97,2,FALSE))</f>
        <v/>
      </c>
      <c r="B339" s="3" t="str">
        <f>IF(C339="","",'PM_info+'!B51)</f>
        <v/>
      </c>
      <c r="C339" s="1" t="str">
        <f>IF('PM_info+'!G51="","",'PM_info+'!G51)</f>
        <v/>
      </c>
      <c r="D339" s="3" t="str">
        <f>IF(C339="","",'Plate organization+'!$B$43)</f>
        <v/>
      </c>
      <c r="E339" t="s">
        <v>151</v>
      </c>
    </row>
    <row r="340" spans="1:5" x14ac:dyDescent="0.25">
      <c r="A340" s="3" t="str">
        <f>IF(C340="","",VLOOKUP(C340,Source_Plate!$I$2:$J$97,2,FALSE))</f>
        <v/>
      </c>
      <c r="B340" s="3" t="str">
        <f>IF(C340="","",'PM_info+'!B52)</f>
        <v/>
      </c>
      <c r="C340" s="1" t="str">
        <f>IF('PM_info+'!G52="","",'PM_info+'!G52)</f>
        <v/>
      </c>
      <c r="D340" s="3" t="str">
        <f>IF(C340="","",'Plate organization+'!$B$43)</f>
        <v/>
      </c>
      <c r="E340" t="s">
        <v>151</v>
      </c>
    </row>
    <row r="341" spans="1:5" x14ac:dyDescent="0.25">
      <c r="A341" s="3" t="str">
        <f>IF(C341="","",VLOOKUP(C341,Source_Plate!$I$2:$J$97,2,FALSE))</f>
        <v/>
      </c>
      <c r="B341" s="3" t="str">
        <f>IF(C341="","",'PM_info+'!B53)</f>
        <v/>
      </c>
      <c r="C341" s="1" t="str">
        <f>IF('PM_info+'!G53="","",'PM_info+'!G53)</f>
        <v/>
      </c>
      <c r="D341" s="3" t="str">
        <f>IF(C341="","",'Plate organization+'!$B$43)</f>
        <v/>
      </c>
      <c r="E341" t="s">
        <v>151</v>
      </c>
    </row>
    <row r="342" spans="1:5" x14ac:dyDescent="0.25">
      <c r="A342" s="3" t="str">
        <f>IF(C342="","",VLOOKUP(C342,Source_Plate!$I$2:$J$97,2,FALSE))</f>
        <v/>
      </c>
      <c r="B342" s="3" t="str">
        <f>IF(C342="","",'PM_info+'!B54)</f>
        <v/>
      </c>
      <c r="C342" s="1" t="str">
        <f>IF('PM_info+'!G54="","",'PM_info+'!G54)</f>
        <v/>
      </c>
      <c r="D342" s="3" t="str">
        <f>IF(C342="","",'Plate organization+'!$B$43)</f>
        <v/>
      </c>
      <c r="E342" t="s">
        <v>151</v>
      </c>
    </row>
    <row r="343" spans="1:5" x14ac:dyDescent="0.25">
      <c r="A343" s="3" t="str">
        <f>IF(C343="","",VLOOKUP(C343,Source_Plate!$I$2:$J$97,2,FALSE))</f>
        <v/>
      </c>
      <c r="B343" s="3" t="str">
        <f>IF(C343="","",'PM_info+'!B55)</f>
        <v/>
      </c>
      <c r="C343" s="1" t="str">
        <f>IF('PM_info+'!G55="","",'PM_info+'!G55)</f>
        <v/>
      </c>
      <c r="D343" s="3" t="str">
        <f>IF(C343="","",'Plate organization+'!$B$43)</f>
        <v/>
      </c>
      <c r="E343" t="s">
        <v>151</v>
      </c>
    </row>
    <row r="344" spans="1:5" x14ac:dyDescent="0.25">
      <c r="A344" s="3" t="str">
        <f>IF(C344="","",VLOOKUP(C344,Source_Plate!$I$2:$J$97,2,FALSE))</f>
        <v/>
      </c>
      <c r="B344" s="3" t="str">
        <f>IF(C344="","",'PM_info+'!B56)</f>
        <v/>
      </c>
      <c r="C344" s="1" t="str">
        <f>IF('PM_info+'!G56="","",'PM_info+'!G56)</f>
        <v/>
      </c>
      <c r="D344" s="3" t="str">
        <f>IF(C344="","",'Plate organization+'!$B$43)</f>
        <v/>
      </c>
      <c r="E344" t="s">
        <v>151</v>
      </c>
    </row>
    <row r="345" spans="1:5" x14ac:dyDescent="0.25">
      <c r="A345" s="3" t="str">
        <f>IF(C345="","",VLOOKUP(C345,Source_Plate!$I$2:$J$97,2,FALSE))</f>
        <v/>
      </c>
      <c r="B345" s="3" t="str">
        <f>IF(C345="","",'PM_info+'!B57)</f>
        <v/>
      </c>
      <c r="C345" s="1" t="str">
        <f>IF('PM_info+'!G57="","",'PM_info+'!G57)</f>
        <v/>
      </c>
      <c r="D345" s="3" t="str">
        <f>IF(C345="","",'Plate organization+'!$B$43)</f>
        <v/>
      </c>
      <c r="E345" t="s">
        <v>151</v>
      </c>
    </row>
    <row r="346" spans="1:5" x14ac:dyDescent="0.25">
      <c r="A346" s="3" t="str">
        <f>IF(C346="","",VLOOKUP(C346,Source_Plate!$I$2:$J$97,2,FALSE))</f>
        <v/>
      </c>
      <c r="B346" s="3" t="str">
        <f>IF(C346="","",'PM_info+'!B58)</f>
        <v/>
      </c>
      <c r="C346" s="1" t="str">
        <f>IF('PM_info+'!G58="","",'PM_info+'!G58)</f>
        <v/>
      </c>
      <c r="D346" s="3" t="str">
        <f>IF(C346="","",'Plate organization+'!$B$43)</f>
        <v/>
      </c>
      <c r="E346" t="s">
        <v>151</v>
      </c>
    </row>
    <row r="347" spans="1:5" x14ac:dyDescent="0.25">
      <c r="A347" s="3" t="str">
        <f>IF(C347="","",VLOOKUP(C347,Source_Plate!$I$2:$J$97,2,FALSE))</f>
        <v/>
      </c>
      <c r="B347" s="3" t="str">
        <f>IF(C347="","",'PM_info+'!B59)</f>
        <v/>
      </c>
      <c r="C347" s="1" t="str">
        <f>IF('PM_info+'!G59="","",'PM_info+'!G59)</f>
        <v/>
      </c>
      <c r="D347" s="3" t="str">
        <f>IF(C347="","",'Plate organization+'!$B$43)</f>
        <v/>
      </c>
      <c r="E347" t="s">
        <v>151</v>
      </c>
    </row>
    <row r="348" spans="1:5" x14ac:dyDescent="0.25">
      <c r="A348" s="3" t="str">
        <f>IF(C348="","",VLOOKUP(C348,Source_Plate!$I$2:$J$97,2,FALSE))</f>
        <v/>
      </c>
      <c r="B348" s="3" t="str">
        <f>IF(C348="","",'PM_info+'!B60)</f>
        <v/>
      </c>
      <c r="C348" s="1" t="str">
        <f>IF('PM_info+'!G60="","",'PM_info+'!G60)</f>
        <v/>
      </c>
      <c r="D348" s="3" t="str">
        <f>IF(C348="","",'Plate organization+'!$B$43)</f>
        <v/>
      </c>
      <c r="E348" t="s">
        <v>151</v>
      </c>
    </row>
    <row r="349" spans="1:5" x14ac:dyDescent="0.25">
      <c r="A349" s="3" t="str">
        <f>IF(C349="","",VLOOKUP(C349,Source_Plate!$I$2:$J$97,2,FALSE))</f>
        <v/>
      </c>
      <c r="B349" s="3" t="str">
        <f>IF(C349="","",'PM_info+'!B61)</f>
        <v/>
      </c>
      <c r="C349" s="1" t="str">
        <f>IF('PM_info+'!G61="","",'PM_info+'!G61)</f>
        <v/>
      </c>
      <c r="D349" s="3" t="str">
        <f>IF(C349="","",'Plate organization+'!$B$43)</f>
        <v/>
      </c>
      <c r="E349" t="s">
        <v>151</v>
      </c>
    </row>
    <row r="350" spans="1:5" x14ac:dyDescent="0.25">
      <c r="A350" s="3" t="str">
        <f>IF(C350="","",VLOOKUP(C350,Source_Plate!$I$2:$J$97,2,FALSE))</f>
        <v/>
      </c>
      <c r="B350" s="3" t="str">
        <f>IF(C350="","",'PM_info+'!B62)</f>
        <v/>
      </c>
      <c r="C350" s="1" t="str">
        <f>IF('PM_info+'!G62="","",'PM_info+'!G62)</f>
        <v/>
      </c>
      <c r="D350" s="3" t="str">
        <f>IF(C350="","",'Plate organization+'!$B$43)</f>
        <v/>
      </c>
      <c r="E350" t="s">
        <v>151</v>
      </c>
    </row>
    <row r="351" spans="1:5" x14ac:dyDescent="0.25">
      <c r="A351" s="3" t="str">
        <f>IF(C351="","",VLOOKUP(C351,Source_Plate!$I$2:$J$97,2,FALSE))</f>
        <v/>
      </c>
      <c r="B351" s="3" t="str">
        <f>IF(C351="","",'PM_info+'!B63)</f>
        <v/>
      </c>
      <c r="C351" s="1" t="str">
        <f>IF('PM_info+'!G63="","",'PM_info+'!G63)</f>
        <v/>
      </c>
      <c r="D351" s="3" t="str">
        <f>IF(C351="","",'Plate organization+'!$B$43)</f>
        <v/>
      </c>
      <c r="E351" t="s">
        <v>151</v>
      </c>
    </row>
    <row r="352" spans="1:5" x14ac:dyDescent="0.25">
      <c r="A352" s="3" t="str">
        <f>IF(C352="","",VLOOKUP(C352,Source_Plate!$I$2:$J$97,2,FALSE))</f>
        <v/>
      </c>
      <c r="B352" s="3" t="str">
        <f>IF(C352="","",'PM_info+'!B64)</f>
        <v/>
      </c>
      <c r="C352" s="1" t="str">
        <f>IF('PM_info+'!G64="","",'PM_info+'!G64)</f>
        <v/>
      </c>
      <c r="D352" s="3" t="str">
        <f>IF(C352="","",'Plate organization+'!$B$43)</f>
        <v/>
      </c>
      <c r="E352" t="s">
        <v>151</v>
      </c>
    </row>
    <row r="353" spans="1:5" x14ac:dyDescent="0.25">
      <c r="A353" s="3" t="str">
        <f>IF(C353="","",VLOOKUP(C353,Source_Plate!$I$2:$J$97,2,FALSE))</f>
        <v/>
      </c>
      <c r="B353" s="3" t="str">
        <f>IF(C353="","",'PM_info+'!B65)</f>
        <v/>
      </c>
      <c r="C353" s="1" t="str">
        <f>IF('PM_info+'!G65="","",'PM_info+'!G65)</f>
        <v/>
      </c>
      <c r="D353" s="3" t="str">
        <f>IF(C353="","",'Plate organization+'!$B$43)</f>
        <v/>
      </c>
      <c r="E353" t="s">
        <v>151</v>
      </c>
    </row>
    <row r="354" spans="1:5" x14ac:dyDescent="0.25">
      <c r="A354" s="3" t="str">
        <f>IF(C354="","",VLOOKUP(C354,Source_Plate!$I$2:$J$97,2,FALSE))</f>
        <v/>
      </c>
      <c r="B354" s="3" t="str">
        <f>IF(C354="","",'PM_info+'!B66)</f>
        <v/>
      </c>
      <c r="C354" s="1" t="str">
        <f>IF('PM_info+'!G66="","",'PM_info+'!G66)</f>
        <v/>
      </c>
      <c r="D354" s="3" t="str">
        <f>IF(C354="","",'Plate organization+'!$B$43)</f>
        <v/>
      </c>
      <c r="E354" t="s">
        <v>151</v>
      </c>
    </row>
    <row r="355" spans="1:5" x14ac:dyDescent="0.25">
      <c r="A355" s="3" t="str">
        <f>IF(C355="","",VLOOKUP(C355,Source_Plate!$I$2:$J$97,2,FALSE))</f>
        <v/>
      </c>
      <c r="B355" s="3" t="str">
        <f>IF(C355="","",'PM_info+'!B67)</f>
        <v/>
      </c>
      <c r="C355" s="1" t="str">
        <f>IF('PM_info+'!G67="","",'PM_info+'!G67)</f>
        <v/>
      </c>
      <c r="D355" s="3" t="str">
        <f>IF(C355="","",'Plate organization+'!$B$43)</f>
        <v/>
      </c>
      <c r="E355" t="s">
        <v>151</v>
      </c>
    </row>
    <row r="356" spans="1:5" x14ac:dyDescent="0.25">
      <c r="A356" s="3" t="str">
        <f>IF(C356="","",VLOOKUP(C356,Source_Plate!$I$2:$J$97,2,FALSE))</f>
        <v/>
      </c>
      <c r="B356" s="3" t="str">
        <f>IF(C356="","",'PM_info+'!B68)</f>
        <v/>
      </c>
      <c r="C356" s="1" t="str">
        <f>IF('PM_info+'!G68="","",'PM_info+'!G68)</f>
        <v/>
      </c>
      <c r="D356" s="3" t="str">
        <f>IF(C356="","",'Plate organization+'!$B$43)</f>
        <v/>
      </c>
      <c r="E356" t="s">
        <v>151</v>
      </c>
    </row>
    <row r="357" spans="1:5" x14ac:dyDescent="0.25">
      <c r="A357" s="3" t="str">
        <f>IF(C357="","",VLOOKUP(C357,Source_Plate!$I$2:$J$97,2,FALSE))</f>
        <v/>
      </c>
      <c r="B357" s="3" t="str">
        <f>IF(C357="","",'PM_info+'!B69)</f>
        <v/>
      </c>
      <c r="C357" s="1" t="str">
        <f>IF('PM_info+'!G69="","",'PM_info+'!G69)</f>
        <v/>
      </c>
      <c r="D357" s="3" t="str">
        <f>IF(C357="","",'Plate organization+'!$B$43)</f>
        <v/>
      </c>
      <c r="E357" t="s">
        <v>151</v>
      </c>
    </row>
    <row r="358" spans="1:5" x14ac:dyDescent="0.25">
      <c r="A358" s="3" t="str">
        <f>IF(C358="","",VLOOKUP(C358,Source_Plate!$I$2:$J$97,2,FALSE))</f>
        <v/>
      </c>
      <c r="B358" s="3" t="str">
        <f>IF(C358="","",'PM_info+'!B70)</f>
        <v/>
      </c>
      <c r="C358" s="1" t="str">
        <f>IF('PM_info+'!G70="","",'PM_info+'!G70)</f>
        <v/>
      </c>
      <c r="D358" s="3" t="str">
        <f>IF(C358="","",'Plate organization+'!$B$43)</f>
        <v/>
      </c>
      <c r="E358" t="s">
        <v>151</v>
      </c>
    </row>
    <row r="359" spans="1:5" x14ac:dyDescent="0.25">
      <c r="A359" s="3" t="str">
        <f>IF(C359="","",VLOOKUP(C359,Source_Plate!$I$2:$J$97,2,FALSE))</f>
        <v/>
      </c>
      <c r="B359" s="3" t="str">
        <f>IF(C359="","",'PM_info+'!B71)</f>
        <v/>
      </c>
      <c r="C359" s="1" t="str">
        <f>IF('PM_info+'!G71="","",'PM_info+'!G71)</f>
        <v/>
      </c>
      <c r="D359" s="3" t="str">
        <f>IF(C359="","",'Plate organization+'!$B$43)</f>
        <v/>
      </c>
      <c r="E359" t="s">
        <v>151</v>
      </c>
    </row>
    <row r="360" spans="1:5" x14ac:dyDescent="0.25">
      <c r="A360" s="3" t="str">
        <f>IF(C360="","",VLOOKUP(C360,Source_Plate!$I$2:$J$97,2,FALSE))</f>
        <v/>
      </c>
      <c r="B360" s="3" t="str">
        <f>IF(C360="","",'PM_info+'!B72)</f>
        <v/>
      </c>
      <c r="C360" s="1" t="str">
        <f>IF('PM_info+'!G72="","",'PM_info+'!G72)</f>
        <v/>
      </c>
      <c r="D360" s="3" t="str">
        <f>IF(C360="","",'Plate organization+'!$B$43)</f>
        <v/>
      </c>
      <c r="E360" t="s">
        <v>151</v>
      </c>
    </row>
    <row r="361" spans="1:5" x14ac:dyDescent="0.25">
      <c r="A361" s="3" t="str">
        <f>IF(C361="","",VLOOKUP(C361,Source_Plate!$I$2:$J$97,2,FALSE))</f>
        <v/>
      </c>
      <c r="B361" s="3" t="str">
        <f>IF(C361="","",'PM_info+'!B73)</f>
        <v/>
      </c>
      <c r="C361" s="1" t="str">
        <f>IF('PM_info+'!G73="","",'PM_info+'!G73)</f>
        <v/>
      </c>
      <c r="D361" s="3" t="str">
        <f>IF(C361="","",'Plate organization+'!$B$43)</f>
        <v/>
      </c>
      <c r="E361" t="s">
        <v>151</v>
      </c>
    </row>
    <row r="362" spans="1:5" x14ac:dyDescent="0.25">
      <c r="A362" s="3" t="str">
        <f>IF(C362="","",VLOOKUP(C362,Source_Plate!$I$2:$J$97,2,FALSE))</f>
        <v/>
      </c>
      <c r="B362" s="3" t="str">
        <f>IF(C362="","",'PM_info+'!B74)</f>
        <v/>
      </c>
      <c r="C362" s="1" t="str">
        <f>IF('PM_info+'!G74="","",'PM_info+'!G74)</f>
        <v/>
      </c>
      <c r="D362" s="3" t="str">
        <f>IF(C362="","",'Plate organization+'!$B$43)</f>
        <v/>
      </c>
      <c r="E362" t="s">
        <v>151</v>
      </c>
    </row>
    <row r="363" spans="1:5" x14ac:dyDescent="0.25">
      <c r="A363" s="3" t="str">
        <f>IF(C363="","",VLOOKUP(C363,Source_Plate!$I$2:$J$97,2,FALSE))</f>
        <v/>
      </c>
      <c r="B363" s="3" t="str">
        <f>IF(C363="","",'PM_info+'!B75)</f>
        <v/>
      </c>
      <c r="C363" s="1" t="str">
        <f>IF('PM_info+'!G75="","",'PM_info+'!G75)</f>
        <v/>
      </c>
      <c r="D363" s="3" t="str">
        <f>IF(C363="","",'Plate organization+'!$B$43)</f>
        <v/>
      </c>
      <c r="E363" t="s">
        <v>151</v>
      </c>
    </row>
    <row r="364" spans="1:5" x14ac:dyDescent="0.25">
      <c r="A364" s="3" t="str">
        <f>IF(C364="","",VLOOKUP(C364,Source_Plate!$I$2:$J$97,2,FALSE))</f>
        <v/>
      </c>
      <c r="B364" s="3" t="str">
        <f>IF(C364="","",'PM_info+'!B76)</f>
        <v/>
      </c>
      <c r="C364" s="1" t="str">
        <f>IF('PM_info+'!G76="","",'PM_info+'!G76)</f>
        <v/>
      </c>
      <c r="D364" s="3" t="str">
        <f>IF(C364="","",'Plate organization+'!$B$43)</f>
        <v/>
      </c>
      <c r="E364" t="s">
        <v>151</v>
      </c>
    </row>
    <row r="365" spans="1:5" x14ac:dyDescent="0.25">
      <c r="A365" s="3" t="str">
        <f>IF(C365="","",VLOOKUP(C365,Source_Plate!$I$2:$J$97,2,FALSE))</f>
        <v/>
      </c>
      <c r="B365" s="3" t="str">
        <f>IF(C365="","",'PM_info+'!B77)</f>
        <v/>
      </c>
      <c r="C365" s="1" t="str">
        <f>IF('PM_info+'!G77="","",'PM_info+'!G77)</f>
        <v/>
      </c>
      <c r="D365" s="3" t="str">
        <f>IF(C365="","",'Plate organization+'!$B$43)</f>
        <v/>
      </c>
      <c r="E365" t="s">
        <v>151</v>
      </c>
    </row>
    <row r="366" spans="1:5" x14ac:dyDescent="0.25">
      <c r="A366" s="3" t="str">
        <f>IF(C366="","",VLOOKUP(C366,Source_Plate!$I$2:$J$97,2,FALSE))</f>
        <v/>
      </c>
      <c r="B366" s="3" t="str">
        <f>IF(C366="","",'PM_info+'!B78)</f>
        <v/>
      </c>
      <c r="C366" s="1" t="str">
        <f>IF('PM_info+'!G78="","",'PM_info+'!G78)</f>
        <v/>
      </c>
      <c r="D366" s="3" t="str">
        <f>IF(C366="","",'Plate organization+'!$B$43)</f>
        <v/>
      </c>
      <c r="E366" t="s">
        <v>151</v>
      </c>
    </row>
    <row r="367" spans="1:5" x14ac:dyDescent="0.25">
      <c r="A367" s="3" t="str">
        <f>IF(C367="","",VLOOKUP(C367,Source_Plate!$I$2:$J$97,2,FALSE))</f>
        <v/>
      </c>
      <c r="B367" s="3" t="str">
        <f>IF(C367="","",'PM_info+'!B79)</f>
        <v/>
      </c>
      <c r="C367" s="1" t="str">
        <f>IF('PM_info+'!G79="","",'PM_info+'!G79)</f>
        <v/>
      </c>
      <c r="D367" s="3" t="str">
        <f>IF(C367="","",'Plate organization+'!$B$43)</f>
        <v/>
      </c>
      <c r="E367" t="s">
        <v>151</v>
      </c>
    </row>
    <row r="368" spans="1:5" x14ac:dyDescent="0.25">
      <c r="A368" s="3" t="str">
        <f>IF(C368="","",VLOOKUP(C368,Source_Plate!$I$2:$J$97,2,FALSE))</f>
        <v/>
      </c>
      <c r="B368" s="3" t="str">
        <f>IF(C368="","",'PM_info+'!B80)</f>
        <v/>
      </c>
      <c r="C368" s="1" t="str">
        <f>IF('PM_info+'!G80="","",'PM_info+'!G80)</f>
        <v/>
      </c>
      <c r="D368" s="3" t="str">
        <f>IF(C368="","",'Plate organization+'!$B$43)</f>
        <v/>
      </c>
      <c r="E368" t="s">
        <v>151</v>
      </c>
    </row>
    <row r="369" spans="1:5" x14ac:dyDescent="0.25">
      <c r="A369" s="3" t="str">
        <f>IF(C369="","",VLOOKUP(C369,Source_Plate!$I$2:$J$97,2,FALSE))</f>
        <v/>
      </c>
      <c r="B369" s="3" t="str">
        <f>IF(C369="","",'PM_info+'!B81)</f>
        <v/>
      </c>
      <c r="C369" s="1" t="str">
        <f>IF('PM_info+'!G81="","",'PM_info+'!G81)</f>
        <v/>
      </c>
      <c r="D369" s="3" t="str">
        <f>IF(C369="","",'Plate organization+'!$B$43)</f>
        <v/>
      </c>
      <c r="E369" t="s">
        <v>151</v>
      </c>
    </row>
    <row r="370" spans="1:5" x14ac:dyDescent="0.25">
      <c r="A370" s="3" t="str">
        <f>IF(C370="","",VLOOKUP(C370,Source_Plate!$I$2:$J$97,2,FALSE))</f>
        <v/>
      </c>
      <c r="B370" s="3" t="str">
        <f>IF(C370="","",'PM_info+'!B82)</f>
        <v/>
      </c>
      <c r="C370" s="1" t="str">
        <f>IF('PM_info+'!G82="","",'PM_info+'!G82)</f>
        <v/>
      </c>
      <c r="D370" s="3" t="str">
        <f>IF(C370="","",'Plate organization+'!$B$43)</f>
        <v/>
      </c>
      <c r="E370" t="s">
        <v>151</v>
      </c>
    </row>
    <row r="371" spans="1:5" x14ac:dyDescent="0.25">
      <c r="A371" s="3" t="str">
        <f>IF(C371="","",VLOOKUP(C371,Source_Plate!$I$2:$J$97,2,FALSE))</f>
        <v/>
      </c>
      <c r="B371" s="3" t="str">
        <f>IF(C371="","",'PM_info+'!B83)</f>
        <v/>
      </c>
      <c r="C371" s="1" t="str">
        <f>IF('PM_info+'!G83="","",'PM_info+'!G83)</f>
        <v/>
      </c>
      <c r="D371" s="3" t="str">
        <f>IF(C371="","",'Plate organization+'!$B$43)</f>
        <v/>
      </c>
      <c r="E371" t="s">
        <v>151</v>
      </c>
    </row>
    <row r="372" spans="1:5" x14ac:dyDescent="0.25">
      <c r="A372" s="3" t="str">
        <f>IF(C372="","",VLOOKUP(C372,Source_Plate!$I$2:$J$97,2,FALSE))</f>
        <v/>
      </c>
      <c r="B372" s="3" t="str">
        <f>IF(C372="","",'PM_info+'!B84)</f>
        <v/>
      </c>
      <c r="C372" s="1" t="str">
        <f>IF('PM_info+'!G84="","",'PM_info+'!G84)</f>
        <v/>
      </c>
      <c r="D372" s="3" t="str">
        <f>IF(C372="","",'Plate organization+'!$B$43)</f>
        <v/>
      </c>
      <c r="E372" t="s">
        <v>151</v>
      </c>
    </row>
    <row r="373" spans="1:5" x14ac:dyDescent="0.25">
      <c r="A373" s="3" t="str">
        <f>IF(C373="","",VLOOKUP(C373,Source_Plate!$I$2:$J$97,2,FALSE))</f>
        <v/>
      </c>
      <c r="B373" s="3" t="str">
        <f>IF(C373="","",'PM_info+'!B85)</f>
        <v/>
      </c>
      <c r="C373" s="1" t="str">
        <f>IF('PM_info+'!G85="","",'PM_info+'!G85)</f>
        <v/>
      </c>
      <c r="D373" s="3" t="str">
        <f>IF(C373="","",'Plate organization+'!$B$43)</f>
        <v/>
      </c>
      <c r="E373" t="s">
        <v>151</v>
      </c>
    </row>
    <row r="374" spans="1:5" x14ac:dyDescent="0.25">
      <c r="A374" s="3" t="str">
        <f>IF(C374="","",VLOOKUP(C374,Source_Plate!$I$2:$J$97,2,FALSE))</f>
        <v/>
      </c>
      <c r="B374" s="3" t="str">
        <f>IF(C374="","",'PM_info+'!B86)</f>
        <v/>
      </c>
      <c r="C374" s="1" t="str">
        <f>IF('PM_info+'!G86="","",'PM_info+'!G86)</f>
        <v/>
      </c>
      <c r="D374" s="3" t="str">
        <f>IF(C374="","",'Plate organization+'!$B$43)</f>
        <v/>
      </c>
      <c r="E374" t="s">
        <v>151</v>
      </c>
    </row>
    <row r="375" spans="1:5" x14ac:dyDescent="0.25">
      <c r="A375" s="3" t="str">
        <f>IF(C375="","",VLOOKUP(C375,Source_Plate!$I$2:$J$97,2,FALSE))</f>
        <v/>
      </c>
      <c r="B375" s="3" t="str">
        <f>IF(C375="","",'PM_info+'!B87)</f>
        <v/>
      </c>
      <c r="C375" s="1" t="str">
        <f>IF('PM_info+'!G87="","",'PM_info+'!G87)</f>
        <v/>
      </c>
      <c r="D375" s="3" t="str">
        <f>IF(C375="","",'Plate organization+'!$B$43)</f>
        <v/>
      </c>
      <c r="E375" t="s">
        <v>151</v>
      </c>
    </row>
    <row r="376" spans="1:5" x14ac:dyDescent="0.25">
      <c r="A376" s="3" t="str">
        <f>IF(C376="","",VLOOKUP(C376,Source_Plate!$I$2:$J$97,2,FALSE))</f>
        <v/>
      </c>
      <c r="B376" s="3" t="str">
        <f>IF(C376="","",'PM_info+'!B88)</f>
        <v/>
      </c>
      <c r="C376" s="1" t="str">
        <f>IF('PM_info+'!G88="","",'PM_info+'!G88)</f>
        <v/>
      </c>
      <c r="D376" s="3" t="str">
        <f>IF(C376="","",'Plate organization+'!$B$43)</f>
        <v/>
      </c>
      <c r="E376" t="s">
        <v>151</v>
      </c>
    </row>
    <row r="377" spans="1:5" x14ac:dyDescent="0.25">
      <c r="A377" s="3" t="str">
        <f>IF(C377="","",VLOOKUP(C377,Source_Plate!$I$2:$J$97,2,FALSE))</f>
        <v/>
      </c>
      <c r="B377" s="3" t="str">
        <f>IF(C377="","",'PM_info+'!B89)</f>
        <v/>
      </c>
      <c r="C377" s="1" t="str">
        <f>IF('PM_info+'!G89="","",'PM_info+'!G89)</f>
        <v/>
      </c>
      <c r="D377" s="3" t="str">
        <f>IF(C377="","",'Plate organization+'!$B$43)</f>
        <v/>
      </c>
      <c r="E377" t="s">
        <v>151</v>
      </c>
    </row>
    <row r="378" spans="1:5" x14ac:dyDescent="0.25">
      <c r="A378" s="3" t="str">
        <f>IF(C378="","",VLOOKUP(C378,Source_Plate!$I$2:$J$97,2,FALSE))</f>
        <v/>
      </c>
      <c r="B378" s="3" t="str">
        <f>IF(C378="","",'PM_info+'!B90)</f>
        <v/>
      </c>
      <c r="C378" s="1" t="str">
        <f>IF('PM_info+'!G90="","",'PM_info+'!G90)</f>
        <v/>
      </c>
      <c r="D378" s="3" t="str">
        <f>IF(C378="","",'Plate organization+'!$B$43)</f>
        <v/>
      </c>
      <c r="E378" t="s">
        <v>151</v>
      </c>
    </row>
    <row r="379" spans="1:5" x14ac:dyDescent="0.25">
      <c r="A379" s="3" t="str">
        <f>IF(C379="","",VLOOKUP(C379,Source_Plate!$I$2:$J$97,2,FALSE))</f>
        <v/>
      </c>
      <c r="B379" s="3" t="str">
        <f>IF(C379="","",'PM_info+'!B91)</f>
        <v/>
      </c>
      <c r="C379" s="1" t="str">
        <f>IF('PM_info+'!G91="","",'PM_info+'!G91)</f>
        <v/>
      </c>
      <c r="D379" s="3" t="str">
        <f>IF(C379="","",'Plate organization+'!$B$43)</f>
        <v/>
      </c>
      <c r="E379" t="s">
        <v>151</v>
      </c>
    </row>
    <row r="380" spans="1:5" x14ac:dyDescent="0.25">
      <c r="A380" s="3" t="str">
        <f>IF(C380="","",VLOOKUP(C380,Source_Plate!$I$2:$J$97,2,FALSE))</f>
        <v/>
      </c>
      <c r="B380" s="3" t="str">
        <f>IF(C380="","",'PM_info+'!B92)</f>
        <v/>
      </c>
      <c r="C380" s="1" t="str">
        <f>IF('PM_info+'!G92="","",'PM_info+'!G92)</f>
        <v/>
      </c>
      <c r="D380" s="3" t="str">
        <f>IF(C380="","",'Plate organization+'!$B$43)</f>
        <v/>
      </c>
      <c r="E380" t="s">
        <v>151</v>
      </c>
    </row>
    <row r="381" spans="1:5" x14ac:dyDescent="0.25">
      <c r="A381" s="3" t="str">
        <f>IF(C381="","",VLOOKUP(C381,Source_Plate!$I$2:$J$97,2,FALSE))</f>
        <v/>
      </c>
      <c r="B381" s="3" t="str">
        <f>IF(C381="","",'PM_info+'!B93)</f>
        <v/>
      </c>
      <c r="C381" s="1" t="str">
        <f>IF('PM_info+'!G93="","",'PM_info+'!G93)</f>
        <v/>
      </c>
      <c r="D381" s="3" t="str">
        <f>IF(C381="","",'Plate organization+'!$B$43)</f>
        <v/>
      </c>
      <c r="E381" t="s">
        <v>151</v>
      </c>
    </row>
    <row r="382" spans="1:5" x14ac:dyDescent="0.25">
      <c r="A382" s="3" t="str">
        <f>IF(C382="","",VLOOKUP(C382,Source_Plate!$I$2:$J$97,2,FALSE))</f>
        <v/>
      </c>
      <c r="B382" s="3" t="str">
        <f>IF(C382="","",'PM_info+'!B94)</f>
        <v/>
      </c>
      <c r="C382" s="1" t="str">
        <f>IF('PM_info+'!G94="","",'PM_info+'!G94)</f>
        <v/>
      </c>
      <c r="D382" s="3" t="str">
        <f>IF(C382="","",'Plate organization+'!$B$43)</f>
        <v/>
      </c>
      <c r="E382" t="s">
        <v>151</v>
      </c>
    </row>
    <row r="383" spans="1:5" x14ac:dyDescent="0.25">
      <c r="A383" s="3" t="str">
        <f>IF(C383="","",VLOOKUP(C383,Source_Plate!$I$2:$J$97,2,FALSE))</f>
        <v/>
      </c>
      <c r="B383" s="3" t="str">
        <f>IF(C383="","",'PM_info+'!B95)</f>
        <v/>
      </c>
      <c r="C383" s="1" t="str">
        <f>IF('PM_info+'!G95="","",'PM_info+'!G95)</f>
        <v/>
      </c>
      <c r="D383" s="3" t="str">
        <f>IF(C383="","",'Plate organization+'!$B$43)</f>
        <v/>
      </c>
      <c r="E383" t="s">
        <v>151</v>
      </c>
    </row>
    <row r="384" spans="1:5" x14ac:dyDescent="0.25">
      <c r="A384" s="3" t="str">
        <f>IF(C384="","",VLOOKUP(C384,Source_Plate!$I$2:$J$97,2,FALSE))</f>
        <v/>
      </c>
      <c r="B384" s="3" t="str">
        <f>IF(C384="","",'PM_info+'!B96)</f>
        <v/>
      </c>
      <c r="C384" s="1" t="str">
        <f>IF('PM_info+'!G96="","",'PM_info+'!G96)</f>
        <v/>
      </c>
      <c r="D384" s="3" t="str">
        <f>IF(C384="","",'Plate organization+'!$B$43)</f>
        <v/>
      </c>
      <c r="E384" t="s">
        <v>151</v>
      </c>
    </row>
    <row r="385" spans="1:5" s="119" customFormat="1" x14ac:dyDescent="0.25">
      <c r="A385" s="118" t="str">
        <f>IF(C385="","",VLOOKUP(C385,Source_Plate!$I$2:$J$97,2,FALSE))</f>
        <v/>
      </c>
      <c r="B385" s="118" t="str">
        <f>IF(C385="","",'PM_info+'!B97)</f>
        <v/>
      </c>
      <c r="C385" s="120" t="str">
        <f>IF('PM_info+'!G97="","",'PM_info+'!G97)</f>
        <v/>
      </c>
      <c r="D385" s="118" t="str">
        <f>IF(C385="","",'Plate organization+'!$B$43)</f>
        <v/>
      </c>
      <c r="E385" s="119" t="s">
        <v>151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>
      <selection activeCell="B16" sqref="B16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>H01</v>
      </c>
      <c r="B2" s="3" t="str">
        <f>IF(C2="","",'Plan+'!K2)</f>
        <v>A01</v>
      </c>
      <c r="C2" s="1" t="str">
        <f>IF('Plan+'!I2="","",'Plan+'!I2)</f>
        <v>Plasmidmix1</v>
      </c>
      <c r="D2" s="3">
        <f>IF(C2="","",'Plate organization+'!$B$46)</f>
        <v>4</v>
      </c>
      <c r="E2" t="str">
        <f>'Plan+'!L2</f>
        <v>Destination_Plate_1</v>
      </c>
    </row>
    <row r="3" spans="1:5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>H01</v>
      </c>
      <c r="B3" s="3" t="str">
        <f>IF(C3="","",'Plan+'!K3)</f>
        <v>B01</v>
      </c>
      <c r="C3" s="1" t="str">
        <f>IF('Plan+'!I3="","",'Plan+'!I3)</f>
        <v>Plasmidmix1</v>
      </c>
      <c r="D3" s="3">
        <f>IF(C3="","",'Plate organization+'!$B$46)</f>
        <v>4</v>
      </c>
      <c r="E3" t="str">
        <f>'Plan+'!L3</f>
        <v>Destination_Plate_1</v>
      </c>
    </row>
    <row r="4" spans="1:5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>H01</v>
      </c>
      <c r="B4" s="3" t="str">
        <f>IF(C4="","",'Plan+'!K4)</f>
        <v>C01</v>
      </c>
      <c r="C4" s="1" t="str">
        <f>IF('Plan+'!I4="","",'Plan+'!I4)</f>
        <v>Plasmidmix1</v>
      </c>
      <c r="D4" s="3">
        <f>IF(C4="","",'Plate organization+'!$B$46)</f>
        <v>4</v>
      </c>
      <c r="E4" t="str">
        <f>'Plan+'!L4</f>
        <v>Destination_Plate_1</v>
      </c>
    </row>
    <row r="5" spans="1:5" x14ac:dyDescent="0.25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>H01</v>
      </c>
      <c r="B5" s="3" t="str">
        <f>IF(C5="","",'Plan+'!K5)</f>
        <v>D01</v>
      </c>
      <c r="C5" s="1" t="str">
        <f>IF('Plan+'!I5="","",'Plan+'!I5)</f>
        <v>Plasmidmix1</v>
      </c>
      <c r="D5" s="3">
        <f>IF(C5="","",'Plate organization+'!$B$46)</f>
        <v>4</v>
      </c>
      <c r="E5" t="str">
        <f>'Plan+'!L5</f>
        <v>Destination_Plate_1</v>
      </c>
    </row>
    <row r="6" spans="1:5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/>
      </c>
      <c r="B6" s="3" t="str">
        <f>IF(C6="","",'Plan+'!K6)</f>
        <v/>
      </c>
      <c r="C6" s="1" t="str">
        <f>IF('Plan+'!I6="","",'Plan+'!I6)</f>
        <v/>
      </c>
      <c r="D6" s="3" t="str">
        <f>IF(C6="","",'Plate organization+'!$B$46)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/>
      </c>
      <c r="B7" s="3" t="str">
        <f>IF(C7="","",'Plan+'!K7)</f>
        <v/>
      </c>
      <c r="C7" s="1" t="str">
        <f>IF('Plan+'!I7="","",'Plan+'!I7)</f>
        <v/>
      </c>
      <c r="D7" s="3" t="str">
        <f>IF(C7="","",'Plate organization+'!$B$46)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/>
      </c>
      <c r="B8" s="3" t="str">
        <f>IF(C8="","",'Plan+'!K8)</f>
        <v/>
      </c>
      <c r="C8" s="1" t="str">
        <f>IF('Plan+'!I8="","",'Plan+'!I8)</f>
        <v/>
      </c>
      <c r="D8" s="3" t="str">
        <f>IF(C8="","",'Plate organization+'!$B$46)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/>
      </c>
      <c r="B9" s="3" t="str">
        <f>IF(C9="","",'Plan+'!K9)</f>
        <v/>
      </c>
      <c r="C9" s="1" t="str">
        <f>IF('Plan+'!I9="","",'Plan+'!I9)</f>
        <v/>
      </c>
      <c r="D9" s="3" t="str">
        <f>IF(C9="","",'Plate organization+'!$B$46)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/>
      </c>
      <c r="B10" s="3" t="str">
        <f>IF(C10="","",'Plan+'!K10)</f>
        <v/>
      </c>
      <c r="C10" s="1" t="str">
        <f>IF('Plan+'!I10="","",'Plan+'!I10)</f>
        <v/>
      </c>
      <c r="D10" s="3" t="str">
        <f>IF(C10="","",'Plate organization+'!$B$46)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/>
      </c>
      <c r="B11" s="3" t="str">
        <f>IF(C11="","",'Plan+'!K11)</f>
        <v/>
      </c>
      <c r="C11" s="1" t="str">
        <f>IF('Plan+'!I11="","",'Plan+'!I11)</f>
        <v/>
      </c>
      <c r="D11" s="3" t="str">
        <f>IF(C11="","",'Plate organization+'!$B$46)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/>
      </c>
      <c r="B12" s="3" t="str">
        <f>IF(C12="","",'Plan+'!K12)</f>
        <v/>
      </c>
      <c r="C12" s="1" t="str">
        <f>IF('Plan+'!I12="","",'Plan+'!I12)</f>
        <v/>
      </c>
      <c r="D12" s="3" t="str">
        <f>IF(C12="","",'Plate organization+'!$B$46)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/>
      </c>
      <c r="B13" s="3" t="str">
        <f>IF(C13="","",'Plan+'!K13)</f>
        <v/>
      </c>
      <c r="C13" s="1" t="str">
        <f>IF('Plan+'!I13="","",'Plan+'!I13)</f>
        <v/>
      </c>
      <c r="D13" s="3" t="str">
        <f>IF(C13="","",'Plate organization+'!$B$46)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/>
      </c>
      <c r="B14" s="3" t="str">
        <f>IF(C14="","",'Plan+'!K14)</f>
        <v/>
      </c>
      <c r="C14" s="1" t="str">
        <f>IF('Plan+'!I14="","",'Plan+'!I14)</f>
        <v/>
      </c>
      <c r="D14" s="3" t="str">
        <f>IF(C14="","",'Plate organization+'!$B$46)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/>
      </c>
      <c r="B15" s="3" t="str">
        <f>IF(C15="","",'Plan+'!K15)</f>
        <v/>
      </c>
      <c r="C15" s="1" t="str">
        <f>IF('Plan+'!I15="","",'Plan+'!I15)</f>
        <v/>
      </c>
      <c r="D15" s="3" t="str">
        <f>IF(C15="","",'Plate organization+'!$B$46)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/>
      </c>
      <c r="B16" s="3" t="str">
        <f>IF(C16="","",'Plan+'!K16)</f>
        <v/>
      </c>
      <c r="C16" s="1" t="str">
        <f>IF('Plan+'!I16="","",'Plan+'!I16)</f>
        <v/>
      </c>
      <c r="D16" s="3" t="str">
        <f>IF(C16="","",'Plate organization+'!$B$46)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/>
      </c>
      <c r="B17" s="3" t="str">
        <f>IF(C17="","",'Plan+'!K17)</f>
        <v/>
      </c>
      <c r="C17" s="1" t="str">
        <f>IF('Plan+'!I17="","",'Plan+'!I17)</f>
        <v/>
      </c>
      <c r="D17" s="3" t="str">
        <f>IF(C17="","",'Plate organization+'!$B$46)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/>
      </c>
      <c r="B18" s="3" t="str">
        <f>IF(C18="","",'Plan+'!K18)</f>
        <v/>
      </c>
      <c r="C18" s="1" t="str">
        <f>IF('Plan+'!I18="","",'Plan+'!I18)</f>
        <v/>
      </c>
      <c r="D18" s="3" t="str">
        <f>IF(C18="","",'Plate organization+'!$B$46)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/>
      </c>
      <c r="B19" s="3" t="str">
        <f>IF(C19="","",'Plan+'!K19)</f>
        <v/>
      </c>
      <c r="C19" s="1" t="str">
        <f>IF('Plan+'!I19="","",'Plan+'!I19)</f>
        <v/>
      </c>
      <c r="D19" s="3" t="str">
        <f>IF(C19="","",'Plate organization+'!$B$46)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/>
      </c>
      <c r="B20" s="3" t="str">
        <f>IF(C20="","",'Plan+'!K20)</f>
        <v/>
      </c>
      <c r="C20" s="1" t="str">
        <f>IF('Plan+'!I20="","",'Plan+'!I20)</f>
        <v/>
      </c>
      <c r="D20" s="3" t="str">
        <f>IF(C20="","",'Plate organization+'!$B$46)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/>
      </c>
      <c r="B21" s="3" t="str">
        <f>IF(C21="","",'Plan+'!K21)</f>
        <v/>
      </c>
      <c r="C21" s="1" t="str">
        <f>IF('Plan+'!I21="","",'Plan+'!I21)</f>
        <v/>
      </c>
      <c r="D21" s="3" t="str">
        <f>IF(C21="","",'Plate organization+'!$B$46)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/>
      </c>
      <c r="B22" s="3" t="str">
        <f>IF(C22="","",'Plan+'!K22)</f>
        <v/>
      </c>
      <c r="C22" s="1" t="str">
        <f>IF('Plan+'!I22="","",'Plan+'!I22)</f>
        <v/>
      </c>
      <c r="D22" s="3" t="str">
        <f>IF(C22="","",'Plate organization+'!$B$46)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/>
      </c>
      <c r="B23" s="3" t="str">
        <f>IF(C23="","",'Plan+'!K23)</f>
        <v/>
      </c>
      <c r="C23" s="1" t="str">
        <f>IF('Plan+'!I23="","",'Plan+'!I23)</f>
        <v/>
      </c>
      <c r="D23" s="3" t="str">
        <f>IF(C23="","",'Plate organization+'!$B$46)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/>
      </c>
      <c r="B24" s="3" t="str">
        <f>IF(C24="","",'Plan+'!K24)</f>
        <v/>
      </c>
      <c r="C24" s="1" t="str">
        <f>IF('Plan+'!I24="","",'Plan+'!I24)</f>
        <v/>
      </c>
      <c r="D24" s="3" t="str">
        <f>IF(C24="","",'Plate organization+'!$B$46)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/>
      </c>
      <c r="B25" s="3" t="str">
        <f>IF(C25="","",'Plan+'!K25)</f>
        <v/>
      </c>
      <c r="C25" s="1" t="str">
        <f>IF('Plan+'!I25="","",'Plan+'!I25)</f>
        <v/>
      </c>
      <c r="D25" s="3" t="str">
        <f>IF(C25="","",'Plate organization+'!$B$46)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/>
      </c>
      <c r="B26" s="3" t="str">
        <f>IF(C26="","",'Plan+'!K26)</f>
        <v/>
      </c>
      <c r="C26" s="1" t="str">
        <f>IF('Plan+'!I26="","",'Plan+'!I26)</f>
        <v/>
      </c>
      <c r="D26" s="3" t="str">
        <f>IF(C26="","",'Plate organization+'!$B$46)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/>
      </c>
      <c r="B27" s="3" t="str">
        <f>IF(C27="","",'Plan+'!K27)</f>
        <v/>
      </c>
      <c r="C27" s="1" t="str">
        <f>IF('Plan+'!I27="","",'Plan+'!I27)</f>
        <v/>
      </c>
      <c r="D27" s="3" t="str">
        <f>IF(C27="","",'Plate organization+'!$B$46)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/>
      </c>
      <c r="B28" s="3" t="str">
        <f>IF(C28="","",'Plan+'!K28)</f>
        <v/>
      </c>
      <c r="C28" s="1" t="str">
        <f>IF('Plan+'!I28="","",'Plan+'!I28)</f>
        <v/>
      </c>
      <c r="D28" s="3" t="str">
        <f>IF(C28="","",'Plate organization+'!$B$46)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/>
      </c>
      <c r="B29" s="3" t="str">
        <f>IF(C29="","",'Plan+'!K29)</f>
        <v/>
      </c>
      <c r="C29" s="1" t="str">
        <f>IF('Plan+'!I29="","",'Plan+'!I29)</f>
        <v/>
      </c>
      <c r="D29" s="3" t="str">
        <f>IF(C29="","",'Plate organization+'!$B$46)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/>
      </c>
      <c r="B30" s="3" t="str">
        <f>IF(C30="","",'Plan+'!K30)</f>
        <v/>
      </c>
      <c r="C30" s="1" t="str">
        <f>IF('Plan+'!I30="","",'Plan+'!I30)</f>
        <v/>
      </c>
      <c r="D30" s="3" t="str">
        <f>IF(C30="","",'Plate organization+'!$B$46)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/>
      </c>
      <c r="B31" s="3" t="str">
        <f>IF(C31="","",'Plan+'!K31)</f>
        <v/>
      </c>
      <c r="C31" s="1" t="str">
        <f>IF('Plan+'!I31="","",'Plan+'!I31)</f>
        <v/>
      </c>
      <c r="D31" s="3" t="str">
        <f>IF(C31="","",'Plate organization+'!$B$46)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/>
      </c>
      <c r="B32" s="3" t="str">
        <f>IF(C32="","",'Plan+'!K32)</f>
        <v/>
      </c>
      <c r="C32" s="1" t="str">
        <f>IF('Plan+'!I32="","",'Plan+'!I32)</f>
        <v/>
      </c>
      <c r="D32" s="3" t="str">
        <f>IF(C32="","",'Plate organization+'!$B$46)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/>
      </c>
      <c r="B33" s="3" t="str">
        <f>IF(C33="","",'Plan+'!K33)</f>
        <v/>
      </c>
      <c r="C33" s="1" t="str">
        <f>IF('Plan+'!I33="","",'Plan+'!I33)</f>
        <v/>
      </c>
      <c r="D33" s="3" t="str">
        <f>IF(C33="","",'Plate organization+'!$B$46)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/>
      </c>
      <c r="B34" s="3" t="str">
        <f>IF(C34="","",'Plan+'!K34)</f>
        <v/>
      </c>
      <c r="C34" s="1" t="str">
        <f>IF('Plan+'!I34="","",'Plan+'!I34)</f>
        <v/>
      </c>
      <c r="D34" s="3" t="str">
        <f>IF(C34="","",'Plate organization+'!$B$46)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/>
      </c>
      <c r="B35" s="3" t="str">
        <f>IF(C35="","",'Plan+'!K35)</f>
        <v/>
      </c>
      <c r="C35" s="1" t="str">
        <f>IF('Plan+'!I35="","",'Plan+'!I35)</f>
        <v/>
      </c>
      <c r="D35" s="3" t="str">
        <f>IF(C35="","",'Plate organization+'!$B$46)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/>
      </c>
      <c r="B36" s="3" t="str">
        <f>IF(C36="","",'Plan+'!K36)</f>
        <v/>
      </c>
      <c r="C36" s="1" t="str">
        <f>IF('Plan+'!I36="","",'Plan+'!I36)</f>
        <v/>
      </c>
      <c r="D36" s="3" t="str">
        <f>IF(C36="","",'Plate organization+'!$B$46)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/>
      </c>
      <c r="B37" s="3" t="str">
        <f>IF(C37="","",'Plan+'!K37)</f>
        <v/>
      </c>
      <c r="C37" s="1" t="str">
        <f>IF('Plan+'!I37="","",'Plan+'!I37)</f>
        <v/>
      </c>
      <c r="D37" s="3" t="str">
        <f>IF(C37="","",'Plate organization+'!$B$46)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/>
      </c>
      <c r="B38" s="3" t="str">
        <f>IF(C38="","",'Plan+'!K38)</f>
        <v/>
      </c>
      <c r="C38" s="1" t="str">
        <f>IF('Plan+'!I38="","",'Plan+'!I38)</f>
        <v/>
      </c>
      <c r="D38" s="3" t="str">
        <f>IF(C38="","",'Plate organization+'!$B$46)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/>
      </c>
      <c r="B39" s="3" t="str">
        <f>IF(C39="","",'Plan+'!K39)</f>
        <v/>
      </c>
      <c r="C39" s="1" t="str">
        <f>IF('Plan+'!I39="","",'Plan+'!I39)</f>
        <v/>
      </c>
      <c r="D39" s="3" t="str">
        <f>IF(C39="","",'Plate organization+'!$B$46)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/>
      </c>
      <c r="B40" s="3" t="str">
        <f>IF(C40="","",'Plan+'!K40)</f>
        <v/>
      </c>
      <c r="C40" s="1" t="str">
        <f>IF('Plan+'!I40="","",'Plan+'!I40)</f>
        <v/>
      </c>
      <c r="D40" s="3" t="str">
        <f>IF(C40="","",'Plate organization+'!$B$46)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/>
      </c>
      <c r="B41" s="3" t="str">
        <f>IF(C41="","",'Plan+'!K41)</f>
        <v/>
      </c>
      <c r="C41" s="1" t="str">
        <f>IF('Plan+'!I41="","",'Plan+'!I41)</f>
        <v/>
      </c>
      <c r="D41" s="3" t="str">
        <f>IF(C41="","",'Plate organization+'!$B$46)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/>
      </c>
      <c r="B42" s="3" t="str">
        <f>IF(C42="","",'Plan+'!K42)</f>
        <v/>
      </c>
      <c r="C42" s="1" t="str">
        <f>IF('Plan+'!I42="","",'Plan+'!I42)</f>
        <v/>
      </c>
      <c r="D42" s="3" t="str">
        <f>IF(C42="","",'Plate organization+'!$B$46)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/>
      </c>
      <c r="B43" s="3" t="str">
        <f>IF(C43="","",'Plan+'!K43)</f>
        <v/>
      </c>
      <c r="C43" s="1" t="str">
        <f>IF('Plan+'!I43="","",'Plan+'!I43)</f>
        <v/>
      </c>
      <c r="D43" s="3" t="str">
        <f>IF(C43="","",'Plate organization+'!$B$46)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/>
      </c>
      <c r="B44" s="3" t="str">
        <f>IF(C44="","",'Plan+'!K44)</f>
        <v/>
      </c>
      <c r="C44" s="1" t="str">
        <f>IF('Plan+'!I44="","",'Plan+'!I44)</f>
        <v/>
      </c>
      <c r="D44" s="3" t="str">
        <f>IF(C44="","",'Plate organization+'!$B$46)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/>
      </c>
      <c r="B45" s="3" t="str">
        <f>IF(C45="","",'Plan+'!K45)</f>
        <v/>
      </c>
      <c r="C45" s="1" t="str">
        <f>IF('Plan+'!I45="","",'Plan+'!I45)</f>
        <v/>
      </c>
      <c r="D45" s="3" t="str">
        <f>IF(C45="","",'Plate organization+'!$B$46)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/>
      </c>
      <c r="B46" s="3" t="str">
        <f>IF(C46="","",'Plan+'!K46)</f>
        <v/>
      </c>
      <c r="C46" s="1" t="str">
        <f>IF('Plan+'!I46="","",'Plan+'!I46)</f>
        <v/>
      </c>
      <c r="D46" s="3" t="str">
        <f>IF(C46="","",'Plate organization+'!$B$46)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/>
      </c>
      <c r="B47" s="3" t="str">
        <f>IF(C47="","",'Plan+'!K47)</f>
        <v/>
      </c>
      <c r="C47" s="1" t="str">
        <f>IF('Plan+'!I47="","",'Plan+'!I47)</f>
        <v/>
      </c>
      <c r="D47" s="3" t="str">
        <f>IF(C47="","",'Plate organization+'!$B$46)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/>
      </c>
      <c r="B48" s="3" t="str">
        <f>IF(C48="","",'Plan+'!K48)</f>
        <v/>
      </c>
      <c r="C48" s="1" t="str">
        <f>IF('Plan+'!I48="","",'Plan+'!I48)</f>
        <v/>
      </c>
      <c r="D48" s="3" t="str">
        <f>IF(C48="","",'Plate organization+'!$B$46)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/>
      </c>
      <c r="B49" s="3" t="str">
        <f>IF(C49="","",'Plan+'!K49)</f>
        <v/>
      </c>
      <c r="C49" s="1" t="str">
        <f>IF('Plan+'!I49="","",'Plan+'!I49)</f>
        <v/>
      </c>
      <c r="D49" s="3" t="str">
        <f>IF(C49="","",'Plate organization+'!$B$46)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/>
      </c>
      <c r="B50" s="3" t="str">
        <f>IF(C50="","",'Plan+'!K50)</f>
        <v/>
      </c>
      <c r="C50" s="1" t="str">
        <f>IF('Plan+'!I50="","",'Plan+'!I50)</f>
        <v/>
      </c>
      <c r="D50" s="3" t="str">
        <f>IF(C50="","",'Plate organization+'!$B$46)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IF('Plan+'!I51="","",'Plan+'!I51)</f>
        <v/>
      </c>
      <c r="D51" s="3" t="str">
        <f>IF(C51="","",'Plate organization+'!$B$46)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IF('Plan+'!I52="","",'Plan+'!I52)</f>
        <v/>
      </c>
      <c r="D52" s="3" t="str">
        <f>IF(C52="","",'Plate organization+'!$B$46)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IF('Plan+'!I53="","",'Plan+'!I53)</f>
        <v/>
      </c>
      <c r="D53" s="3" t="str">
        <f>IF(C53="","",'Plate organization+'!$B$46)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IF('Plan+'!I54="","",'Plan+'!I54)</f>
        <v/>
      </c>
      <c r="D54" s="3" t="str">
        <f>IF(C54="","",'Plate organization+'!$B$46)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IF('Plan+'!I55="","",'Plan+'!I55)</f>
        <v/>
      </c>
      <c r="D55" s="3" t="str">
        <f>IF(C55="","",'Plate organization+'!$B$46)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IF('Plan+'!I56="","",'Plan+'!I56)</f>
        <v/>
      </c>
      <c r="D56" s="3" t="str">
        <f>IF(C56="","",'Plate organization+'!$B$46)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IF('Plan+'!I57="","",'Plan+'!I57)</f>
        <v/>
      </c>
      <c r="D57" s="3" t="str">
        <f>IF(C57="","",'Plate organization+'!$B$46)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IF('Plan+'!I58="","",'Plan+'!I58)</f>
        <v/>
      </c>
      <c r="D58" s="3" t="str">
        <f>IF(C58="","",'Plate organization+'!$B$46)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IF('Plan+'!I59="","",'Plan+'!I59)</f>
        <v/>
      </c>
      <c r="D59" s="3" t="str">
        <f>IF(C59="","",'Plate organization+'!$B$46)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IF('Plan+'!I60="","",'Plan+'!I60)</f>
        <v/>
      </c>
      <c r="D60" s="3" t="str">
        <f>IF(C60="","",'Plate organization+'!$B$46)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IF('Plan+'!I61="","",'Plan+'!I61)</f>
        <v/>
      </c>
      <c r="D61" s="3" t="str">
        <f>IF(C61="","",'Plate organization+'!$B$46)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IF('Plan+'!I62="","",'Plan+'!I62)</f>
        <v/>
      </c>
      <c r="D62" s="3" t="str">
        <f>IF(C62="","",'Plate organization+'!$B$46)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IF('Plan+'!I63="","",'Plan+'!I63)</f>
        <v/>
      </c>
      <c r="D63" s="3" t="str">
        <f>IF(C63="","",'Plate organization+'!$B$46)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IF('Plan+'!I64="","",'Plan+'!I64)</f>
        <v/>
      </c>
      <c r="D64" s="3" t="str">
        <f>IF(C64="","",'Plate organization+'!$B$46)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IF('Plan+'!I65="","",'Plan+'!I65)</f>
        <v/>
      </c>
      <c r="D65" s="3" t="str">
        <f>IF(C65="","",'Plate organization+'!$B$46)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IF('Plan+'!I66="","",'Plan+'!I66)</f>
        <v/>
      </c>
      <c r="D66" s="3" t="str">
        <f>IF(C66="","",'Plate organization+'!$B$46)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IF('Plan+'!I67="","",'Plan+'!I67)</f>
        <v/>
      </c>
      <c r="D67" s="3" t="str">
        <f>IF(C67="","",'Plate organization+'!$B$46)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IF('Plan+'!I68="","",'Plan+'!I68)</f>
        <v/>
      </c>
      <c r="D68" s="3" t="str">
        <f>IF(C68="","",'Plate organization+'!$B$46)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IF('Plan+'!I69="","",'Plan+'!I69)</f>
        <v/>
      </c>
      <c r="D69" s="3" t="str">
        <f>IF(C69="","",'Plate organization+'!$B$46)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IF('Plan+'!I70="","",'Plan+'!I70)</f>
        <v/>
      </c>
      <c r="D70" s="3" t="str">
        <f>IF(C70="","",'Plate organization+'!$B$46)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IF('Plan+'!I71="","",'Plan+'!I71)</f>
        <v/>
      </c>
      <c r="D71" s="3" t="str">
        <f>IF(C71="","",'Plate organization+'!$B$46)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IF('Plan+'!I72="","",'Plan+'!I72)</f>
        <v/>
      </c>
      <c r="D72" s="3" t="str">
        <f>IF(C72="","",'Plate organization+'!$B$46)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IF('Plan+'!I73="","",'Plan+'!I73)</f>
        <v/>
      </c>
      <c r="D73" s="3" t="str">
        <f>IF(C73="","",'Plate organization+'!$B$46)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IF('Plan+'!I74="","",'Plan+'!I74)</f>
        <v/>
      </c>
      <c r="D74" s="3" t="str">
        <f>IF(C74="","",'Plate organization+'!$B$46)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IF('Plan+'!I75="","",'Plan+'!I75)</f>
        <v/>
      </c>
      <c r="D75" s="3" t="str">
        <f>IF(C75="","",'Plate organization+'!$B$46)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IF('Plan+'!I76="","",'Plan+'!I76)</f>
        <v/>
      </c>
      <c r="D76" s="3" t="str">
        <f>IF(C76="","",'Plate organization+'!$B$46)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IF('Plan+'!I77="","",'Plan+'!I77)</f>
        <v/>
      </c>
      <c r="D77" s="3" t="str">
        <f>IF(C77="","",'Plate organization+'!$B$46)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IF('Plan+'!I78="","",'Plan+'!I78)</f>
        <v/>
      </c>
      <c r="D78" s="3" t="str">
        <f>IF(C78="","",'Plate organization+'!$B$46)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IF('Plan+'!I79="","",'Plan+'!I79)</f>
        <v/>
      </c>
      <c r="D79" s="3" t="str">
        <f>IF(C79="","",'Plate organization+'!$B$46)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IF('Plan+'!I80="","",'Plan+'!I80)</f>
        <v/>
      </c>
      <c r="D80" s="3" t="str">
        <f>IF(C80="","",'Plate organization+'!$B$46)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IF('Plan+'!I81="","",'Plan+'!I81)</f>
        <v/>
      </c>
      <c r="D81" s="3" t="str">
        <f>IF(C81="","",'Plate organization+'!$B$46)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IF('Plan+'!I82="","",'Plan+'!I82)</f>
        <v/>
      </c>
      <c r="D82" s="3" t="str">
        <f>IF(C82="","",'Plate organization+'!$B$46)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IF('Plan+'!I83="","",'Plan+'!I83)</f>
        <v/>
      </c>
      <c r="D83" s="3" t="str">
        <f>IF(C83="","",'Plate organization+'!$B$46)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IF('Plan+'!I84="","",'Plan+'!I84)</f>
        <v/>
      </c>
      <c r="D84" s="3" t="str">
        <f>IF(C84="","",'Plate organization+'!$B$46)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IF('Plan+'!I85="","",'Plan+'!I85)</f>
        <v/>
      </c>
      <c r="D85" s="3" t="str">
        <f>IF(C85="","",'Plate organization+'!$B$46)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IF('Plan+'!I86="","",'Plan+'!I86)</f>
        <v/>
      </c>
      <c r="D86" s="3" t="str">
        <f>IF(C86="","",'Plate organization+'!$B$46)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IF('Plan+'!I87="","",'Plan+'!I87)</f>
        <v/>
      </c>
      <c r="D87" s="3" t="str">
        <f>IF(C87="","",'Plate organization+'!$B$46)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IF('Plan+'!I88="","",'Plan+'!I88)</f>
        <v/>
      </c>
      <c r="D88" s="3" t="str">
        <f>IF(C88="","",'Plate organization+'!$B$46)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IF('Plan+'!I89="","",'Plan+'!I89)</f>
        <v/>
      </c>
      <c r="D89" s="3" t="str">
        <f>IF(C89="","",'Plate organization+'!$B$46)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IF('Plan+'!I90="","",'Plan+'!I90)</f>
        <v/>
      </c>
      <c r="D90" s="3" t="str">
        <f>IF(C90="","",'Plate organization+'!$B$46)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IF('Plan+'!I91="","",'Plan+'!I91)</f>
        <v/>
      </c>
      <c r="D91" s="3" t="str">
        <f>IF(C91="","",'Plate organization+'!$B$46)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IF('Plan+'!I92="","",'Plan+'!I92)</f>
        <v/>
      </c>
      <c r="D92" s="3" t="str">
        <f>IF(C92="","",'Plate organization+'!$B$46)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IF('Plan+'!I93="","",'Plan+'!I93)</f>
        <v/>
      </c>
      <c r="D93" s="3" t="str">
        <f>IF(C93="","",'Plate organization+'!$B$46)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IF('Plan+'!I94="","",'Plan+'!I94)</f>
        <v/>
      </c>
      <c r="D94" s="3" t="str">
        <f>IF(C94="","",'Plate organization+'!$B$46)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IF('Plan+'!I95="","",'Plan+'!I95)</f>
        <v/>
      </c>
      <c r="D95" s="3" t="str">
        <f>IF(C95="","",'Plate organization+'!$B$46)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IF('Plan+'!I96="","",'Plan+'!I96)</f>
        <v/>
      </c>
      <c r="D96" s="3" t="str">
        <f>IF(C96="","",'Plate organization+'!$B$46)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IF('Plan+'!I97="","",'Plan+'!I97)</f>
        <v/>
      </c>
      <c r="D97" s="3" t="str">
        <f>IF(C97="","",'Plate organization+'!$B$46)</f>
        <v/>
      </c>
      <c r="E97" t="str">
        <f>'Plan+'!L97</f>
        <v>Destination_Plate_1</v>
      </c>
    </row>
    <row r="98" spans="1:5" x14ac:dyDescent="0.25">
      <c r="B98"/>
      <c r="C98" s="3"/>
      <c r="D98"/>
    </row>
    <row r="99" spans="1:5" x14ac:dyDescent="0.25">
      <c r="B99"/>
      <c r="C99" s="3"/>
      <c r="D99"/>
    </row>
    <row r="100" spans="1:5" x14ac:dyDescent="0.25">
      <c r="B100"/>
      <c r="C100" s="3"/>
      <c r="D100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>A01</v>
      </c>
      <c r="B2" s="3" t="str">
        <f>IF(C2="","",'Plan+'!K2)</f>
        <v>A01</v>
      </c>
      <c r="C2" s="1" t="str">
        <f>IF('Plan+'!B2="","",'Plan+'!B2)</f>
        <v>Mastermix1</v>
      </c>
      <c r="D2" s="3">
        <f>IF(C2="","",'Plate organization+'!$B$40)</f>
        <v>4</v>
      </c>
      <c r="E2" t="str">
        <f>'Plan+'!L2</f>
        <v>Destination_Plate_1</v>
      </c>
    </row>
    <row r="3" spans="1:8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>A01</v>
      </c>
      <c r="B3" s="3" t="str">
        <f>IF(C3="","",'Plan+'!K3)</f>
        <v>B01</v>
      </c>
      <c r="C3" s="1" t="str">
        <f>IF('Plan+'!B3="","",'Plan+'!B3)</f>
        <v>Mastermix1</v>
      </c>
      <c r="D3" s="3">
        <f>IF(C3="","",'Plate organization+'!$B$40)</f>
        <v>4</v>
      </c>
      <c r="E3" t="str">
        <f>'Plan+'!L3</f>
        <v>Destination_Plate_1</v>
      </c>
    </row>
    <row r="4" spans="1:8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>A01</v>
      </c>
      <c r="B4" s="3" t="str">
        <f>IF(C4="","",'Plan+'!K4)</f>
        <v>C01</v>
      </c>
      <c r="C4" s="1" t="str">
        <f>IF('Plan+'!B4="","",'Plan+'!B4)</f>
        <v>Mastermix1</v>
      </c>
      <c r="D4" s="3">
        <f>IF(C4="","",'Plate organization+'!$B$40)</f>
        <v>4</v>
      </c>
      <c r="E4" t="str">
        <f>'Plan+'!L4</f>
        <v>Destination_Plate_1</v>
      </c>
    </row>
    <row r="5" spans="1:8" ht="17.25" x14ac:dyDescent="0.3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>A01</v>
      </c>
      <c r="B5" s="3" t="str">
        <f>IF(C5="","",'Plan+'!K5)</f>
        <v>D01</v>
      </c>
      <c r="C5" s="1" t="str">
        <f>IF('Plan+'!B5="","",'Plan+'!B5)</f>
        <v>Mastermix1</v>
      </c>
      <c r="D5" s="3">
        <f>IF(C5="","",'Plate organization+'!$B$40)</f>
        <v>4</v>
      </c>
      <c r="E5" t="str">
        <f>'Plan+'!L5</f>
        <v>Destination_Plate_1</v>
      </c>
      <c r="H5" s="75"/>
    </row>
    <row r="6" spans="1:8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/>
      </c>
      <c r="B6" s="3" t="str">
        <f>IF(C6="","",'Plan+'!K6)</f>
        <v/>
      </c>
      <c r="C6" s="1" t="str">
        <f>IF('Plan+'!B6="","",'Plan+'!B6)</f>
        <v/>
      </c>
      <c r="D6" s="3" t="str">
        <f>IF(C6="","",'Plate organization+'!$B$40)</f>
        <v/>
      </c>
      <c r="E6" t="str">
        <f>'Plan+'!L6</f>
        <v>Destination_Plate_1</v>
      </c>
    </row>
    <row r="7" spans="1:8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/>
      </c>
      <c r="B7" s="3" t="str">
        <f>IF(C7="","",'Plan+'!K7)</f>
        <v/>
      </c>
      <c r="C7" s="1" t="str">
        <f>IF('Plan+'!B7="","",'Plan+'!B7)</f>
        <v/>
      </c>
      <c r="D7" s="3" t="str">
        <f>IF(C7="","",'Plate organization+'!$B$40)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/>
      </c>
      <c r="B8" s="3" t="str">
        <f>IF(C8="","",'Plan+'!K8)</f>
        <v/>
      </c>
      <c r="C8" s="1" t="str">
        <f>IF('Plan+'!B8="","",'Plan+'!B8)</f>
        <v/>
      </c>
      <c r="D8" s="3" t="str">
        <f>IF(C8="","",'Plate organization+'!$B$40)</f>
        <v/>
      </c>
      <c r="E8" t="str">
        <f>'Plan+'!L8</f>
        <v>Destination_Plate_1</v>
      </c>
    </row>
    <row r="9" spans="1:8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/>
      </c>
      <c r="B9" s="3" t="str">
        <f>IF(C9="","",'Plan+'!K9)</f>
        <v/>
      </c>
      <c r="C9" s="1" t="str">
        <f>IF('Plan+'!B9="","",'Plan+'!B9)</f>
        <v/>
      </c>
      <c r="D9" s="3" t="str">
        <f>IF(C9="","",'Plate organization+'!$B$40)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/>
      </c>
      <c r="B10" s="3" t="str">
        <f>IF(C10="","",'Plan+'!K10)</f>
        <v/>
      </c>
      <c r="C10" s="1" t="str">
        <f>IF('Plan+'!B10="","",'Plan+'!B10)</f>
        <v/>
      </c>
      <c r="D10" s="3" t="str">
        <f>IF(C10="","",'Plate organization+'!$B$40)</f>
        <v/>
      </c>
      <c r="E10" t="str">
        <f>'Plan+'!L10</f>
        <v>Destination_Plate_1</v>
      </c>
    </row>
    <row r="11" spans="1:8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/>
      </c>
      <c r="B11" s="3" t="str">
        <f>IF(C11="","",'Plan+'!K11)</f>
        <v/>
      </c>
      <c r="C11" s="1" t="str">
        <f>IF('Plan+'!B11="","",'Plan+'!B11)</f>
        <v/>
      </c>
      <c r="D11" s="3" t="str">
        <f>IF(C11="","",'Plate organization+'!$B$40)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/>
      </c>
      <c r="B12" s="3" t="str">
        <f>IF(C12="","",'Plan+'!K12)</f>
        <v/>
      </c>
      <c r="C12" s="1" t="str">
        <f>IF('Plan+'!B12="","",'Plan+'!B12)</f>
        <v/>
      </c>
      <c r="D12" s="3" t="str">
        <f>IF(C12="","",'Plate organization+'!$B$40)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/>
      </c>
      <c r="B13" s="3" t="str">
        <f>IF(C13="","",'Plan+'!K13)</f>
        <v/>
      </c>
      <c r="C13" s="1" t="str">
        <f>IF('Plan+'!B13="","",'Plan+'!B13)</f>
        <v/>
      </c>
      <c r="D13" s="3" t="str">
        <f>IF(C13="","",'Plate organization+'!$B$40)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/>
      </c>
      <c r="B14" s="3" t="str">
        <f>IF(C14="","",'Plan+'!K14)</f>
        <v/>
      </c>
      <c r="C14" s="1" t="str">
        <f>IF('Plan+'!B14="","",'Plan+'!B14)</f>
        <v/>
      </c>
      <c r="D14" s="3" t="str">
        <f>IF(C14="","",'Plate organization+'!$B$40)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/>
      </c>
      <c r="B15" s="3" t="str">
        <f>IF(C15="","",'Plan+'!K15)</f>
        <v/>
      </c>
      <c r="C15" s="1" t="str">
        <f>IF('Plan+'!B15="","",'Plan+'!B15)</f>
        <v/>
      </c>
      <c r="D15" s="3" t="str">
        <f>IF(C15="","",'Plate organization+'!$B$40)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/>
      </c>
      <c r="B16" s="3" t="str">
        <f>IF(C16="","",'Plan+'!K16)</f>
        <v/>
      </c>
      <c r="C16" s="1" t="str">
        <f>IF('Plan+'!B16="","",'Plan+'!B16)</f>
        <v/>
      </c>
      <c r="D16" s="3" t="str">
        <f>IF(C16="","",'Plate organization+'!$B$40)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/>
      </c>
      <c r="B17" s="3" t="str">
        <f>IF(C17="","",'Plan+'!K17)</f>
        <v/>
      </c>
      <c r="C17" s="1" t="str">
        <f>IF('Plan+'!B17="","",'Plan+'!B17)</f>
        <v/>
      </c>
      <c r="D17" s="3" t="str">
        <f>IF(C17="","",'Plate organization+'!$B$40)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/>
      </c>
      <c r="B18" s="3" t="str">
        <f>IF(C18="","",'Plan+'!K18)</f>
        <v/>
      </c>
      <c r="C18" s="1" t="str">
        <f>IF('Plan+'!B18="","",'Plan+'!B18)</f>
        <v/>
      </c>
      <c r="D18" s="3" t="str">
        <f>IF(C18="","",'Plate organization+'!$B$40)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/>
      </c>
      <c r="B19" s="3" t="str">
        <f>IF(C19="","",'Plan+'!K19)</f>
        <v/>
      </c>
      <c r="C19" s="1" t="str">
        <f>IF('Plan+'!B19="","",'Plan+'!B19)</f>
        <v/>
      </c>
      <c r="D19" s="3" t="str">
        <f>IF(C19="","",'Plate organization+'!$B$40)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/>
      </c>
      <c r="B20" s="3" t="str">
        <f>IF(C20="","",'Plan+'!K20)</f>
        <v/>
      </c>
      <c r="C20" s="1" t="str">
        <f>IF('Plan+'!B20="","",'Plan+'!B20)</f>
        <v/>
      </c>
      <c r="D20" s="3" t="str">
        <f>IF(C20="","",'Plate organization+'!$B$40)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/>
      </c>
      <c r="B21" s="3" t="str">
        <f>IF(C21="","",'Plan+'!K21)</f>
        <v/>
      </c>
      <c r="C21" s="1" t="str">
        <f>IF('Plan+'!B21="","",'Plan+'!B21)</f>
        <v/>
      </c>
      <c r="D21" s="3" t="str">
        <f>IF(C21="","",'Plate organization+'!$B$40)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/>
      </c>
      <c r="B22" s="3" t="str">
        <f>IF(C22="","",'Plan+'!K22)</f>
        <v/>
      </c>
      <c r="C22" s="1" t="str">
        <f>IF('Plan+'!B22="","",'Plan+'!B22)</f>
        <v/>
      </c>
      <c r="D22" s="3" t="str">
        <f>IF(C22="","",'Plate organization+'!$B$40)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/>
      </c>
      <c r="B23" s="3" t="str">
        <f>IF(C23="","",'Plan+'!K23)</f>
        <v/>
      </c>
      <c r="C23" s="1" t="str">
        <f>IF('Plan+'!B23="","",'Plan+'!B23)</f>
        <v/>
      </c>
      <c r="D23" s="3" t="str">
        <f>IF(C23="","",'Plate organization+'!$B$40)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/>
      </c>
      <c r="B24" s="3" t="str">
        <f>IF(C24="","",'Plan+'!K24)</f>
        <v/>
      </c>
      <c r="C24" s="1" t="str">
        <f>IF('Plan+'!B24="","",'Plan+'!B24)</f>
        <v/>
      </c>
      <c r="D24" s="3" t="str">
        <f>IF(C24="","",'Plate organization+'!$B$40)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/>
      </c>
      <c r="B25" s="3" t="str">
        <f>IF(C25="","",'Plan+'!K25)</f>
        <v/>
      </c>
      <c r="C25" s="1" t="str">
        <f>IF('Plan+'!B25="","",'Plan+'!B25)</f>
        <v/>
      </c>
      <c r="D25" s="3" t="str">
        <f>IF(C25="","",'Plate organization+'!$B$40)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/>
      </c>
      <c r="B26" s="3" t="str">
        <f>IF(C26="","",'Plan+'!K26)</f>
        <v/>
      </c>
      <c r="C26" s="1" t="str">
        <f>IF('Plan+'!B26="","",'Plan+'!B26)</f>
        <v/>
      </c>
      <c r="D26" s="3" t="str">
        <f>IF(C26="","",'Plate organization+'!$B$40)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/>
      </c>
      <c r="B27" s="3" t="str">
        <f>IF(C27="","",'Plan+'!K27)</f>
        <v/>
      </c>
      <c r="C27" s="1" t="str">
        <f>IF('Plan+'!B27="","",'Plan+'!B27)</f>
        <v/>
      </c>
      <c r="D27" s="3" t="str">
        <f>IF(C27="","",'Plate organization+'!$B$40)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/>
      </c>
      <c r="B28" s="3" t="str">
        <f>IF(C28="","",'Plan+'!K28)</f>
        <v/>
      </c>
      <c r="C28" s="1" t="str">
        <f>IF('Plan+'!B28="","",'Plan+'!B28)</f>
        <v/>
      </c>
      <c r="D28" s="3" t="str">
        <f>IF(C28="","",'Plate organization+'!$B$40)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/>
      </c>
      <c r="B29" s="3" t="str">
        <f>IF(C29="","",'Plan+'!K29)</f>
        <v/>
      </c>
      <c r="C29" s="1" t="str">
        <f>IF('Plan+'!B29="","",'Plan+'!B29)</f>
        <v/>
      </c>
      <c r="D29" s="3" t="str">
        <f>IF(C29="","",'Plate organization+'!$B$40)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/>
      </c>
      <c r="B30" s="3" t="str">
        <f>IF(C30="","",'Plan+'!K30)</f>
        <v/>
      </c>
      <c r="C30" s="1" t="str">
        <f>IF('Plan+'!B30="","",'Plan+'!B30)</f>
        <v/>
      </c>
      <c r="D30" s="3" t="str">
        <f>IF(C30="","",'Plate organization+'!$B$40)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/>
      </c>
      <c r="B31" s="3" t="str">
        <f>IF(C31="","",'Plan+'!K31)</f>
        <v/>
      </c>
      <c r="C31" s="1" t="str">
        <f>IF('Plan+'!B31="","",'Plan+'!B31)</f>
        <v/>
      </c>
      <c r="D31" s="3" t="str">
        <f>IF(C31="","",'Plate organization+'!$B$40)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/>
      </c>
      <c r="B32" s="3" t="str">
        <f>IF(C32="","",'Plan+'!K32)</f>
        <v/>
      </c>
      <c r="C32" s="1" t="str">
        <f>IF('Plan+'!B32="","",'Plan+'!B32)</f>
        <v/>
      </c>
      <c r="D32" s="3" t="str">
        <f>IF(C32="","",'Plate organization+'!$B$40)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/>
      </c>
      <c r="B33" s="3" t="str">
        <f>IF(C33="","",'Plan+'!K33)</f>
        <v/>
      </c>
      <c r="C33" s="1" t="str">
        <f>IF('Plan+'!B33="","",'Plan+'!B33)</f>
        <v/>
      </c>
      <c r="D33" s="3" t="str">
        <f>IF(C33="","",'Plate organization+'!$B$40)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/>
      </c>
      <c r="B34" s="3" t="str">
        <f>IF(C34="","",'Plan+'!K34)</f>
        <v/>
      </c>
      <c r="C34" s="1" t="str">
        <f>IF('Plan+'!B34="","",'Plan+'!B34)</f>
        <v/>
      </c>
      <c r="D34" s="3" t="str">
        <f>IF(C34="","",'Plate organization+'!$B$40)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/>
      </c>
      <c r="B35" s="3" t="str">
        <f>IF(C35="","",'Plan+'!K35)</f>
        <v/>
      </c>
      <c r="C35" s="1" t="str">
        <f>IF('Plan+'!B35="","",'Plan+'!B35)</f>
        <v/>
      </c>
      <c r="D35" s="3" t="str">
        <f>IF(C35="","",'Plate organization+'!$B$40)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/>
      </c>
      <c r="B36" s="3" t="str">
        <f>IF(C36="","",'Plan+'!K36)</f>
        <v/>
      </c>
      <c r="C36" s="1" t="str">
        <f>IF('Plan+'!B36="","",'Plan+'!B36)</f>
        <v/>
      </c>
      <c r="D36" s="3" t="str">
        <f>IF(C36="","",'Plate organization+'!$B$40)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/>
      </c>
      <c r="B37" s="3" t="str">
        <f>IF(C37="","",'Plan+'!K37)</f>
        <v/>
      </c>
      <c r="C37" s="1" t="str">
        <f>IF('Plan+'!B37="","",'Plan+'!B37)</f>
        <v/>
      </c>
      <c r="D37" s="3" t="str">
        <f>IF(C37="","",'Plate organization+'!$B$40)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/>
      </c>
      <c r="B38" s="3" t="str">
        <f>IF(C38="","",'Plan+'!K38)</f>
        <v/>
      </c>
      <c r="C38" s="1" t="str">
        <f>IF('Plan+'!B38="","",'Plan+'!B38)</f>
        <v/>
      </c>
      <c r="D38" s="3" t="str">
        <f>IF(C38="","",'Plate organization+'!$B$40)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/>
      </c>
      <c r="B39" s="3" t="str">
        <f>IF(C39="","",'Plan+'!K39)</f>
        <v/>
      </c>
      <c r="C39" s="1" t="str">
        <f>IF('Plan+'!B39="","",'Plan+'!B39)</f>
        <v/>
      </c>
      <c r="D39" s="3" t="str">
        <f>IF(C39="","",'Plate organization+'!$B$40)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/>
      </c>
      <c r="B40" s="3" t="str">
        <f>IF(C40="","",'Plan+'!K40)</f>
        <v/>
      </c>
      <c r="C40" s="1" t="str">
        <f>IF('Plan+'!B40="","",'Plan+'!B40)</f>
        <v/>
      </c>
      <c r="D40" s="3" t="str">
        <f>IF(C40="","",'Plate organization+'!$B$40)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/>
      </c>
      <c r="B41" s="3" t="str">
        <f>IF(C41="","",'Plan+'!K41)</f>
        <v/>
      </c>
      <c r="C41" s="1" t="str">
        <f>IF('Plan+'!B41="","",'Plan+'!B41)</f>
        <v/>
      </c>
      <c r="D41" s="3" t="str">
        <f>IF(C41="","",'Plate organization+'!$B$40)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/>
      </c>
      <c r="B42" s="3" t="str">
        <f>IF(C42="","",'Plan+'!K42)</f>
        <v/>
      </c>
      <c r="C42" s="1" t="str">
        <f>IF('Plan+'!B42="","",'Plan+'!B42)</f>
        <v/>
      </c>
      <c r="D42" s="3" t="str">
        <f>IF(C42="","",'Plate organization+'!$B$40)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/>
      </c>
      <c r="B43" s="3" t="str">
        <f>IF(C43="","",'Plan+'!K43)</f>
        <v/>
      </c>
      <c r="C43" s="1" t="str">
        <f>IF('Plan+'!B43="","",'Plan+'!B43)</f>
        <v/>
      </c>
      <c r="D43" s="3" t="str">
        <f>IF(C43="","",'Plate organization+'!$B$40)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/>
      </c>
      <c r="B44" s="3" t="str">
        <f>IF(C44="","",'Plan+'!K44)</f>
        <v/>
      </c>
      <c r="C44" s="1" t="str">
        <f>IF('Plan+'!B44="","",'Plan+'!B44)</f>
        <v/>
      </c>
      <c r="D44" s="3" t="str">
        <f>IF(C44="","",'Plate organization+'!$B$40)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/>
      </c>
      <c r="B45" s="3" t="str">
        <f>IF(C45="","",'Plan+'!K45)</f>
        <v/>
      </c>
      <c r="C45" s="1" t="str">
        <f>IF('Plan+'!B45="","",'Plan+'!B45)</f>
        <v/>
      </c>
      <c r="D45" s="3" t="str">
        <f>IF(C45="","",'Plate organization+'!$B$40)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/>
      </c>
      <c r="B46" s="3" t="str">
        <f>IF(C46="","",'Plan+'!K46)</f>
        <v/>
      </c>
      <c r="C46" s="1" t="str">
        <f>IF('Plan+'!B46="","",'Plan+'!B46)</f>
        <v/>
      </c>
      <c r="D46" s="3" t="str">
        <f>IF(C46="","",'Plate organization+'!$B$40)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/>
      </c>
      <c r="B47" s="3" t="str">
        <f>IF(C47="","",'Plan+'!K47)</f>
        <v/>
      </c>
      <c r="C47" s="1" t="str">
        <f>IF('Plan+'!B47="","",'Plan+'!B47)</f>
        <v/>
      </c>
      <c r="D47" s="3" t="str">
        <f>IF(C47="","",'Plate organization+'!$B$40)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/>
      </c>
      <c r="B48" s="3" t="str">
        <f>IF(C48="","",'Plan+'!K48)</f>
        <v/>
      </c>
      <c r="C48" s="1" t="str">
        <f>IF('Plan+'!B48="","",'Plan+'!B48)</f>
        <v/>
      </c>
      <c r="D48" s="3" t="str">
        <f>IF(C48="","",'Plate organization+'!$B$40)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/>
      </c>
      <c r="B49" s="3" t="str">
        <f>IF(C49="","",'Plan+'!K49)</f>
        <v/>
      </c>
      <c r="C49" s="1" t="str">
        <f>IF('Plan+'!B49="","",'Plan+'!B49)</f>
        <v/>
      </c>
      <c r="D49" s="3" t="str">
        <f>IF(C49="","",'Plate organization+'!$B$40)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/>
      </c>
      <c r="B50" s="3" t="str">
        <f>IF(C50="","",'Plan+'!K50)</f>
        <v/>
      </c>
      <c r="C50" s="1" t="str">
        <f>IF('Plan+'!B50="","",'Plan+'!B50)</f>
        <v/>
      </c>
      <c r="D50" s="3" t="str">
        <f>IF(C50="","",'Plate organization+'!$B$40)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IF('Plan+'!B51="","",'Plan+'!B51)</f>
        <v/>
      </c>
      <c r="D51" s="3" t="str">
        <f>IF(C51="","",'Plate organization+'!$B$40)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IF('Plan+'!B52="","",'Plan+'!B52)</f>
        <v/>
      </c>
      <c r="D52" s="3" t="str">
        <f>IF(C52="","",'Plate organization+'!$B$40)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IF('Plan+'!B53="","",'Plan+'!B53)</f>
        <v/>
      </c>
      <c r="D53" s="3" t="str">
        <f>IF(C53="","",'Plate organization+'!$B$40)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IF('Plan+'!B54="","",'Plan+'!B54)</f>
        <v/>
      </c>
      <c r="D54" s="3" t="str">
        <f>IF(C54="","",'Plate organization+'!$B$40)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IF('Plan+'!B55="","",'Plan+'!B55)</f>
        <v/>
      </c>
      <c r="D55" s="3" t="str">
        <f>IF(C55="","",'Plate organization+'!$B$40)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IF('Plan+'!B56="","",'Plan+'!B56)</f>
        <v/>
      </c>
      <c r="D56" s="3" t="str">
        <f>IF(C56="","",'Plate organization+'!$B$40)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IF('Plan+'!B57="","",'Plan+'!B57)</f>
        <v/>
      </c>
      <c r="D57" s="3" t="str">
        <f>IF(C57="","",'Plate organization+'!$B$40)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IF('Plan+'!B58="","",'Plan+'!B58)</f>
        <v/>
      </c>
      <c r="D58" s="3" t="str">
        <f>IF(C58="","",'Plate organization+'!$B$40)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IF('Plan+'!B59="","",'Plan+'!B59)</f>
        <v/>
      </c>
      <c r="D59" s="3" t="str">
        <f>IF(C59="","",'Plate organization+'!$B$40)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IF('Plan+'!B60="","",'Plan+'!B60)</f>
        <v/>
      </c>
      <c r="D60" s="3" t="str">
        <f>IF(C60="","",'Plate organization+'!$B$40)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IF('Plan+'!B61="","",'Plan+'!B61)</f>
        <v/>
      </c>
      <c r="D61" s="3" t="str">
        <f>IF(C61="","",'Plate organization+'!$B$40)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IF('Plan+'!B62="","",'Plan+'!B62)</f>
        <v/>
      </c>
      <c r="D62" s="3" t="str">
        <f>IF(C62="","",'Plate organization+'!$B$40)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IF('Plan+'!B63="","",'Plan+'!B63)</f>
        <v/>
      </c>
      <c r="D63" s="3" t="str">
        <f>IF(C63="","",'Plate organization+'!$B$40)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IF('Plan+'!B64="","",'Plan+'!B64)</f>
        <v/>
      </c>
      <c r="D64" s="3" t="str">
        <f>IF(C64="","",'Plate organization+'!$B$40)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IF('Plan+'!B65="","",'Plan+'!B65)</f>
        <v/>
      </c>
      <c r="D65" s="3" t="str">
        <f>IF(C65="","",'Plate organization+'!$B$40)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IF('Plan+'!B66="","",'Plan+'!B66)</f>
        <v/>
      </c>
      <c r="D66" s="3" t="str">
        <f>IF(C66="","",'Plate organization+'!$B$40)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IF('Plan+'!B67="","",'Plan+'!B67)</f>
        <v/>
      </c>
      <c r="D67" s="3" t="str">
        <f>IF(C67="","",'Plate organization+'!$B$40)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IF('Plan+'!B68="","",'Plan+'!B68)</f>
        <v/>
      </c>
      <c r="D68" s="3" t="str">
        <f>IF(C68="","",'Plate organization+'!$B$40)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IF('Plan+'!B69="","",'Plan+'!B69)</f>
        <v/>
      </c>
      <c r="D69" s="3" t="str">
        <f>IF(C69="","",'Plate organization+'!$B$40)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IF('Plan+'!B70="","",'Plan+'!B70)</f>
        <v/>
      </c>
      <c r="D70" s="3" t="str">
        <f>IF(C70="","",'Plate organization+'!$B$40)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IF('Plan+'!B71="","",'Plan+'!B71)</f>
        <v/>
      </c>
      <c r="D71" s="3" t="str">
        <f>IF(C71="","",'Plate organization+'!$B$40)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IF('Plan+'!B72="","",'Plan+'!B72)</f>
        <v/>
      </c>
      <c r="D72" s="3" t="str">
        <f>IF(C72="","",'Plate organization+'!$B$40)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IF('Plan+'!B73="","",'Plan+'!B73)</f>
        <v/>
      </c>
      <c r="D73" s="3" t="str">
        <f>IF(C73="","",'Plate organization+'!$B$40)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IF('Plan+'!B74="","",'Plan+'!B74)</f>
        <v/>
      </c>
      <c r="D74" s="3" t="str">
        <f>IF(C74="","",'Plate organization+'!$B$40)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IF('Plan+'!B75="","",'Plan+'!B75)</f>
        <v/>
      </c>
      <c r="D75" s="3" t="str">
        <f>IF(C75="","",'Plate organization+'!$B$40)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IF('Plan+'!B76="","",'Plan+'!B76)</f>
        <v/>
      </c>
      <c r="D76" s="3" t="str">
        <f>IF(C76="","",'Plate organization+'!$B$40)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IF('Plan+'!B77="","",'Plan+'!B77)</f>
        <v/>
      </c>
      <c r="D77" s="3" t="str">
        <f>IF(C77="","",'Plate organization+'!$B$40)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IF('Plan+'!B78="","",'Plan+'!B78)</f>
        <v/>
      </c>
      <c r="D78" s="3" t="str">
        <f>IF(C78="","",'Plate organization+'!$B$40)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IF('Plan+'!B79="","",'Plan+'!B79)</f>
        <v/>
      </c>
      <c r="D79" s="3" t="str">
        <f>IF(C79="","",'Plate organization+'!$B$40)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IF('Plan+'!B80="","",'Plan+'!B80)</f>
        <v/>
      </c>
      <c r="D80" s="3" t="str">
        <f>IF(C80="","",'Plate organization+'!$B$40)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IF('Plan+'!B81="","",'Plan+'!B81)</f>
        <v/>
      </c>
      <c r="D81" s="3" t="str">
        <f>IF(C81="","",'Plate organization+'!$B$40)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IF('Plan+'!B82="","",'Plan+'!B82)</f>
        <v/>
      </c>
      <c r="D82" s="3" t="str">
        <f>IF(C82="","",'Plate organization+'!$B$40)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IF('Plan+'!B83="","",'Plan+'!B83)</f>
        <v/>
      </c>
      <c r="D83" s="3" t="str">
        <f>IF(C83="","",'Plate organization+'!$B$40)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IF('Plan+'!B84="","",'Plan+'!B84)</f>
        <v/>
      </c>
      <c r="D84" s="3" t="str">
        <f>IF(C84="","",'Plate organization+'!$B$40)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IF('Plan+'!B85="","",'Plan+'!B85)</f>
        <v/>
      </c>
      <c r="D85" s="3" t="str">
        <f>IF(C85="","",'Plate organization+'!$B$40)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IF('Plan+'!B86="","",'Plan+'!B86)</f>
        <v/>
      </c>
      <c r="D86" s="3" t="str">
        <f>IF(C86="","",'Plate organization+'!$B$40)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IF('Plan+'!B87="","",'Plan+'!B87)</f>
        <v/>
      </c>
      <c r="D87" s="3" t="str">
        <f>IF(C87="","",'Plate organization+'!$B$40)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IF('Plan+'!B88="","",'Plan+'!B88)</f>
        <v/>
      </c>
      <c r="D88" s="3" t="str">
        <f>IF(C88="","",'Plate organization+'!$B$40)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IF('Plan+'!B89="","",'Plan+'!B89)</f>
        <v/>
      </c>
      <c r="D89" s="3" t="str">
        <f>IF(C89="","",'Plate organization+'!$B$40)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IF('Plan+'!B90="","",'Plan+'!B90)</f>
        <v/>
      </c>
      <c r="D90" s="3" t="str">
        <f>IF(C90="","",'Plate organization+'!$B$40)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IF('Plan+'!B91="","",'Plan+'!B91)</f>
        <v/>
      </c>
      <c r="D91" s="3" t="str">
        <f>IF(C91="","",'Plate organization+'!$B$40)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IF('Plan+'!B92="","",'Plan+'!B92)</f>
        <v/>
      </c>
      <c r="D92" s="3" t="str">
        <f>IF(C92="","",'Plate organization+'!$B$40)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IF('Plan+'!B93="","",'Plan+'!B93)</f>
        <v/>
      </c>
      <c r="D93" s="3" t="str">
        <f>IF(C93="","",'Plate organization+'!$B$40)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IF('Plan+'!B94="","",'Plan+'!B94)</f>
        <v/>
      </c>
      <c r="D94" s="3" t="str">
        <f>IF(C94="","",'Plate organization+'!$B$40)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IF('Plan+'!B95="","",'Plan+'!B95)</f>
        <v/>
      </c>
      <c r="D95" s="3" t="str">
        <f>IF(C95="","",'Plate organization+'!$B$40)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IF('Plan+'!B96="","",'Plan+'!B96)</f>
        <v/>
      </c>
      <c r="D96" s="3" t="str">
        <f>IF(C96="","",'Plate organization+'!$B$40)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IF('Plan+'!B97="","",'Plan+'!B97)</f>
        <v/>
      </c>
      <c r="D97" s="3" t="str">
        <f>IF(C97="","",'Plate organization+'!$B$40)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C98" s="3"/>
      <c r="D98"/>
    </row>
    <row r="99" spans="1:5" x14ac:dyDescent="0.25">
      <c r="A99" s="3" t="str">
        <f>IF(C99="","",VLOOKUP(C99,Source_Plate!$I$2:$J$97,2,FALSE))</f>
        <v/>
      </c>
      <c r="B99"/>
      <c r="C99" s="3"/>
      <c r="D99"/>
    </row>
    <row r="100" spans="1:5" x14ac:dyDescent="0.25">
      <c r="A100" s="3" t="str">
        <f>IF(C100="","",VLOOKUP(C100,Source_Plate!$I$2:$J$97,2,FALSE))</f>
        <v/>
      </c>
      <c r="B100"/>
      <c r="C100" s="3"/>
      <c r="D100"/>
    </row>
    <row r="101" spans="1:5" x14ac:dyDescent="0.25">
      <c r="A101" s="3" t="str">
        <f>IF(C101="","",VLOOKUP(C101,Source_Plate!$I$2:$J$97,2,FALSE))</f>
        <v/>
      </c>
      <c r="B101"/>
      <c r="C101" s="3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8"/>
  <sheetViews>
    <sheetView workbookViewId="0">
      <selection activeCell="H45" sqref="H45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A01</v>
      </c>
      <c r="B2" s="3" t="str">
        <f>IF(C2="","",'Plan+'!K2)</f>
        <v>A01</v>
      </c>
      <c r="C2" s="2" t="str">
        <f>IF('Plan+'!D2="","",'Plan+'!D2)</f>
        <v>Psyn</v>
      </c>
      <c r="D2" s="3">
        <f>IF(C2="","",'Plate organization+'!$B$38)</f>
        <v>2</v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A01</v>
      </c>
      <c r="B3" s="3" t="str">
        <f>IF(C3="","",'Plan+'!K3)</f>
        <v>B01</v>
      </c>
      <c r="C3" s="2" t="str">
        <f>IF('Plan+'!D3="","",'Plan+'!D3)</f>
        <v>Psyn</v>
      </c>
      <c r="D3" s="3">
        <f>IF(C3="","",'Plate organization+'!$B$38)</f>
        <v>2</v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A02</v>
      </c>
      <c r="B4" s="3" t="str">
        <f>IF(C4="","",'Plan+'!K4)</f>
        <v>C01</v>
      </c>
      <c r="C4" s="2" t="str">
        <f>IF('Plan+'!D4="","",'Plan+'!D4)</f>
        <v>PH36</v>
      </c>
      <c r="D4" s="3">
        <f>IF(C4="","",'Plate organization+'!$B$38)</f>
        <v>2</v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A02</v>
      </c>
      <c r="B5" s="3" t="str">
        <f>IF(C5="","",'Plan+'!K5)</f>
        <v>D01</v>
      </c>
      <c r="C5" s="2" t="str">
        <f>IF('Plan+'!D5="","",'Plan+'!D5)</f>
        <v>PH36</v>
      </c>
      <c r="D5" s="3">
        <f>IF(C5="","",'Plate organization+'!$B$38)</f>
        <v>2</v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IF('Plan+'!D6="","",'Plan+'!D6)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IF('Plan+'!D7="","",'Plan+'!D7)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IF('Plan+'!D8="","",'Plan+'!D8)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IF('Plan+'!D9="","",'Plan+'!D9)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IF('Plan+'!D10="","",'Plan+'!D10)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IF('Plan+'!D11="","",'Plan+'!D11)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IF('Plan+'!D12="","",'Plan+'!D12)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IF('Plan+'!D13="","",'Plan+'!D13)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IF('Plan+'!D14="","",'Plan+'!D14)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IF('Plan+'!D15="","",'Plan+'!D15)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IF('Plan+'!D16="","",'Plan+'!D16)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IF('Plan+'!D17="","",'Plan+'!D17)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IF('Plan+'!D18="","",'Plan+'!D18)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IF('Plan+'!D19="","",'Plan+'!D19)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IF('Plan+'!D20="","",'Plan+'!D20)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IF('Plan+'!D21="","",'Plan+'!D21)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IF('Plan+'!D22="","",'Plan+'!D22)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IF('Plan+'!D23="","",'Plan+'!D23)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IF('Plan+'!D24="","",'Plan+'!D24)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IF('Plan+'!D25="","",'Plan+'!D25)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IF('Plan+'!D26="","",'Plan+'!D26)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IF('Plan+'!D27="","",'Plan+'!D27)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IF('Plan+'!D28="","",'Plan+'!D28)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IF('Plan+'!D29="","",'Plan+'!D29)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IF('Plan+'!D30="","",'Plan+'!D30)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IF('Plan+'!D31="","",'Plan+'!D31)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IF('Plan+'!D32="","",'Plan+'!D32)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IF('Plan+'!D33="","",'Plan+'!D33)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IF('Plan+'!D34="","",'Plan+'!D34)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IF('Plan+'!D35="","",'Plan+'!D35)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IF('Plan+'!D36="","",'Plan+'!D36)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IF('Plan+'!D37="","",'Plan+'!D37)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IF('Plan+'!D38="","",'Plan+'!D38)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IF('Plan+'!D39="","",'Plan+'!D39)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IF('Plan+'!D40="","",'Plan+'!D40)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IF('Plan+'!D41="","",'Plan+'!D41)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IF('Plan+'!D42="","",'Plan+'!D42)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IF('Plan+'!D43="","",'Plan+'!D43)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IF('Plan+'!D44="","",'Plan+'!D44)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IF('Plan+'!D45="","",'Plan+'!D45)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IF('Plan+'!D46="","",'Plan+'!D46)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IF('Plan+'!D47="","",'Plan+'!D47)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IF('Plan+'!D48="","",'Plan+'!D48)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IF('Plan+'!D49="","",'Plan+'!D49)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IF('Plan+'!D50="","",'Plan+'!D50)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IF('Plan+'!D51="","",'Plan+'!D51)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IF('Plan+'!D52="","",'Plan+'!D52)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IF('Plan+'!D53="","",'Plan+'!D53)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IF('Plan+'!D54="","",'Plan+'!D54)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IF('Plan+'!D55="","",'Plan+'!D55)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IF('Plan+'!D56="","",'Plan+'!D56)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IF('Plan+'!D57="","",'Plan+'!D57)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IF('Plan+'!D58="","",'Plan+'!D58)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IF('Plan+'!D59="","",'Plan+'!D59)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IF('Plan+'!D60="","",'Plan+'!D60)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IF('Plan+'!D61="","",'Plan+'!D61)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IF('Plan+'!D62="","",'Plan+'!D62)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IF('Plan+'!D63="","",'Plan+'!D63)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IF('Plan+'!D64="","",'Plan+'!D64)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IF('Plan+'!D65="","",'Plan+'!D65)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IF('Plan+'!D66="","",'Plan+'!D66)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IF('Plan+'!D67="","",'Plan+'!D67)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IF('Plan+'!D68="","",'Plan+'!D68)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IF('Plan+'!D69="","",'Plan+'!D69)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IF('Plan+'!D70="","",'Plan+'!D70)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IF('Plan+'!D71="","",'Plan+'!D71)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IF('Plan+'!D72="","",'Plan+'!D72)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IF('Plan+'!D73="","",'Plan+'!D73)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IF('Plan+'!D74="","",'Plan+'!D74)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IF('Plan+'!D75="","",'Plan+'!D75)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IF('Plan+'!D76="","",'Plan+'!D76)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IF('Plan+'!D77="","",'Plan+'!D77)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IF('Plan+'!D78="","",'Plan+'!D78)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IF('Plan+'!D79="","",'Plan+'!D79)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IF('Plan+'!D80="","",'Plan+'!D80)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IF('Plan+'!D81="","",'Plan+'!D81)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IF('Plan+'!D82="","",'Plan+'!D82)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IF('Plan+'!D83="","",'Plan+'!D83)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IF('Plan+'!D84="","",'Plan+'!D84)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IF('Plan+'!D85="","",'Plan+'!D85)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IF('Plan+'!D86="","",'Plan+'!D86)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IF('Plan+'!D87="","",'Plan+'!D87)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IF('Plan+'!D88="","",'Plan+'!D88)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IF('Plan+'!D89="","",'Plan+'!D89)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IF('Plan+'!D90="","",'Plan+'!D90)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IF('Plan+'!D91="","",'Plan+'!D91)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IF('Plan+'!D92="","",'Plan+'!D92)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IF('Plan+'!D93="","",'Plan+'!D93)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IF('Plan+'!D94="","",'Plan+'!D94)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IF('Plan+'!D95="","",'Plan+'!D95)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IF('Plan+'!D96="","",'Plan+'!D96)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IF('Plan+'!D97="","",'Plan+'!D97)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8"/>
  <sheetViews>
    <sheetView workbookViewId="0">
      <selection activeCell="B44" sqref="B43:B44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IF('Plan+'!C2="","",'Plan+'!C2)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IF('Plan+'!C3="","",'Plan+'!C3)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IF('Plan+'!C4="","",'Plan+'!C4)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IF('Plan+'!C5="","",'Plan+'!C5)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IF('Plan+'!C6="","",'Plan+'!C6)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IF('Plan+'!C7="","",'Plan+'!C7)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IF('Plan+'!C8="","",'Plan+'!C8)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IF('Plan+'!C9="","",'Plan+'!C9)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IF('Plan+'!C10="","",'Plan+'!C10)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IF('Plan+'!C11="","",'Plan+'!C11)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IF('Plan+'!C12="","",'Plan+'!C12)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IF('Plan+'!C13="","",'Plan+'!C13)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IF('Plan+'!C14="","",'Plan+'!C14)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IF('Plan+'!C15="","",'Plan+'!C15)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IF('Plan+'!C16="","",'Plan+'!C16)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IF('Plan+'!C17="","",'Plan+'!C17)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IF('Plan+'!C18="","",'Plan+'!C18)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IF('Plan+'!C19="","",'Plan+'!C19)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IF('Plan+'!C20="","",'Plan+'!C20)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IF('Plan+'!C21="","",'Plan+'!C21)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IF('Plan+'!C22="","",'Plan+'!C22)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IF('Plan+'!C23="","",'Plan+'!C23)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IF('Plan+'!C24="","",'Plan+'!C24)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IF('Plan+'!C25="","",'Plan+'!C25)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IF('Plan+'!C26="","",'Plan+'!C26)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IF('Plan+'!C27="","",'Plan+'!C27)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IF('Plan+'!C28="","",'Plan+'!C28)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IF('Plan+'!C29="","",'Plan+'!C29)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IF('Plan+'!C30="","",'Plan+'!C30)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IF('Plan+'!C31="","",'Plan+'!C31)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IF('Plan+'!C32="","",'Plan+'!C32)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IF('Plan+'!C33="","",'Plan+'!C33)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IF('Plan+'!C34="","",'Plan+'!C34)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IF('Plan+'!C35="","",'Plan+'!C35)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IF('Plan+'!C36="","",'Plan+'!C36)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IF('Plan+'!C37="","",'Plan+'!C37)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IF('Plan+'!C38="","",'Plan+'!C38)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IF('Plan+'!C39="","",'Plan+'!C39)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IF('Plan+'!C40="","",'Plan+'!C40)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IF('Plan+'!C41="","",'Plan+'!C41)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IF('Plan+'!C42="","",'Plan+'!C42)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IF('Plan+'!C43="","",'Plan+'!C43)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IF('Plan+'!C44="","",'Plan+'!C44)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IF('Plan+'!C45="","",'Plan+'!C45)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IF('Plan+'!C46="","",'Plan+'!C46)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IF('Plan+'!C47="","",'Plan+'!C47)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IF('Plan+'!C48="","",'Plan+'!C48)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IF('Plan+'!C49="","",'Plan+'!C49)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IF('Plan+'!C50="","",'Plan+'!C50)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IF('Plan+'!C51="","",'Plan+'!C51)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IF('Plan+'!C52="","",'Plan+'!C52)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IF('Plan+'!C53="","",'Plan+'!C53)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IF('Plan+'!C54="","",'Plan+'!C54)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IF('Plan+'!C55="","",'Plan+'!C55)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IF('Plan+'!C56="","",'Plan+'!C56)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IF('Plan+'!C57="","",'Plan+'!C57)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IF('Plan+'!C58="","",'Plan+'!C58)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IF('Plan+'!C59="","",'Plan+'!C59)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IF('Plan+'!C60="","",'Plan+'!C60)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IF('Plan+'!C61="","",'Plan+'!C61)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IF('Plan+'!C62="","",'Plan+'!C62)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IF('Plan+'!C63="","",'Plan+'!C63)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IF('Plan+'!C64="","",'Plan+'!C64)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IF('Plan+'!C65="","",'Plan+'!C65)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IF('Plan+'!C66="","",'Plan+'!C66)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IF('Plan+'!C67="","",'Plan+'!C67)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IF('Plan+'!C68="","",'Plan+'!C68)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IF('Plan+'!C69="","",'Plan+'!C69)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IF('Plan+'!C70="","",'Plan+'!C70)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IF('Plan+'!C71="","",'Plan+'!C71)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IF('Plan+'!C72="","",'Plan+'!C72)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IF('Plan+'!C73="","",'Plan+'!C73)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IF('Plan+'!C74="","",'Plan+'!C74)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IF('Plan+'!C75="","",'Plan+'!C75)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IF('Plan+'!C76="","",'Plan+'!C76)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IF('Plan+'!C77="","",'Plan+'!C77)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IF('Plan+'!C78="","",'Plan+'!C78)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IF('Plan+'!C79="","",'Plan+'!C79)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IF('Plan+'!C80="","",'Plan+'!C80)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IF('Plan+'!C81="","",'Plan+'!C81)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IF('Plan+'!C82="","",'Plan+'!C82)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IF('Plan+'!C83="","",'Plan+'!C83)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IF('Plan+'!C84="","",'Plan+'!C84)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IF('Plan+'!C85="","",'Plan+'!C85)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IF('Plan+'!C86="","",'Plan+'!C86)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IF('Plan+'!C87="","",'Plan+'!C87)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IF('Plan+'!C88="","",'Plan+'!C88)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IF('Plan+'!C89="","",'Plan+'!C89)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IF('Plan+'!C90="","",'Plan+'!C90)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IF('Plan+'!C91="","",'Plan+'!C91)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IF('Plan+'!C92="","",'Plan+'!C92)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IF('Plan+'!C93="","",'Plan+'!C93)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IF('Plan+'!C94="","",'Plan+'!C94)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IF('Plan+'!C95="","",'Plan+'!C95)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IF('Plan+'!C96="","",'Plan+'!C96)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IF('Plan+'!C97="","",'Plan+'!C97)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  <col min="11" max="11" width="19.7109375" bestFit="1" customWidth="1"/>
    <col min="12" max="12" width="24.140625" bestFit="1" customWidth="1"/>
    <col min="13" max="13" width="17.28515625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IF('Plan+'!F2="","",'Plan+'!F2)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IF('Plan+'!F3="","",'Plan+'!F3)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IF('Plan+'!F4="","",'Plan+'!F4)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IF('Plan+'!F5="","",'Plan+'!F5)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IF('Plan+'!F6="","",'Plan+'!F6)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IF('Plan+'!F7="","",'Plan+'!F7)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IF('Plan+'!F8="","",'Plan+'!F8)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IF('Plan+'!F9="","",'Plan+'!F9)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IF('Plan+'!F10="","",'Plan+'!F10)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IF('Plan+'!F11="","",'Plan+'!F11)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IF('Plan+'!F12="","",'Plan+'!F12)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IF('Plan+'!F13="","",'Plan+'!F13)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IF('Plan+'!F14="","",'Plan+'!F14)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IF('Plan+'!F15="","",'Plan+'!F15)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IF('Plan+'!F16="","",'Plan+'!F16)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IF('Plan+'!F17="","",'Plan+'!F17)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IF('Plan+'!F18="","",'Plan+'!F18)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IF('Plan+'!F19="","",'Plan+'!F19)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IF('Plan+'!F20="","",'Plan+'!F20)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IF('Plan+'!F21="","",'Plan+'!F21)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IF('Plan+'!F22="","",'Plan+'!F22)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IF('Plan+'!F23="","",'Plan+'!F23)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IF('Plan+'!F24="","",'Plan+'!F24)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IF('Plan+'!F25="","",'Plan+'!F25)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IF('Plan+'!F26="","",'Plan+'!F26)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IF('Plan+'!F27="","",'Plan+'!F27)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IF('Plan+'!F28="","",'Plan+'!F28)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IF('Plan+'!F29="","",'Plan+'!F29)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IF('Plan+'!F30="","",'Plan+'!F30)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IF('Plan+'!F31="","",'Plan+'!F31)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IF('Plan+'!F32="","",'Plan+'!F32)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IF('Plan+'!F33="","",'Plan+'!F33)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IF('Plan+'!F34="","",'Plan+'!F34)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IF('Plan+'!F35="","",'Plan+'!F35)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IF('Plan+'!F36="","",'Plan+'!F36)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IF('Plan+'!F37="","",'Plan+'!F37)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IF('Plan+'!F38="","",'Plan+'!F38)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IF('Plan+'!F39="","",'Plan+'!F39)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IF('Plan+'!F40="","",'Plan+'!F40)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IF('Plan+'!F41="","",'Plan+'!F41)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IF('Plan+'!F42="","",'Plan+'!F42)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IF('Plan+'!F43="","",'Plan+'!F43)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IF('Plan+'!F44="","",'Plan+'!F44)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IF('Plan+'!F45="","",'Plan+'!F45)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IF('Plan+'!F46="","",'Plan+'!F46)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IF('Plan+'!F47="","",'Plan+'!F47)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IF('Plan+'!F48="","",'Plan+'!F48)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IF('Plan+'!F49="","",'Plan+'!F49)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IF('Plan+'!F50="","",'Plan+'!F50)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IF('Plan+'!F51="","",'Plan+'!F51)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IF('Plan+'!F52="","",'Plan+'!F52)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IF('Plan+'!F53="","",'Plan+'!F53)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IF('Plan+'!F54="","",'Plan+'!F54)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IF('Plan+'!F55="","",'Plan+'!F55)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IF('Plan+'!F56="","",'Plan+'!F56)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IF('Plan+'!F57="","",'Plan+'!F57)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IF('Plan+'!F58="","",'Plan+'!F58)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IF('Plan+'!F59="","",'Plan+'!F59)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IF('Plan+'!F60="","",'Plan+'!F60)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IF('Plan+'!F61="","",'Plan+'!F61)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IF('Plan+'!F62="","",'Plan+'!F62)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IF('Plan+'!F63="","",'Plan+'!F63)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IF('Plan+'!F64="","",'Plan+'!F64)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IF('Plan+'!F65="","",'Plan+'!F65)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IF('Plan+'!F66="","",'Plan+'!F66)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IF('Plan+'!F67="","",'Plan+'!F67)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IF('Plan+'!F68="","",'Plan+'!F68)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IF('Plan+'!F69="","",'Plan+'!F69)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IF('Plan+'!F70="","",'Plan+'!F70)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IF('Plan+'!F71="","",'Plan+'!F71)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IF('Plan+'!F72="","",'Plan+'!F72)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IF('Plan+'!F73="","",'Plan+'!F73)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IF('Plan+'!F74="","",'Plan+'!F74)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IF('Plan+'!F75="","",'Plan+'!F75)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IF('Plan+'!F76="","",'Plan+'!F76)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IF('Plan+'!F77="","",'Plan+'!F77)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IF('Plan+'!F78="","",'Plan+'!F78)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IF('Plan+'!F79="","",'Plan+'!F79)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IF('Plan+'!F80="","",'Plan+'!F80)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IF('Plan+'!F81="","",'Plan+'!F81)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IF('Plan+'!F82="","",'Plan+'!F82)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IF('Plan+'!F83="","",'Plan+'!F83)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IF('Plan+'!F84="","",'Plan+'!F84)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IF('Plan+'!F85="","",'Plan+'!F85)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IF('Plan+'!F86="","",'Plan+'!F86)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IF('Plan+'!F87="","",'Plan+'!F87)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IF('Plan+'!F88="","",'Plan+'!F88)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IF('Plan+'!F89="","",'Plan+'!F89)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IF('Plan+'!F90="","",'Plan+'!F90)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IF('Plan+'!F91="","",'Plan+'!F91)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IF('Plan+'!F92="","",'Plan+'!F92)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IF('Plan+'!F93="","",'Plan+'!F93)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IF('Plan+'!F94="","",'Plan+'!F94)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IF('Plan+'!F95="","",'Plan+'!F95)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IF('Plan+'!F96="","",'Plan+'!F96)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IF('Plan+'!F97="","",'Plan+'!F97)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autoFilter ref="A1:E101" xr:uid="{00000000-0009-0000-0000-00000D000000}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B01</v>
      </c>
      <c r="B2" s="3" t="str">
        <f>IF(C2="","",'Plan+'!K2)</f>
        <v>A01</v>
      </c>
      <c r="C2" s="2" t="str">
        <f>IF('Plan+'!E2="","",'Plan+'!E2)</f>
        <v>RBS</v>
      </c>
      <c r="D2" s="3">
        <f>IF(C2="","",'Plate organization+'!$B$38)</f>
        <v>2</v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B01</v>
      </c>
      <c r="B3" s="3" t="str">
        <f>IF(C3="","",'Plan+'!K3)</f>
        <v>B01</v>
      </c>
      <c r="C3" s="2" t="str">
        <f>IF('Plan+'!E3="","",'Plan+'!E3)</f>
        <v>RBS</v>
      </c>
      <c r="D3" s="3">
        <f>IF(C3="","",'Plate organization+'!$B$38)</f>
        <v>2</v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B01</v>
      </c>
      <c r="B4" s="3" t="str">
        <f>IF(C4="","",'Plan+'!K4)</f>
        <v>C01</v>
      </c>
      <c r="C4" s="2" t="str">
        <f>IF('Plan+'!E4="","",'Plan+'!E4)</f>
        <v>RBS</v>
      </c>
      <c r="D4" s="3">
        <f>IF(C4="","",'Plate organization+'!$B$38)</f>
        <v>2</v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B01</v>
      </c>
      <c r="B5" s="3" t="str">
        <f>IF(C5="","",'Plan+'!K5)</f>
        <v>D01</v>
      </c>
      <c r="C5" s="2" t="str">
        <f>IF('Plan+'!E5="","",'Plan+'!E5)</f>
        <v>RBS</v>
      </c>
      <c r="D5" s="3">
        <f>IF(C5="","",'Plate organization+'!$B$38)</f>
        <v>2</v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IF('Plan+'!E6="","",'Plan+'!E6)</f>
        <v/>
      </c>
      <c r="D6" s="3" t="str">
        <f>IF(C6="","",'Plate organization+'!$B$38)</f>
        <v/>
      </c>
      <c r="E6" t="str">
        <f>'Plan+'!L6</f>
        <v>Destination_Plate_1</v>
      </c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IF('Plan+'!E7="","",'Plan+'!E7)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IF('Plan+'!E8="","",'Plan+'!E8)</f>
        <v/>
      </c>
      <c r="D8" s="3" t="str">
        <f>IF(C8="","",'Plate organization+'!$B$38)</f>
        <v/>
      </c>
      <c r="E8" t="str">
        <f>'Plan+'!L8</f>
        <v>Destination_Plate_1</v>
      </c>
      <c r="H8" s="7"/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IF('Plan+'!E9="","",'Plan+'!E9)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IF('Plan+'!E10="","",'Plan+'!E10)</f>
        <v/>
      </c>
      <c r="D10" s="3" t="str">
        <f>IF(C10="","",'Plate organization+'!$B$38)</f>
        <v/>
      </c>
      <c r="E10" t="str">
        <f>'Plan+'!L10</f>
        <v>Destination_Plate_1</v>
      </c>
      <c r="H10" s="7"/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IF('Plan+'!E11="","",'Plan+'!E11)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IF('Plan+'!E12="","",'Plan+'!E12)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IF('Plan+'!E13="","",'Plan+'!E13)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IF('Plan+'!E14="","",'Plan+'!E14)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IF('Plan+'!E15="","",'Plan+'!E15)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IF('Plan+'!E16="","",'Plan+'!E16)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IF('Plan+'!E17="","",'Plan+'!E17)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IF('Plan+'!E18="","",'Plan+'!E18)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IF('Plan+'!E19="","",'Plan+'!E19)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IF('Plan+'!E20="","",'Plan+'!E20)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IF('Plan+'!E21="","",'Plan+'!E21)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IF('Plan+'!E22="","",'Plan+'!E22)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IF('Plan+'!E23="","",'Plan+'!E23)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IF('Plan+'!E24="","",'Plan+'!E24)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IF('Plan+'!E25="","",'Plan+'!E25)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IF('Plan+'!E26="","",'Plan+'!E26)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IF('Plan+'!E27="","",'Plan+'!E27)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IF('Plan+'!E28="","",'Plan+'!E28)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IF('Plan+'!E29="","",'Plan+'!E29)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IF('Plan+'!E30="","",'Plan+'!E30)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IF('Plan+'!E31="","",'Plan+'!E31)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IF('Plan+'!E32="","",'Plan+'!E32)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IF('Plan+'!E33="","",'Plan+'!E33)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IF('Plan+'!E34="","",'Plan+'!E34)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IF('Plan+'!E35="","",'Plan+'!E35)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IF('Plan+'!E36="","",'Plan+'!E36)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IF('Plan+'!E37="","",'Plan+'!E37)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IF('Plan+'!E38="","",'Plan+'!E38)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IF('Plan+'!E39="","",'Plan+'!E39)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IF('Plan+'!E40="","",'Plan+'!E40)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IF('Plan+'!E41="","",'Plan+'!E41)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IF('Plan+'!E42="","",'Plan+'!E42)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IF('Plan+'!E43="","",'Plan+'!E43)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IF('Plan+'!E44="","",'Plan+'!E44)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IF('Plan+'!E45="","",'Plan+'!E45)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IF('Plan+'!E46="","",'Plan+'!E46)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IF('Plan+'!E47="","",'Plan+'!E47)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IF('Plan+'!E48="","",'Plan+'!E48)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IF('Plan+'!E49="","",'Plan+'!E49)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IF('Plan+'!E50="","",'Plan+'!E50)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IF('Plan+'!E51="","",'Plan+'!E51)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IF('Plan+'!E52="","",'Plan+'!E52)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IF('Plan+'!E53="","",'Plan+'!E53)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IF('Plan+'!E54="","",'Plan+'!E54)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IF('Plan+'!E55="","",'Plan+'!E55)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IF('Plan+'!E56="","",'Plan+'!E56)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IF('Plan+'!E57="","",'Plan+'!E57)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IF('Plan+'!E58="","",'Plan+'!E58)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IF('Plan+'!E59="","",'Plan+'!E59)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IF('Plan+'!E60="","",'Plan+'!E60)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IF('Plan+'!E61="","",'Plan+'!E61)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IF('Plan+'!E62="","",'Plan+'!E62)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IF('Plan+'!E63="","",'Plan+'!E63)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IF('Plan+'!E64="","",'Plan+'!E64)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IF('Plan+'!E65="","",'Plan+'!E65)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IF('Plan+'!E66="","",'Plan+'!E66)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IF('Plan+'!E67="","",'Plan+'!E67)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IF('Plan+'!E68="","",'Plan+'!E68)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IF('Plan+'!E69="","",'Plan+'!E69)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IF('Plan+'!E70="","",'Plan+'!E70)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IF('Plan+'!E71="","",'Plan+'!E71)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IF('Plan+'!E72="","",'Plan+'!E72)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IF('Plan+'!E73="","",'Plan+'!E73)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IF('Plan+'!E74="","",'Plan+'!E74)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IF('Plan+'!E75="","",'Plan+'!E75)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IF('Plan+'!E76="","",'Plan+'!E76)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IF('Plan+'!E77="","",'Plan+'!E77)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IF('Plan+'!E78="","",'Plan+'!E78)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IF('Plan+'!E79="","",'Plan+'!E79)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IF('Plan+'!E80="","",'Plan+'!E80)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IF('Plan+'!E81="","",'Plan+'!E81)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IF('Plan+'!E82="","",'Plan+'!E82)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IF('Plan+'!E83="","",'Plan+'!E83)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IF('Plan+'!E84="","",'Plan+'!E84)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IF('Plan+'!E85="","",'Plan+'!E85)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IF('Plan+'!E86="","",'Plan+'!E86)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IF('Plan+'!E87="","",'Plan+'!E87)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IF('Plan+'!E88="","",'Plan+'!E88)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IF('Plan+'!E89="","",'Plan+'!E89)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IF('Plan+'!E90="","",'Plan+'!E90)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IF('Plan+'!E91="","",'Plan+'!E91)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IF('Plan+'!E92="","",'Plan+'!E92)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IF('Plan+'!E93="","",'Plan+'!E93)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IF('Plan+'!E94="","",'Plan+'!E94)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IF('Plan+'!E95="","",'Plan+'!E95)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IF('Plan+'!E96="","",'Plan+'!E96)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IF('Plan+'!E97="","",'Plan+'!E97)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C01</v>
      </c>
      <c r="B2" s="3" t="str">
        <f>IF(C2="","",'Plan+'!K2)</f>
        <v>A01</v>
      </c>
      <c r="C2" s="2" t="str">
        <f>IF('Plan+'!G2="","",'Plan+'!G2)</f>
        <v>aroF_S188C</v>
      </c>
      <c r="D2" s="3">
        <f>IF(C2="","",'Plate organization+'!$B$38)</f>
        <v>2</v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C02</v>
      </c>
      <c r="B3" s="3" t="str">
        <f>IF(C3="","",'Plan+'!K3)</f>
        <v>B01</v>
      </c>
      <c r="C3" s="2" t="str">
        <f>IF('Plan+'!G3="","",'Plan+'!G3)</f>
        <v>aroC</v>
      </c>
      <c r="D3" s="3">
        <f>IF(C3="","",'Plate organization+'!$B$38)</f>
        <v>2</v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C01</v>
      </c>
      <c r="B4" s="3" t="str">
        <f>IF(C4="","",'Plan+'!K4)</f>
        <v>C01</v>
      </c>
      <c r="C4" s="2" t="str">
        <f>IF('Plan+'!G4="","",'Plan+'!G4)</f>
        <v>aroF_S188C</v>
      </c>
      <c r="D4" s="3">
        <f>IF(C4="","",'Plate organization+'!$B$38)</f>
        <v>2</v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C02</v>
      </c>
      <c r="B5" s="3" t="str">
        <f>IF(C5="","",'Plan+'!K5)</f>
        <v>D01</v>
      </c>
      <c r="C5" s="2" t="str">
        <f>IF('Plan+'!G5="","",'Plan+'!G5)</f>
        <v>aroC</v>
      </c>
      <c r="D5" s="3">
        <f>IF(C5="","",'Plate organization+'!$B$38)</f>
        <v>2</v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IF('Plan+'!G6="","",'Plan+'!G6)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IF('Plan+'!G7="","",'Plan+'!G7)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IF('Plan+'!G8="","",'Plan+'!G8)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IF('Plan+'!G9="","",'Plan+'!G9)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IF('Plan+'!G10="","",'Plan+'!G10)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IF('Plan+'!G11="","",'Plan+'!G11)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IF('Plan+'!G12="","",'Plan+'!G12)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IF('Plan+'!G13="","",'Plan+'!G13)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IF('Plan+'!G14="","",'Plan+'!G14)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IF('Plan+'!G15="","",'Plan+'!G15)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IF('Plan+'!G16="","",'Plan+'!G16)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IF('Plan+'!G17="","",'Plan+'!G17)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IF('Plan+'!G18="","",'Plan+'!G18)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IF('Plan+'!G19="","",'Plan+'!G19)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IF('Plan+'!G20="","",'Plan+'!G20)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IF('Plan+'!G21="","",'Plan+'!G21)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IF('Plan+'!G22="","",'Plan+'!G22)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IF('Plan+'!G23="","",'Plan+'!G23)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IF('Plan+'!G24="","",'Plan+'!G24)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IF('Plan+'!G25="","",'Plan+'!G25)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IF('Plan+'!G26="","",'Plan+'!G26)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IF('Plan+'!G27="","",'Plan+'!G27)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IF('Plan+'!G28="","",'Plan+'!G28)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IF('Plan+'!G29="","",'Plan+'!G29)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IF('Plan+'!G30="","",'Plan+'!G30)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IF('Plan+'!G31="","",'Plan+'!G31)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IF('Plan+'!G32="","",'Plan+'!G32)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IF('Plan+'!G33="","",'Plan+'!G33)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IF('Plan+'!G34="","",'Plan+'!G34)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IF('Plan+'!G35="","",'Plan+'!G35)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IF('Plan+'!G36="","",'Plan+'!G36)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IF('Plan+'!G37="","",'Plan+'!G37)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IF('Plan+'!G38="","",'Plan+'!G38)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IF('Plan+'!G39="","",'Plan+'!G39)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IF('Plan+'!G40="","",'Plan+'!G40)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IF('Plan+'!G41="","",'Plan+'!G41)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IF('Plan+'!G42="","",'Plan+'!G42)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IF('Plan+'!G43="","",'Plan+'!G43)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IF('Plan+'!G44="","",'Plan+'!G44)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IF('Plan+'!G45="","",'Plan+'!G45)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IF('Plan+'!G46="","",'Plan+'!G46)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IF('Plan+'!G47="","",'Plan+'!G47)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IF('Plan+'!G48="","",'Plan+'!G48)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IF('Plan+'!G49="","",'Plan+'!G49)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IF('Plan+'!G50="","",'Plan+'!G50)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IF('Plan+'!G51="","",'Plan+'!G51)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IF('Plan+'!G52="","",'Plan+'!G52)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IF('Plan+'!G53="","",'Plan+'!G53)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IF('Plan+'!G54="","",'Plan+'!G54)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IF('Plan+'!G55="","",'Plan+'!G55)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IF('Plan+'!G56="","",'Plan+'!G56)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IF('Plan+'!G57="","",'Plan+'!G57)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IF('Plan+'!G58="","",'Plan+'!G58)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IF('Plan+'!G59="","",'Plan+'!G59)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IF('Plan+'!G60="","",'Plan+'!G60)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IF('Plan+'!G61="","",'Plan+'!G61)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IF('Plan+'!G62="","",'Plan+'!G62)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IF('Plan+'!G63="","",'Plan+'!G63)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IF('Plan+'!G64="","",'Plan+'!G64)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IF('Plan+'!G65="","",'Plan+'!G65)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IF('Plan+'!G66="","",'Plan+'!G66)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IF('Plan+'!G67="","",'Plan+'!G67)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IF('Plan+'!G68="","",'Plan+'!G68)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IF('Plan+'!G69="","",'Plan+'!G69)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IF('Plan+'!G70="","",'Plan+'!G70)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IF('Plan+'!G71="","",'Plan+'!G71)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IF('Plan+'!G72="","",'Plan+'!G72)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IF('Plan+'!G73="","",'Plan+'!G73)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IF('Plan+'!G74="","",'Plan+'!G74)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IF('Plan+'!G75="","",'Plan+'!G75)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IF('Plan+'!G76="","",'Plan+'!G76)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IF('Plan+'!G77="","",'Plan+'!G77)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IF('Plan+'!G78="","",'Plan+'!G78)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IF('Plan+'!G79="","",'Plan+'!G79)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IF('Plan+'!G80="","",'Plan+'!G80)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IF('Plan+'!G81="","",'Plan+'!G81)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IF('Plan+'!G82="","",'Plan+'!G82)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IF('Plan+'!G83="","",'Plan+'!G83)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IF('Plan+'!G84="","",'Plan+'!G84)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IF('Plan+'!G85="","",'Plan+'!G85)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IF('Plan+'!G86="","",'Plan+'!G86)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IF('Plan+'!G87="","",'Plan+'!G87)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IF('Plan+'!G88="","",'Plan+'!G88)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IF('Plan+'!G89="","",'Plan+'!G89)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IF('Plan+'!G90="","",'Plan+'!G90)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IF('Plan+'!G91="","",'Plan+'!G91)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IF('Plan+'!G92="","",'Plan+'!G92)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IF('Plan+'!G93="","",'Plan+'!G93)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IF('Plan+'!G94="","",'Plan+'!G94)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IF('Plan+'!G95="","",'Plan+'!G95)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IF('Plan+'!G96="","",'Plan+'!G96)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IF('Plan+'!G97="","",'Plan+'!G97)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sortState xmlns:xlrd2="http://schemas.microsoft.com/office/spreadsheetml/2017/richdata2" ref="B2:B188">
    <sortCondition ref="B1"/>
  </sortState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8"/>
  <sheetViews>
    <sheetView workbookViewId="0">
      <selection activeCell="G25" sqref="G25"/>
    </sheetView>
  </sheetViews>
  <sheetFormatPr baseColWidth="10" defaultColWidth="9.1406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IF('Plan+'!H2="","",'Plan+'!H2)</f>
        <v/>
      </c>
      <c r="D2" s="3" t="str">
        <f>IF(C2="","",'Plate organization+'!$B$38)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IF('Plan+'!H3="","",'Plan+'!H3)</f>
        <v/>
      </c>
      <c r="D3" s="3" t="str">
        <f>IF(C3="","",'Plate organization+'!$B$38)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IF('Plan+'!H4="","",'Plan+'!H4)</f>
        <v/>
      </c>
      <c r="D4" s="3" t="str">
        <f>IF(C4="","",'Plate organization+'!$B$38)</f>
        <v/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IF('Plan+'!H5="","",'Plan+'!H5)</f>
        <v/>
      </c>
      <c r="D5" s="3" t="str">
        <f>IF(C5="","",'Plate organization+'!$B$38)</f>
        <v/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IF('Plan+'!H6="","",'Plan+'!H6)</f>
        <v/>
      </c>
      <c r="D6" s="3" t="str">
        <f>IF(C6="","",'Plate organization+'!$B$38)</f>
        <v/>
      </c>
      <c r="E6" t="str">
        <f>'Plan+'!L6</f>
        <v>Destination_Plate_1</v>
      </c>
      <c r="H6" s="4"/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IF('Plan+'!H7="","",'Plan+'!H7)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IF('Plan+'!H8="","",'Plan+'!H8)</f>
        <v/>
      </c>
      <c r="D8" s="3" t="str">
        <f>IF(C8="","",'Plate organization+'!$B$38)</f>
        <v/>
      </c>
      <c r="E8" t="str">
        <f>'Plan+'!L8</f>
        <v>Destination_Plate_1</v>
      </c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IF('Plan+'!H9="","",'Plan+'!H9)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IF('Plan+'!H10="","",'Plan+'!H10)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IF('Plan+'!H11="","",'Plan+'!H11)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IF('Plan+'!H12="","",'Plan+'!H12)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IF('Plan+'!H13="","",'Plan+'!H13)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IF('Plan+'!H14="","",'Plan+'!H14)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IF('Plan+'!H15="","",'Plan+'!H15)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IF('Plan+'!H16="","",'Plan+'!H16)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IF('Plan+'!H17="","",'Plan+'!H17)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IF('Plan+'!H18="","",'Plan+'!H18)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IF('Plan+'!H19="","",'Plan+'!H19)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IF('Plan+'!H20="","",'Plan+'!H20)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IF('Plan+'!H21="","",'Plan+'!H21)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IF('Plan+'!H22="","",'Plan+'!H22)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IF('Plan+'!H23="","",'Plan+'!H23)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IF('Plan+'!H24="","",'Plan+'!H24)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IF('Plan+'!H25="","",'Plan+'!H25)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IF('Plan+'!H26="","",'Plan+'!H26)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IF('Plan+'!H27="","",'Plan+'!H27)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IF('Plan+'!H28="","",'Plan+'!H28)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IF('Plan+'!H29="","",'Plan+'!H29)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IF('Plan+'!H30="","",'Plan+'!H30)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IF('Plan+'!H31="","",'Plan+'!H31)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IF('Plan+'!H32="","",'Plan+'!H32)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IF('Plan+'!H33="","",'Plan+'!H33)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IF('Plan+'!H34="","",'Plan+'!H34)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IF('Plan+'!H35="","",'Plan+'!H35)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IF('Plan+'!H36="","",'Plan+'!H36)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IF('Plan+'!H37="","",'Plan+'!H37)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IF('Plan+'!H38="","",'Plan+'!H38)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IF('Plan+'!H39="","",'Plan+'!H39)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IF('Plan+'!H40="","",'Plan+'!H40)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IF('Plan+'!H41="","",'Plan+'!H41)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IF('Plan+'!H42="","",'Plan+'!H42)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IF('Plan+'!H43="","",'Plan+'!H43)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IF('Plan+'!H44="","",'Plan+'!H44)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IF('Plan+'!H45="","",'Plan+'!H45)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IF('Plan+'!H46="","",'Plan+'!H46)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IF('Plan+'!H47="","",'Plan+'!H47)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IF('Plan+'!H48="","",'Plan+'!H48)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IF('Plan+'!H49="","",'Plan+'!H49)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IF('Plan+'!H50="","",'Plan+'!H50)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IF('Plan+'!H51="","",'Plan+'!H51)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IF('Plan+'!H52="","",'Plan+'!H52)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IF('Plan+'!H53="","",'Plan+'!H53)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IF('Plan+'!H54="","",'Plan+'!H54)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IF('Plan+'!H55="","",'Plan+'!H55)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IF('Plan+'!H56="","",'Plan+'!H56)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IF('Plan+'!H57="","",'Plan+'!H57)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IF('Plan+'!H58="","",'Plan+'!H58)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IF('Plan+'!H59="","",'Plan+'!H59)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IF('Plan+'!H60="","",'Plan+'!H60)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IF('Plan+'!H61="","",'Plan+'!H61)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IF('Plan+'!H62="","",'Plan+'!H62)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IF('Plan+'!H63="","",'Plan+'!H63)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IF('Plan+'!H64="","",'Plan+'!H64)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IF('Plan+'!H65="","",'Plan+'!H65)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IF('Plan+'!H66="","",'Plan+'!H66)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IF('Plan+'!H67="","",'Plan+'!H67)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IF('Plan+'!H68="","",'Plan+'!H68)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IF('Plan+'!H69="","",'Plan+'!H69)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IF('Plan+'!H70="","",'Plan+'!H70)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IF('Plan+'!H71="","",'Plan+'!H71)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IF('Plan+'!H72="","",'Plan+'!H72)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IF('Plan+'!H73="","",'Plan+'!H73)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IF('Plan+'!H74="","",'Plan+'!H74)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IF('Plan+'!H75="","",'Plan+'!H75)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IF('Plan+'!H76="","",'Plan+'!H76)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IF('Plan+'!H77="","",'Plan+'!H77)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IF('Plan+'!H78="","",'Plan+'!H78)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IF('Plan+'!H79="","",'Plan+'!H79)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IF('Plan+'!H80="","",'Plan+'!H80)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IF('Plan+'!H81="","",'Plan+'!H81)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IF('Plan+'!H82="","",'Plan+'!H82)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IF('Plan+'!H83="","",'Plan+'!H83)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IF('Plan+'!H84="","",'Plan+'!H84)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IF('Plan+'!H85="","",'Plan+'!H85)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IF('Plan+'!H86="","",'Plan+'!H86)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IF('Plan+'!H87="","",'Plan+'!H87)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IF('Plan+'!H88="","",'Plan+'!H88)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IF('Plan+'!H89="","",'Plan+'!H89)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IF('Plan+'!H90="","",'Plan+'!H90)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IF('Plan+'!H91="","",'Plan+'!H91)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IF('Plan+'!H92="","",'Plan+'!H92)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IF('Plan+'!H93="","",'Plan+'!H93)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IF('Plan+'!H94="","",'Plan+'!H94)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IF('Plan+'!H95="","",'Plan+'!H95)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IF('Plan+'!H96="","",'Plan+'!H96)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IF('Plan+'!H97="","",'Plan+'!H97)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8"/>
  <sheetViews>
    <sheetView workbookViewId="0">
      <selection activeCell="G27" sqref="G27"/>
    </sheetView>
  </sheetViews>
  <sheetFormatPr baseColWidth="10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161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>A01</v>
      </c>
      <c r="B2" s="3" t="str">
        <f>IF(C2="","",'Plan+'!K2)</f>
        <v>A01</v>
      </c>
      <c r="C2" s="76" t="str">
        <f>IF('Plan+'!J2="","",Source_Plate!$M$2)</f>
        <v>water</v>
      </c>
      <c r="D2" s="3">
        <f>IF(C2="", "",
    'Plate organization+'!$B$45
    - IF(ISNUMBER(Worklist_Tags!D2), Worklist_Tags!D2, 0)
    - IF(ISNUMBER(Worklist_RBS!D2), Worklist_RBS!D2, 0)
    - IF(ISNUMBER(Worklist_SP!D2), Worklist_SP!D2, 0)
    - IF(ISNUMBER(Worklist_GoI!D2), Worklist_GoI!D2, 0)
    - IF(ISNUMBER(Worklist_P!D2), Worklist_P!D2, 0)
    - IF(ISNUMBER(Worklist_MM!D2), Worklist_MM!D2, 0)
    - IF(ISNUMBER(Worklist_PM!D2), Worklist_PM!D2, 0)
    - IF(ISNUMBER(Worklist_BB!D2), Worklist_BB!D2, 0)
)</f>
        <v>6</v>
      </c>
      <c r="E2" t="str">
        <f>'Plan+'!L2</f>
        <v>Destination_Plate_1</v>
      </c>
    </row>
    <row r="3" spans="1:5" x14ac:dyDescent="0.25">
      <c r="A3" s="3" t="str">
        <f>IF(C3="","",VLOOKUP(C3,Source_Plate!$M$2:$N$9,2,FALSE))</f>
        <v>A01</v>
      </c>
      <c r="B3" s="3" t="str">
        <f>IF(C3="","",'Plan+'!K3)</f>
        <v>B01</v>
      </c>
      <c r="C3" s="76" t="str">
        <f>IF('Plan+'!J3="","",Source_Plate!$M$2)</f>
        <v>water</v>
      </c>
      <c r="D3" s="3">
        <f>IF(C3="", "",
    'Plate organization+'!$B$45
    - IF(ISNUMBER(Worklist_Tags!D3), Worklist_Tags!D3, 0)
    - IF(ISNUMBER(Worklist_RBS!D3), Worklist_RBS!D3, 0)
    - IF(ISNUMBER(Worklist_SP!D3), Worklist_SP!D3, 0)
    - IF(ISNUMBER(Worklist_GoI!D3), Worklist_GoI!D3, 0)
    - IF(ISNUMBER(Worklist_P!D3), Worklist_P!D3, 0)
    - IF(ISNUMBER(Worklist_MM!D3), Worklist_MM!D3, 0)
    - IF(ISNUMBER(Worklist_PM!D3), Worklist_PM!D3, 0)
    - IF(ISNUMBER(Worklist_BB!D3), Worklist_BB!D3, 0)
)</f>
        <v>6</v>
      </c>
      <c r="E3" t="str">
        <f>'Plan+'!L3</f>
        <v>Destination_Plate_1</v>
      </c>
    </row>
    <row r="4" spans="1:5" x14ac:dyDescent="0.25">
      <c r="A4" s="3" t="str">
        <f>IF(C4="","",VLOOKUP(C4,Source_Plate!$M$2:$N$9,2,FALSE))</f>
        <v>A01</v>
      </c>
      <c r="B4" s="3" t="str">
        <f>IF(C4="","",'Plan+'!K4)</f>
        <v>C01</v>
      </c>
      <c r="C4" s="76" t="str">
        <f>IF('Plan+'!J4="","",Source_Plate!$M$2)</f>
        <v>water</v>
      </c>
      <c r="D4" s="3">
        <f>IF(C4="", "",
    'Plate organization+'!$B$45
    - IF(ISNUMBER(Worklist_Tags!D4), Worklist_Tags!D4, 0)
    - IF(ISNUMBER(Worklist_RBS!D4), Worklist_RBS!D4, 0)
    - IF(ISNUMBER(Worklist_SP!D4), Worklist_SP!D4, 0)
    - IF(ISNUMBER(Worklist_GoI!D4), Worklist_GoI!D4, 0)
    - IF(ISNUMBER(Worklist_P!D4), Worklist_P!D4, 0)
    - IF(ISNUMBER(Worklist_MM!D4), Worklist_MM!D4, 0)
    - IF(ISNUMBER(Worklist_PM!D4), Worklist_PM!D4, 0)
    - IF(ISNUMBER(Worklist_BB!D4), Worklist_BB!D4, 0)
)</f>
        <v>6</v>
      </c>
      <c r="E4" t="str">
        <f>'Plan+'!L4</f>
        <v>Destination_Plate_1</v>
      </c>
    </row>
    <row r="5" spans="1:5" x14ac:dyDescent="0.25">
      <c r="A5" s="3" t="str">
        <f>IF(C5="","",VLOOKUP(C5,Source_Plate!$M$2:$N$9,2,FALSE))</f>
        <v>A01</v>
      </c>
      <c r="B5" s="3" t="str">
        <f>IF(C5="","",'Plan+'!K5)</f>
        <v>D01</v>
      </c>
      <c r="C5" s="76" t="str">
        <f>IF('Plan+'!J5="","",Source_Plate!$M$2)</f>
        <v>water</v>
      </c>
      <c r="D5" s="3">
        <f>IF(C5="", "",
    'Plate organization+'!$B$45
    - IF(ISNUMBER(Worklist_Tags!D5), Worklist_Tags!D5, 0)
    - IF(ISNUMBER(Worklist_RBS!D5), Worklist_RBS!D5, 0)
    - IF(ISNUMBER(Worklist_SP!D5), Worklist_SP!D5, 0)
    - IF(ISNUMBER(Worklist_GoI!D5), Worklist_GoI!D5, 0)
    - IF(ISNUMBER(Worklist_P!D5), Worklist_P!D5, 0)
    - IF(ISNUMBER(Worklist_MM!D5), Worklist_MM!D5, 0)
    - IF(ISNUMBER(Worklist_PM!D5), Worklist_PM!D5, 0)
    - IF(ISNUMBER(Worklist_BB!D5), Worklist_BB!D5, 0)
)</f>
        <v>6</v>
      </c>
      <c r="E5" t="str">
        <f>'Plan+'!L5</f>
        <v>Destination_Plate_1</v>
      </c>
    </row>
    <row r="6" spans="1:5" x14ac:dyDescent="0.25">
      <c r="A6" s="3" t="str">
        <f>IF(C6="","",VLOOKUP(C6,Source_Plate!$M$2:$N$9,2,FALSE))</f>
        <v/>
      </c>
      <c r="B6" s="3" t="str">
        <f>IF(C6="","",'Plan+'!K6)</f>
        <v/>
      </c>
      <c r="C6" s="76" t="str">
        <f>IF('Plan+'!J6="","",Source_Plate!$M$2)</f>
        <v/>
      </c>
      <c r="D6" s="3" t="str">
        <f>IF(C6="", "",
    'Plate organization+'!$B$45
    - IF(ISNUMBER(Worklist_Tags!D6), Worklist_Tags!D6, 0)
    - IF(ISNUMBER(Worklist_RBS!D6), Worklist_RBS!D6, 0)
    - IF(ISNUMBER(Worklist_SP!D6), Worklist_SP!D6, 0)
    - IF(ISNUMBER(Worklist_GoI!D6), Worklist_GoI!D6, 0)
    - IF(ISNUMBER(Worklist_P!D6), Worklist_P!D6, 0)
    - IF(ISNUMBER(Worklist_MM!D6), Worklist_MM!D6, 0)
    - IF(ISNUMBER(Worklist_PM!D6), Worklist_PM!D6, 0)
    - IF(ISNUMBER(Worklist_BB!D6), Worklist_BB!D6, 0)
)</f>
        <v/>
      </c>
      <c r="E6" t="str">
        <f>'Plan+'!L6</f>
        <v>Destination_Plate_1</v>
      </c>
    </row>
    <row r="7" spans="1:5" x14ac:dyDescent="0.25">
      <c r="A7" s="3" t="str">
        <f>IF(C7="","",VLOOKUP(C7,Source_Plate!$M$2:$N$9,2,FALSE))</f>
        <v/>
      </c>
      <c r="B7" s="3" t="str">
        <f>IF(C7="","",'Plan+'!K7)</f>
        <v/>
      </c>
      <c r="C7" s="76" t="str">
        <f>IF('Plan+'!J7="","",Source_Plate!$M$2)</f>
        <v/>
      </c>
      <c r="D7" s="3" t="str">
        <f>IF(C7="", "",
    'Plate organization+'!$B$45
    - IF(ISNUMBER(Worklist_Tags!D7), Worklist_Tags!D7, 0)
    - IF(ISNUMBER(Worklist_RBS!D7), Worklist_RBS!D7, 0)
    - IF(ISNUMBER(Worklist_SP!D7), Worklist_SP!D7, 0)
    - IF(ISNUMBER(Worklist_GoI!D7), Worklist_GoI!D7, 0)
    - IF(ISNUMBER(Worklist_P!D7), Worklist_P!D7, 0)
    - IF(ISNUMBER(Worklist_MM!D7), Worklist_MM!D7, 0)
    - IF(ISNUMBER(Worklist_PM!D7), Worklist_PM!D7, 0)
    - IF(ISNUMBER(Worklist_BB!D7), Worklist_BB!D7, 0)
)</f>
        <v/>
      </c>
      <c r="E7" t="str">
        <f>'Plan+'!L7</f>
        <v>Destination_Plate_1</v>
      </c>
    </row>
    <row r="8" spans="1:5" x14ac:dyDescent="0.25">
      <c r="A8" s="3" t="str">
        <f>IF(C8="","",VLOOKUP(C8,Source_Plate!$M$2:$N$9,2,FALSE))</f>
        <v/>
      </c>
      <c r="B8" s="3" t="str">
        <f>IF(C8="","",'Plan+'!K8)</f>
        <v/>
      </c>
      <c r="C8" s="76" t="str">
        <f>IF('Plan+'!J8="","",Source_Plate!$M$2)</f>
        <v/>
      </c>
      <c r="D8" s="3" t="str">
        <f>IF(C8="", "",
    'Plate organization+'!$B$45
    - IF(ISNUMBER(Worklist_Tags!D8), Worklist_Tags!D8, 0)
    - IF(ISNUMBER(Worklist_RBS!D8), Worklist_RBS!D8, 0)
    - IF(ISNUMBER(Worklist_SP!D8), Worklist_SP!D8, 0)
    - IF(ISNUMBER(Worklist_GoI!D8), Worklist_GoI!D8, 0)
    - IF(ISNUMBER(Worklist_P!D8), Worklist_P!D8, 0)
    - IF(ISNUMBER(Worklist_MM!D8), Worklist_MM!D8, 0)
    - IF(ISNUMBER(Worklist_PM!D8), Worklist_PM!D8, 0)
    - IF(ISNUMBER(Worklist_BB!D8), Worklist_BB!D8, 0)
)</f>
        <v/>
      </c>
      <c r="E8" t="str">
        <f>'Plan+'!L8</f>
        <v>Destination_Plate_1</v>
      </c>
    </row>
    <row r="9" spans="1:5" x14ac:dyDescent="0.25">
      <c r="A9" s="3" t="str">
        <f>IF(C9="","",VLOOKUP(C9,Source_Plate!$M$2:$N$9,2,FALSE))</f>
        <v/>
      </c>
      <c r="B9" s="3" t="str">
        <f>IF(C9="","",'Plan+'!K9)</f>
        <v/>
      </c>
      <c r="C9" s="76" t="str">
        <f>IF('Plan+'!J9="","",Source_Plate!$M$2)</f>
        <v/>
      </c>
      <c r="D9" s="3" t="str">
        <f>IF(C9="", "",
    'Plate organization+'!$B$45
    - IF(ISNUMBER(Worklist_Tags!D9), Worklist_Tags!D9, 0)
    - IF(ISNUMBER(Worklist_RBS!D9), Worklist_RBS!D9, 0)
    - IF(ISNUMBER(Worklist_SP!D9), Worklist_SP!D9, 0)
    - IF(ISNUMBER(Worklist_GoI!D9), Worklist_GoI!D9, 0)
    - IF(ISNUMBER(Worklist_P!D9), Worklist_P!D9, 0)
    - IF(ISNUMBER(Worklist_MM!D9), Worklist_MM!D9, 0)
    - IF(ISNUMBER(Worklist_PM!D9), Worklist_PM!D9, 0)
    - IF(ISNUMBER(Worklist_BB!D9), Worklist_BB!D9, 0)
)</f>
        <v/>
      </c>
      <c r="E9" t="str">
        <f>'Plan+'!L9</f>
        <v>Destination_Plate_1</v>
      </c>
    </row>
    <row r="10" spans="1:5" x14ac:dyDescent="0.25">
      <c r="A10" s="3" t="str">
        <f>IF(C10="","",VLOOKUP(C10,Source_Plate!$M$2:$N$9,2,FALSE))</f>
        <v/>
      </c>
      <c r="B10" s="3" t="str">
        <f>IF(C10="","",'Plan+'!K10)</f>
        <v/>
      </c>
      <c r="C10" s="76" t="str">
        <f>IF('Plan+'!J10="","",Source_Plate!$M$2)</f>
        <v/>
      </c>
      <c r="D10" s="3" t="str">
        <f>IF(C10="", "",
    'Plate organization+'!$B$45
    - IF(ISNUMBER(Worklist_Tags!D10), Worklist_Tags!D10, 0)
    - IF(ISNUMBER(Worklist_RBS!D10), Worklist_RBS!D10, 0)
    - IF(ISNUMBER(Worklist_SP!D10), Worklist_SP!D10, 0)
    - IF(ISNUMBER(Worklist_GoI!D10), Worklist_GoI!D10, 0)
    - IF(ISNUMBER(Worklist_P!D10), Worklist_P!D10, 0)
    - IF(ISNUMBER(Worklist_MM!D10), Worklist_MM!D10, 0)
    - IF(ISNUMBER(Worklist_PM!D10), Worklist_PM!D10, 0)
    - IF(ISNUMBER(Worklist_BB!D10), Worklist_BB!D10, 0)
)</f>
        <v/>
      </c>
      <c r="E10" t="str">
        <f>'Plan+'!L10</f>
        <v>Destination_Plate_1</v>
      </c>
    </row>
    <row r="11" spans="1:5" x14ac:dyDescent="0.25">
      <c r="A11" s="3" t="str">
        <f>IF(C11="","",VLOOKUP(C11,Source_Plate!$M$2:$N$9,2,FALSE))</f>
        <v/>
      </c>
      <c r="B11" s="3" t="str">
        <f>IF(C11="","",'Plan+'!K11)</f>
        <v/>
      </c>
      <c r="C11" s="76" t="str">
        <f>IF('Plan+'!J11="","",Source_Plate!$M$2)</f>
        <v/>
      </c>
      <c r="D11" s="3" t="str">
        <f>IF(C11="", "",
    'Plate organization+'!$B$45
    - IF(ISNUMBER(Worklist_Tags!D11), Worklist_Tags!D11, 0)
    - IF(ISNUMBER(Worklist_RBS!D11), Worklist_RBS!D11, 0)
    - IF(ISNUMBER(Worklist_SP!D11), Worklist_SP!D11, 0)
    - IF(ISNUMBER(Worklist_GoI!D11), Worklist_GoI!D11, 0)
    - IF(ISNUMBER(Worklist_P!D11), Worklist_P!D11, 0)
    - IF(ISNUMBER(Worklist_MM!D11), Worklist_MM!D11, 0)
    - IF(ISNUMBER(Worklist_PM!D11), Worklist_PM!D11, 0)
    - IF(ISNUMBER(Worklist_BB!D11), Worklist_BB!D11, 0)
)</f>
        <v/>
      </c>
      <c r="E11" t="str">
        <f>'Plan+'!L11</f>
        <v>Destination_Plate_1</v>
      </c>
    </row>
    <row r="12" spans="1:5" x14ac:dyDescent="0.25">
      <c r="A12" s="3" t="str">
        <f>IF(C12="","",VLOOKUP(C12,Source_Plate!$M$2:$N$9,2,FALSE))</f>
        <v/>
      </c>
      <c r="B12" s="3" t="str">
        <f>IF(C12="","",'Plan+'!K12)</f>
        <v/>
      </c>
      <c r="C12" s="76" t="str">
        <f>IF('Plan+'!J12="","",Source_Plate!$M$2)</f>
        <v/>
      </c>
      <c r="D12" s="3" t="str">
        <f>IF(C12="", "",
    'Plate organization+'!$B$45
    - IF(ISNUMBER(Worklist_Tags!D12), Worklist_Tags!D12, 0)
    - IF(ISNUMBER(Worklist_RBS!D12), Worklist_RBS!D12, 0)
    - IF(ISNUMBER(Worklist_SP!D12), Worklist_SP!D12, 0)
    - IF(ISNUMBER(Worklist_GoI!D12), Worklist_GoI!D12, 0)
    - IF(ISNUMBER(Worklist_P!D12), Worklist_P!D12, 0)
    - IF(ISNUMBER(Worklist_MM!D12), Worklist_MM!D12, 0)
    - IF(ISNUMBER(Worklist_PM!D12), Worklist_PM!D12, 0)
    - IF(ISNUMBER(Worklist_BB!D12), Worklist_BB!D12, 0)
)</f>
        <v/>
      </c>
      <c r="E12" t="str">
        <f>'Plan+'!L12</f>
        <v>Destination_Plate_1</v>
      </c>
    </row>
    <row r="13" spans="1:5" x14ac:dyDescent="0.25">
      <c r="A13" s="3" t="str">
        <f>IF(C13="","",VLOOKUP(C13,Source_Plate!$M$2:$N$9,2,FALSE))</f>
        <v/>
      </c>
      <c r="B13" s="3" t="str">
        <f>IF(C13="","",'Plan+'!K13)</f>
        <v/>
      </c>
      <c r="C13" s="76" t="str">
        <f>IF('Plan+'!J13="","",Source_Plate!$M$2)</f>
        <v/>
      </c>
      <c r="D13" s="3" t="str">
        <f>IF(C13="", "",
    'Plate organization+'!$B$45
    - IF(ISNUMBER(Worklist_Tags!D13), Worklist_Tags!D13, 0)
    - IF(ISNUMBER(Worklist_RBS!D13), Worklist_RBS!D13, 0)
    - IF(ISNUMBER(Worklist_SP!D13), Worklist_SP!D13, 0)
    - IF(ISNUMBER(Worklist_GoI!D13), Worklist_GoI!D13, 0)
    - IF(ISNUMBER(Worklist_P!D13), Worklist_P!D13, 0)
    - IF(ISNUMBER(Worklist_MM!D13), Worklist_MM!D13, 0)
    - IF(ISNUMBER(Worklist_PM!D13), Worklist_PM!D13, 0)
    - IF(ISNUMBER(Worklist_BB!D13), Worklist_BB!D13, 0)
)</f>
        <v/>
      </c>
      <c r="E13" t="str">
        <f>'Plan+'!L13</f>
        <v>Destination_Plate_1</v>
      </c>
    </row>
    <row r="14" spans="1:5" x14ac:dyDescent="0.25">
      <c r="A14" s="3" t="str">
        <f>IF(C14="","",VLOOKUP(C14,Source_Plate!$M$2:$N$9,2,FALSE))</f>
        <v/>
      </c>
      <c r="B14" s="3" t="str">
        <f>IF(C14="","",'Plan+'!K14)</f>
        <v/>
      </c>
      <c r="C14" s="76" t="str">
        <f>IF('Plan+'!J14="","",Source_Plate!$M$2)</f>
        <v/>
      </c>
      <c r="D14" s="3" t="str">
        <f>IF(C14="", "",
    'Plate organization+'!$B$45
    - IF(ISNUMBER(Worklist_Tags!D14), Worklist_Tags!D14, 0)
    - IF(ISNUMBER(Worklist_RBS!D14), Worklist_RBS!D14, 0)
    - IF(ISNUMBER(Worklist_SP!D14), Worklist_SP!D14, 0)
    - IF(ISNUMBER(Worklist_GoI!D14), Worklist_GoI!D14, 0)
    - IF(ISNUMBER(Worklist_P!D14), Worklist_P!D14, 0)
    - IF(ISNUMBER(Worklist_MM!D14), Worklist_MM!D14, 0)
    - IF(ISNUMBER(Worklist_PM!D14), Worklist_PM!D14, 0)
    - IF(ISNUMBER(Worklist_BB!D14), Worklist_BB!D14, 0)
)</f>
        <v/>
      </c>
      <c r="E14" t="str">
        <f>'Plan+'!L14</f>
        <v>Destination_Plate_1</v>
      </c>
    </row>
    <row r="15" spans="1:5" x14ac:dyDescent="0.25">
      <c r="A15" s="3" t="str">
        <f>IF(C15="","",VLOOKUP(C15,Source_Plate!$M$2:$N$9,2,FALSE))</f>
        <v/>
      </c>
      <c r="B15" s="3" t="str">
        <f>IF(C15="","",'Plan+'!K15)</f>
        <v/>
      </c>
      <c r="C15" s="76" t="str">
        <f>IF('Plan+'!J15="","",Source_Plate!$M$2)</f>
        <v/>
      </c>
      <c r="D15" s="3" t="str">
        <f>IF(C15="", "",
    'Plate organization+'!$B$45
    - IF(ISNUMBER(Worklist_Tags!D15), Worklist_Tags!D15, 0)
    - IF(ISNUMBER(Worklist_RBS!D15), Worklist_RBS!D15, 0)
    - IF(ISNUMBER(Worklist_SP!D15), Worklist_SP!D15, 0)
    - IF(ISNUMBER(Worklist_GoI!D15), Worklist_GoI!D15, 0)
    - IF(ISNUMBER(Worklist_P!D15), Worklist_P!D15, 0)
    - IF(ISNUMBER(Worklist_MM!D15), Worklist_MM!D15, 0)
    - IF(ISNUMBER(Worklist_PM!D15), Worklist_PM!D15, 0)
    - IF(ISNUMBER(Worklist_BB!D15), Worklist_BB!D15, 0)
)</f>
        <v/>
      </c>
      <c r="E15" t="str">
        <f>'Plan+'!L15</f>
        <v>Destination_Plate_1</v>
      </c>
    </row>
    <row r="16" spans="1:5" x14ac:dyDescent="0.25">
      <c r="A16" s="3" t="str">
        <f>IF(C16="","",VLOOKUP(C16,Source_Plate!$M$2:$N$9,2,FALSE))</f>
        <v/>
      </c>
      <c r="B16" s="3" t="str">
        <f>IF(C16="","",'Plan+'!K16)</f>
        <v/>
      </c>
      <c r="C16" s="76" t="str">
        <f>IF('Plan+'!J16="","",Source_Plate!$M$2)</f>
        <v/>
      </c>
      <c r="D16" s="3" t="str">
        <f>IF(C16="", "",
    'Plate organization+'!$B$45
    - IF(ISNUMBER(Worklist_Tags!D16), Worklist_Tags!D16, 0)
    - IF(ISNUMBER(Worklist_RBS!D16), Worklist_RBS!D16, 0)
    - IF(ISNUMBER(Worklist_SP!D16), Worklist_SP!D16, 0)
    - IF(ISNUMBER(Worklist_GoI!D16), Worklist_GoI!D16, 0)
    - IF(ISNUMBER(Worklist_P!D16), Worklist_P!D16, 0)
    - IF(ISNUMBER(Worklist_MM!D16), Worklist_MM!D16, 0)
    - IF(ISNUMBER(Worklist_PM!D16), Worklist_PM!D16, 0)
    - IF(ISNUMBER(Worklist_BB!D16), Worklist_BB!D16, 0)
)</f>
        <v/>
      </c>
      <c r="E16" t="str">
        <f>'Plan+'!L16</f>
        <v>Destination_Plate_1</v>
      </c>
    </row>
    <row r="17" spans="1:5" x14ac:dyDescent="0.25">
      <c r="A17" s="3" t="str">
        <f>IF(C17="","",VLOOKUP(C17,Source_Plate!$M$2:$N$9,2,FALSE))</f>
        <v/>
      </c>
      <c r="B17" s="3" t="str">
        <f>IF(C17="","",'Plan+'!K17)</f>
        <v/>
      </c>
      <c r="C17" s="76" t="str">
        <f>IF('Plan+'!J17="","",Source_Plate!$M$2)</f>
        <v/>
      </c>
      <c r="D17" s="3" t="str">
        <f>IF(C17="", "",
    'Plate organization+'!$B$45
    - IF(ISNUMBER(Worklist_Tags!D17), Worklist_Tags!D17, 0)
    - IF(ISNUMBER(Worklist_RBS!D17), Worklist_RBS!D17, 0)
    - IF(ISNUMBER(Worklist_SP!D17), Worklist_SP!D17, 0)
    - IF(ISNUMBER(Worklist_GoI!D17), Worklist_GoI!D17, 0)
    - IF(ISNUMBER(Worklist_P!D17), Worklist_P!D17, 0)
    - IF(ISNUMBER(Worklist_MM!D17), Worklist_MM!D17, 0)
    - IF(ISNUMBER(Worklist_PM!D17), Worklist_PM!D17, 0)
    - IF(ISNUMBER(Worklist_BB!D17), Worklist_BB!D17, 0)
)</f>
        <v/>
      </c>
      <c r="E17" t="str">
        <f>'Plan+'!L17</f>
        <v>Destination_Plate_1</v>
      </c>
    </row>
    <row r="18" spans="1:5" x14ac:dyDescent="0.25">
      <c r="A18" s="3" t="str">
        <f>IF(C18="","",VLOOKUP(C18,Source_Plate!$M$2:$N$9,2,FALSE))</f>
        <v/>
      </c>
      <c r="B18" s="3" t="str">
        <f>IF(C18="","",'Plan+'!K18)</f>
        <v/>
      </c>
      <c r="C18" s="76" t="str">
        <f>IF('Plan+'!J18="","",Source_Plate!$M$2)</f>
        <v/>
      </c>
      <c r="D18" s="3" t="str">
        <f>IF(C18="", "",
    'Plate organization+'!$B$45
    - IF(ISNUMBER(Worklist_Tags!D18), Worklist_Tags!D18, 0)
    - IF(ISNUMBER(Worklist_RBS!D18), Worklist_RBS!D18, 0)
    - IF(ISNUMBER(Worklist_SP!D18), Worklist_SP!D18, 0)
    - IF(ISNUMBER(Worklist_GoI!D18), Worklist_GoI!D18, 0)
    - IF(ISNUMBER(Worklist_P!D18), Worklist_P!D18, 0)
    - IF(ISNUMBER(Worklist_MM!D18), Worklist_MM!D18, 0)
    - IF(ISNUMBER(Worklist_PM!D18), Worklist_PM!D18, 0)
    - IF(ISNUMBER(Worklist_BB!D18), Worklist_BB!D18, 0)
)</f>
        <v/>
      </c>
      <c r="E18" t="str">
        <f>'Plan+'!L18</f>
        <v>Destination_Plate_1</v>
      </c>
    </row>
    <row r="19" spans="1:5" x14ac:dyDescent="0.25">
      <c r="A19" s="3" t="str">
        <f>IF(C19="","",VLOOKUP(C19,Source_Plate!$M$2:$N$9,2,FALSE))</f>
        <v/>
      </c>
      <c r="B19" s="3" t="str">
        <f>IF(C19="","",'Plan+'!K19)</f>
        <v/>
      </c>
      <c r="C19" s="76" t="str">
        <f>IF('Plan+'!J19="","",Source_Plate!$M$2)</f>
        <v/>
      </c>
      <c r="D19" s="3" t="str">
        <f>IF(C19="", "",
    'Plate organization+'!$B$45
    - IF(ISNUMBER(Worklist_Tags!D19), Worklist_Tags!D19, 0)
    - IF(ISNUMBER(Worklist_RBS!D19), Worklist_RBS!D19, 0)
    - IF(ISNUMBER(Worklist_SP!D19), Worklist_SP!D19, 0)
    - IF(ISNUMBER(Worklist_GoI!D19), Worklist_GoI!D19, 0)
    - IF(ISNUMBER(Worklist_P!D19), Worklist_P!D19, 0)
    - IF(ISNUMBER(Worklist_MM!D19), Worklist_MM!D19, 0)
    - IF(ISNUMBER(Worklist_PM!D19), Worklist_PM!D19, 0)
    - IF(ISNUMBER(Worklist_BB!D19), Worklist_BB!D19, 0)
)</f>
        <v/>
      </c>
      <c r="E19" t="str">
        <f>'Plan+'!L19</f>
        <v>Destination_Plate_1</v>
      </c>
    </row>
    <row r="20" spans="1:5" x14ac:dyDescent="0.25">
      <c r="A20" s="3" t="str">
        <f>IF(C20="","",VLOOKUP(C20,Source_Plate!$M$2:$N$9,2,FALSE))</f>
        <v/>
      </c>
      <c r="B20" s="3" t="str">
        <f>IF(C20="","",'Plan+'!K20)</f>
        <v/>
      </c>
      <c r="C20" s="76" t="str">
        <f>IF('Plan+'!J20="","",Source_Plate!$M$2)</f>
        <v/>
      </c>
      <c r="D20" s="3" t="str">
        <f>IF(C20="", "",
    'Plate organization+'!$B$45
    - IF(ISNUMBER(Worklist_Tags!D20), Worklist_Tags!D20, 0)
    - IF(ISNUMBER(Worklist_RBS!D20), Worklist_RBS!D20, 0)
    - IF(ISNUMBER(Worklist_SP!D20), Worklist_SP!D20, 0)
    - IF(ISNUMBER(Worklist_GoI!D20), Worklist_GoI!D20, 0)
    - IF(ISNUMBER(Worklist_P!D20), Worklist_P!D20, 0)
    - IF(ISNUMBER(Worklist_MM!D20), Worklist_MM!D20, 0)
    - IF(ISNUMBER(Worklist_PM!D20), Worklist_PM!D20, 0)
    - IF(ISNUMBER(Worklist_BB!D20), Worklist_BB!D20, 0)
)</f>
        <v/>
      </c>
      <c r="E20" t="str">
        <f>'Plan+'!L20</f>
        <v>Destination_Plate_1</v>
      </c>
    </row>
    <row r="21" spans="1:5" x14ac:dyDescent="0.25">
      <c r="A21" s="3" t="str">
        <f>IF(C21="","",VLOOKUP(C21,Source_Plate!$M$2:$N$9,2,FALSE))</f>
        <v/>
      </c>
      <c r="B21" s="3" t="str">
        <f>IF(C21="","",'Plan+'!K21)</f>
        <v/>
      </c>
      <c r="C21" s="76" t="str">
        <f>IF('Plan+'!J21="","",Source_Plate!$M$2)</f>
        <v/>
      </c>
      <c r="D21" s="3" t="str">
        <f>IF(C21="", "",
    'Plate organization+'!$B$45
    - IF(ISNUMBER(Worklist_Tags!D21), Worklist_Tags!D21, 0)
    - IF(ISNUMBER(Worklist_RBS!D21), Worklist_RBS!D21, 0)
    - IF(ISNUMBER(Worklist_SP!D21), Worklist_SP!D21, 0)
    - IF(ISNUMBER(Worklist_GoI!D21), Worklist_GoI!D21, 0)
    - IF(ISNUMBER(Worklist_P!D21), Worklist_P!D21, 0)
    - IF(ISNUMBER(Worklist_MM!D21), Worklist_MM!D21, 0)
    - IF(ISNUMBER(Worklist_PM!D21), Worklist_PM!D21, 0)
    - IF(ISNUMBER(Worklist_BB!D21), Worklist_BB!D21, 0)
)</f>
        <v/>
      </c>
      <c r="E21" t="str">
        <f>'Plan+'!L21</f>
        <v>Destination_Plate_1</v>
      </c>
    </row>
    <row r="22" spans="1:5" x14ac:dyDescent="0.25">
      <c r="A22" s="3" t="str">
        <f>IF(C22="","",VLOOKUP(C22,Source_Plate!$M$2:$N$9,2,FALSE))</f>
        <v/>
      </c>
      <c r="B22" s="3" t="str">
        <f>IF(C22="","",'Plan+'!K22)</f>
        <v/>
      </c>
      <c r="C22" s="76" t="str">
        <f>IF('Plan+'!J22="","",Source_Plate!$M$2)</f>
        <v/>
      </c>
      <c r="D22" s="3" t="str">
        <f>IF(C22="", "",
    'Plate organization+'!$B$45
    - IF(ISNUMBER(Worklist_Tags!D22), Worklist_Tags!D22, 0)
    - IF(ISNUMBER(Worklist_RBS!D22), Worklist_RBS!D22, 0)
    - IF(ISNUMBER(Worklist_SP!D22), Worklist_SP!D22, 0)
    - IF(ISNUMBER(Worklist_GoI!D22), Worklist_GoI!D22, 0)
    - IF(ISNUMBER(Worklist_P!D22), Worklist_P!D22, 0)
    - IF(ISNUMBER(Worklist_MM!D22), Worklist_MM!D22, 0)
    - IF(ISNUMBER(Worklist_PM!D22), Worklist_PM!D22, 0)
    - IF(ISNUMBER(Worklist_BB!D22), Worklist_BB!D22, 0)
)</f>
        <v/>
      </c>
      <c r="E22" t="str">
        <f>'Plan+'!L22</f>
        <v>Destination_Plate_1</v>
      </c>
    </row>
    <row r="23" spans="1:5" x14ac:dyDescent="0.25">
      <c r="A23" s="3" t="str">
        <f>IF(C23="","",VLOOKUP(C23,Source_Plate!$M$2:$N$9,2,FALSE))</f>
        <v/>
      </c>
      <c r="B23" s="3" t="str">
        <f>IF(C23="","",'Plan+'!K23)</f>
        <v/>
      </c>
      <c r="C23" s="76" t="str">
        <f>IF('Plan+'!J23="","",Source_Plate!$M$2)</f>
        <v/>
      </c>
      <c r="D23" s="3" t="str">
        <f>IF(C23="", "",
    'Plate organization+'!$B$45
    - IF(ISNUMBER(Worklist_Tags!D23), Worklist_Tags!D23, 0)
    - IF(ISNUMBER(Worklist_RBS!D23), Worklist_RBS!D23, 0)
    - IF(ISNUMBER(Worklist_SP!D23), Worklist_SP!D23, 0)
    - IF(ISNUMBER(Worklist_GoI!D23), Worklist_GoI!D23, 0)
    - IF(ISNUMBER(Worklist_P!D23), Worklist_P!D23, 0)
    - IF(ISNUMBER(Worklist_MM!D23), Worklist_MM!D23, 0)
    - IF(ISNUMBER(Worklist_PM!D23), Worklist_PM!D23, 0)
    - IF(ISNUMBER(Worklist_BB!D23), Worklist_BB!D23, 0)
)</f>
        <v/>
      </c>
      <c r="E23" t="str">
        <f>'Plan+'!L23</f>
        <v>Destination_Plate_1</v>
      </c>
    </row>
    <row r="24" spans="1:5" x14ac:dyDescent="0.25">
      <c r="A24" s="3" t="str">
        <f>IF(C24="","",VLOOKUP(C24,Source_Plate!$M$2:$N$9,2,FALSE))</f>
        <v/>
      </c>
      <c r="B24" s="3" t="str">
        <f>IF(C24="","",'Plan+'!K24)</f>
        <v/>
      </c>
      <c r="C24" s="76" t="str">
        <f>IF('Plan+'!J24="","",Source_Plate!$M$2)</f>
        <v/>
      </c>
      <c r="D24" s="3" t="str">
        <f>IF(C24="", "",
    'Plate organization+'!$B$45
    - IF(ISNUMBER(Worklist_Tags!D24), Worklist_Tags!D24, 0)
    - IF(ISNUMBER(Worklist_RBS!D24), Worklist_RBS!D24, 0)
    - IF(ISNUMBER(Worklist_SP!D24), Worklist_SP!D24, 0)
    - IF(ISNUMBER(Worklist_GoI!D24), Worklist_GoI!D24, 0)
    - IF(ISNUMBER(Worklist_P!D24), Worklist_P!D24, 0)
    - IF(ISNUMBER(Worklist_MM!D24), Worklist_MM!D24, 0)
    - IF(ISNUMBER(Worklist_PM!D24), Worklist_PM!D24, 0)
    - IF(ISNUMBER(Worklist_BB!D24), Worklist_BB!D24, 0)
)</f>
        <v/>
      </c>
      <c r="E24" t="str">
        <f>'Plan+'!L24</f>
        <v>Destination_Plate_1</v>
      </c>
    </row>
    <row r="25" spans="1:5" x14ac:dyDescent="0.25">
      <c r="A25" s="3" t="str">
        <f>IF(C25="","",VLOOKUP(C25,Source_Plate!$M$2:$N$9,2,FALSE))</f>
        <v/>
      </c>
      <c r="B25" s="3" t="str">
        <f>IF(C25="","",'Plan+'!K25)</f>
        <v/>
      </c>
      <c r="C25" s="76" t="str">
        <f>IF('Plan+'!J25="","",Source_Plate!$M$2)</f>
        <v/>
      </c>
      <c r="D25" s="3" t="str">
        <f>IF(C25="", "",
    'Plate organization+'!$B$45
    - IF(ISNUMBER(Worklist_Tags!D25), Worklist_Tags!D25, 0)
    - IF(ISNUMBER(Worklist_RBS!D25), Worklist_RBS!D25, 0)
    - IF(ISNUMBER(Worklist_SP!D25), Worklist_SP!D25, 0)
    - IF(ISNUMBER(Worklist_GoI!D25), Worklist_GoI!D25, 0)
    - IF(ISNUMBER(Worklist_P!D25), Worklist_P!D25, 0)
    - IF(ISNUMBER(Worklist_MM!D25), Worklist_MM!D25, 0)
    - IF(ISNUMBER(Worklist_PM!D25), Worklist_PM!D25, 0)
    - IF(ISNUMBER(Worklist_BB!D25), Worklist_BB!D25, 0)
)</f>
        <v/>
      </c>
      <c r="E25" t="str">
        <f>'Plan+'!L25</f>
        <v>Destination_Plate_1</v>
      </c>
    </row>
    <row r="26" spans="1:5" x14ac:dyDescent="0.25">
      <c r="A26" s="3" t="str">
        <f>IF(C26="","",VLOOKUP(C26,Source_Plate!$M$2:$N$9,2,FALSE))</f>
        <v/>
      </c>
      <c r="B26" s="3" t="str">
        <f>IF(C26="","",'Plan+'!K26)</f>
        <v/>
      </c>
      <c r="C26" s="76" t="str">
        <f>IF('Plan+'!J26="","",Source_Plate!$M$2)</f>
        <v/>
      </c>
      <c r="D26" s="3" t="str">
        <f>IF(C26="", "",
    'Plate organization+'!$B$45
    - IF(ISNUMBER(Worklist_Tags!D26), Worklist_Tags!D26, 0)
    - IF(ISNUMBER(Worklist_RBS!D26), Worklist_RBS!D26, 0)
    - IF(ISNUMBER(Worklist_SP!D26), Worklist_SP!D26, 0)
    - IF(ISNUMBER(Worklist_GoI!D26), Worklist_GoI!D26, 0)
    - IF(ISNUMBER(Worklist_P!D26), Worklist_P!D26, 0)
    - IF(ISNUMBER(Worklist_MM!D26), Worklist_MM!D26, 0)
    - IF(ISNUMBER(Worklist_PM!D26), Worklist_PM!D26, 0)
    - IF(ISNUMBER(Worklist_BB!D26), Worklist_BB!D26, 0)
)</f>
        <v/>
      </c>
      <c r="E26" t="str">
        <f>'Plan+'!L26</f>
        <v>Destination_Plate_1</v>
      </c>
    </row>
    <row r="27" spans="1:5" x14ac:dyDescent="0.25">
      <c r="A27" s="3" t="str">
        <f>IF(C27="","",VLOOKUP(C27,Source_Plate!$M$2:$N$9,2,FALSE))</f>
        <v/>
      </c>
      <c r="B27" s="3" t="str">
        <f>IF(C27="","",'Plan+'!K27)</f>
        <v/>
      </c>
      <c r="C27" s="76" t="str">
        <f>IF('Plan+'!J27="","",Source_Plate!$M$2)</f>
        <v/>
      </c>
      <c r="D27" s="3" t="str">
        <f>IF(C27="", "",
    'Plate organization+'!$B$45
    - IF(ISNUMBER(Worklist_Tags!D27), Worklist_Tags!D27, 0)
    - IF(ISNUMBER(Worklist_RBS!D27), Worklist_RBS!D27, 0)
    - IF(ISNUMBER(Worklist_SP!D27), Worklist_SP!D27, 0)
    - IF(ISNUMBER(Worklist_GoI!D27), Worklist_GoI!D27, 0)
    - IF(ISNUMBER(Worklist_P!D27), Worklist_P!D27, 0)
    - IF(ISNUMBER(Worklist_MM!D27), Worklist_MM!D27, 0)
    - IF(ISNUMBER(Worklist_PM!D27), Worklist_PM!D27, 0)
    - IF(ISNUMBER(Worklist_BB!D27), Worklist_BB!D27, 0)
)</f>
        <v/>
      </c>
      <c r="E27" t="str">
        <f>'Plan+'!L27</f>
        <v>Destination_Plate_1</v>
      </c>
    </row>
    <row r="28" spans="1:5" x14ac:dyDescent="0.25">
      <c r="A28" s="3" t="str">
        <f>IF(C28="","",VLOOKUP(C28,Source_Plate!$M$2:$N$9,2,FALSE))</f>
        <v/>
      </c>
      <c r="B28" s="3" t="str">
        <f>IF(C28="","",'Plan+'!K28)</f>
        <v/>
      </c>
      <c r="C28" s="76" t="str">
        <f>IF('Plan+'!J28="","",Source_Plate!$M$2)</f>
        <v/>
      </c>
      <c r="D28" s="3" t="str">
        <f>IF(C28="", "",
    'Plate organization+'!$B$45
    - IF(ISNUMBER(Worklist_Tags!D28), Worklist_Tags!D28, 0)
    - IF(ISNUMBER(Worklist_RBS!D28), Worklist_RBS!D28, 0)
    - IF(ISNUMBER(Worklist_SP!D28), Worklist_SP!D28, 0)
    - IF(ISNUMBER(Worklist_GoI!D28), Worklist_GoI!D28, 0)
    - IF(ISNUMBER(Worklist_P!D28), Worklist_P!D28, 0)
    - IF(ISNUMBER(Worklist_MM!D28), Worklist_MM!D28, 0)
    - IF(ISNUMBER(Worklist_PM!D28), Worklist_PM!D28, 0)
    - IF(ISNUMBER(Worklist_BB!D28), Worklist_BB!D28, 0)
)</f>
        <v/>
      </c>
      <c r="E28" t="str">
        <f>'Plan+'!L28</f>
        <v>Destination_Plate_1</v>
      </c>
    </row>
    <row r="29" spans="1:5" x14ac:dyDescent="0.25">
      <c r="A29" s="3" t="str">
        <f>IF(C29="","",VLOOKUP(C29,Source_Plate!$M$2:$N$9,2,FALSE))</f>
        <v/>
      </c>
      <c r="B29" s="3" t="str">
        <f>IF(C29="","",'Plan+'!K29)</f>
        <v/>
      </c>
      <c r="C29" s="76" t="str">
        <f>IF('Plan+'!J29="","",Source_Plate!$M$2)</f>
        <v/>
      </c>
      <c r="D29" s="3" t="str">
        <f>IF(C29="", "",
    'Plate organization+'!$B$45
    - IF(ISNUMBER(Worklist_Tags!D29), Worklist_Tags!D29, 0)
    - IF(ISNUMBER(Worklist_RBS!D29), Worklist_RBS!D29, 0)
    - IF(ISNUMBER(Worklist_SP!D29), Worklist_SP!D29, 0)
    - IF(ISNUMBER(Worklist_GoI!D29), Worklist_GoI!D29, 0)
    - IF(ISNUMBER(Worklist_P!D29), Worklist_P!D29, 0)
    - IF(ISNUMBER(Worklist_MM!D29), Worklist_MM!D29, 0)
    - IF(ISNUMBER(Worklist_PM!D29), Worklist_PM!D29, 0)
    - IF(ISNUMBER(Worklist_BB!D29), Worklist_BB!D29, 0)
)</f>
        <v/>
      </c>
      <c r="E29" t="str">
        <f>'Plan+'!L29</f>
        <v>Destination_Plate_1</v>
      </c>
    </row>
    <row r="30" spans="1:5" x14ac:dyDescent="0.25">
      <c r="A30" s="3" t="str">
        <f>IF(C30="","",VLOOKUP(C30,Source_Plate!$M$2:$N$9,2,FALSE))</f>
        <v/>
      </c>
      <c r="B30" s="3" t="str">
        <f>IF(C30="","",'Plan+'!K30)</f>
        <v/>
      </c>
      <c r="C30" s="76" t="str">
        <f>IF('Plan+'!J30="","",Source_Plate!$M$2)</f>
        <v/>
      </c>
      <c r="D30" s="3" t="str">
        <f>IF(C30="", "",
    'Plate organization+'!$B$45
    - IF(ISNUMBER(Worklist_Tags!D30), Worklist_Tags!D30, 0)
    - IF(ISNUMBER(Worklist_RBS!D30), Worklist_RBS!D30, 0)
    - IF(ISNUMBER(Worklist_SP!D30), Worklist_SP!D30, 0)
    - IF(ISNUMBER(Worklist_GoI!D30), Worklist_GoI!D30, 0)
    - IF(ISNUMBER(Worklist_P!D30), Worklist_P!D30, 0)
    - IF(ISNUMBER(Worklist_MM!D30), Worklist_MM!D30, 0)
    - IF(ISNUMBER(Worklist_PM!D30), Worklist_PM!D30, 0)
    - IF(ISNUMBER(Worklist_BB!D30), Worklist_BB!D30, 0)
)</f>
        <v/>
      </c>
      <c r="E30" t="str">
        <f>'Plan+'!L30</f>
        <v>Destination_Plate_1</v>
      </c>
    </row>
    <row r="31" spans="1:5" x14ac:dyDescent="0.25">
      <c r="A31" s="3" t="str">
        <f>IF(C31="","",VLOOKUP(C31,Source_Plate!$M$2:$N$9,2,FALSE))</f>
        <v/>
      </c>
      <c r="B31" s="3" t="str">
        <f>IF(C31="","",'Plan+'!K31)</f>
        <v/>
      </c>
      <c r="C31" s="76" t="str">
        <f>IF('Plan+'!J31="","",Source_Plate!$M$2)</f>
        <v/>
      </c>
      <c r="D31" s="3" t="str">
        <f>IF(C31="", "",
    'Plate organization+'!$B$45
    - IF(ISNUMBER(Worklist_Tags!D31), Worklist_Tags!D31, 0)
    - IF(ISNUMBER(Worklist_RBS!D31), Worklist_RBS!D31, 0)
    - IF(ISNUMBER(Worklist_SP!D31), Worklist_SP!D31, 0)
    - IF(ISNUMBER(Worklist_GoI!D31), Worklist_GoI!D31, 0)
    - IF(ISNUMBER(Worklist_P!D31), Worklist_P!D31, 0)
    - IF(ISNUMBER(Worklist_MM!D31), Worklist_MM!D31, 0)
    - IF(ISNUMBER(Worklist_PM!D31), Worklist_PM!D31, 0)
    - IF(ISNUMBER(Worklist_BB!D31), Worklist_BB!D31, 0)
)</f>
        <v/>
      </c>
      <c r="E31" t="str">
        <f>'Plan+'!L31</f>
        <v>Destination_Plate_1</v>
      </c>
    </row>
    <row r="32" spans="1:5" x14ac:dyDescent="0.25">
      <c r="A32" s="3" t="str">
        <f>IF(C32="","",VLOOKUP(C32,Source_Plate!$M$2:$N$9,2,FALSE))</f>
        <v/>
      </c>
      <c r="B32" s="3" t="str">
        <f>IF(C32="","",'Plan+'!K32)</f>
        <v/>
      </c>
      <c r="C32" s="76" t="str">
        <f>IF('Plan+'!J32="","",Source_Plate!$M$2)</f>
        <v/>
      </c>
      <c r="D32" s="3" t="str">
        <f>IF(C32="", "",
    'Plate organization+'!$B$45
    - IF(ISNUMBER(Worklist_Tags!D32), Worklist_Tags!D32, 0)
    - IF(ISNUMBER(Worklist_RBS!D32), Worklist_RBS!D32, 0)
    - IF(ISNUMBER(Worklist_SP!D32), Worklist_SP!D32, 0)
    - IF(ISNUMBER(Worklist_GoI!D32), Worklist_GoI!D32, 0)
    - IF(ISNUMBER(Worklist_P!D32), Worklist_P!D32, 0)
    - IF(ISNUMBER(Worklist_MM!D32), Worklist_MM!D32, 0)
    - IF(ISNUMBER(Worklist_PM!D32), Worklist_PM!D32, 0)
    - IF(ISNUMBER(Worklist_BB!D32), Worklist_BB!D32, 0)
)</f>
        <v/>
      </c>
      <c r="E32" t="str">
        <f>'Plan+'!L32</f>
        <v>Destination_Plate_1</v>
      </c>
    </row>
    <row r="33" spans="1:5" x14ac:dyDescent="0.25">
      <c r="A33" s="3" t="str">
        <f>IF(C33="","",VLOOKUP(C33,Source_Plate!$M$2:$N$9,2,FALSE))</f>
        <v/>
      </c>
      <c r="B33" s="3" t="str">
        <f>IF(C33="","",'Plan+'!K33)</f>
        <v/>
      </c>
      <c r="C33" s="76" t="str">
        <f>IF('Plan+'!J33="","",Source_Plate!$M$2)</f>
        <v/>
      </c>
      <c r="D33" s="3" t="str">
        <f>IF(C33="", "",
    'Plate organization+'!$B$45
    - IF(ISNUMBER(Worklist_Tags!D33), Worklist_Tags!D33, 0)
    - IF(ISNUMBER(Worklist_RBS!D33), Worklist_RBS!D33, 0)
    - IF(ISNUMBER(Worklist_SP!D33), Worklist_SP!D33, 0)
    - IF(ISNUMBER(Worklist_GoI!D33), Worklist_GoI!D33, 0)
    - IF(ISNUMBER(Worklist_P!D33), Worklist_P!D33, 0)
    - IF(ISNUMBER(Worklist_MM!D33), Worklist_MM!D33, 0)
    - IF(ISNUMBER(Worklist_PM!D33), Worklist_PM!D33, 0)
    - IF(ISNUMBER(Worklist_BB!D33), Worklist_BB!D33, 0)
)</f>
        <v/>
      </c>
      <c r="E33" t="str">
        <f>'Plan+'!L33</f>
        <v>Destination_Plate_1</v>
      </c>
    </row>
    <row r="34" spans="1:5" x14ac:dyDescent="0.25">
      <c r="A34" s="3" t="str">
        <f>IF(C34="","",VLOOKUP(C34,Source_Plate!$M$2:$N$9,2,FALSE))</f>
        <v/>
      </c>
      <c r="B34" s="3" t="str">
        <f>IF(C34="","",'Plan+'!K34)</f>
        <v/>
      </c>
      <c r="C34" s="76" t="str">
        <f>IF('Plan+'!J34="","",Source_Plate!$M$2)</f>
        <v/>
      </c>
      <c r="D34" s="3" t="str">
        <f>IF(C34="", "",
    'Plate organization+'!$B$45
    - IF(ISNUMBER(Worklist_Tags!D34), Worklist_Tags!D34, 0)
    - IF(ISNUMBER(Worklist_RBS!D34), Worklist_RBS!D34, 0)
    - IF(ISNUMBER(Worklist_SP!D34), Worklist_SP!D34, 0)
    - IF(ISNUMBER(Worklist_GoI!D34), Worklist_GoI!D34, 0)
    - IF(ISNUMBER(Worklist_P!D34), Worklist_P!D34, 0)
    - IF(ISNUMBER(Worklist_MM!D34), Worklist_MM!D34, 0)
    - IF(ISNUMBER(Worklist_PM!D34), Worklist_PM!D34, 0)
    - IF(ISNUMBER(Worklist_BB!D34), Worklist_BB!D34, 0)
)</f>
        <v/>
      </c>
      <c r="E34" t="str">
        <f>'Plan+'!L34</f>
        <v>Destination_Plate_1</v>
      </c>
    </row>
    <row r="35" spans="1:5" x14ac:dyDescent="0.25">
      <c r="A35" s="3" t="str">
        <f>IF(C35="","",VLOOKUP(C35,Source_Plate!$M$2:$N$9,2,FALSE))</f>
        <v/>
      </c>
      <c r="B35" s="3" t="str">
        <f>IF(C35="","",'Plan+'!K35)</f>
        <v/>
      </c>
      <c r="C35" s="76" t="str">
        <f>IF('Plan+'!J35="","",Source_Plate!$M$2)</f>
        <v/>
      </c>
      <c r="D35" s="3" t="str">
        <f>IF(C35="", "",
    'Plate organization+'!$B$45
    - IF(ISNUMBER(Worklist_Tags!D35), Worklist_Tags!D35, 0)
    - IF(ISNUMBER(Worklist_RBS!D35), Worklist_RBS!D35, 0)
    - IF(ISNUMBER(Worklist_SP!D35), Worklist_SP!D35, 0)
    - IF(ISNUMBER(Worklist_GoI!D35), Worklist_GoI!D35, 0)
    - IF(ISNUMBER(Worklist_P!D35), Worklist_P!D35, 0)
    - IF(ISNUMBER(Worklist_MM!D35), Worklist_MM!D35, 0)
    - IF(ISNUMBER(Worklist_PM!D35), Worklist_PM!D35, 0)
    - IF(ISNUMBER(Worklist_BB!D35), Worklist_BB!D35, 0)
)</f>
        <v/>
      </c>
      <c r="E35" t="str">
        <f>'Plan+'!L35</f>
        <v>Destination_Plate_1</v>
      </c>
    </row>
    <row r="36" spans="1:5" x14ac:dyDescent="0.25">
      <c r="A36" s="3" t="str">
        <f>IF(C36="","",VLOOKUP(C36,Source_Plate!$M$2:$N$9,2,FALSE))</f>
        <v/>
      </c>
      <c r="B36" s="3" t="str">
        <f>IF(C36="","",'Plan+'!K36)</f>
        <v/>
      </c>
      <c r="C36" s="76" t="str">
        <f>IF('Plan+'!J36="","",Source_Plate!$M$2)</f>
        <v/>
      </c>
      <c r="D36" s="3" t="str">
        <f>IF(C36="", "",
    'Plate organization+'!$B$45
    - IF(ISNUMBER(Worklist_Tags!D36), Worklist_Tags!D36, 0)
    - IF(ISNUMBER(Worklist_RBS!D36), Worklist_RBS!D36, 0)
    - IF(ISNUMBER(Worklist_SP!D36), Worklist_SP!D36, 0)
    - IF(ISNUMBER(Worklist_GoI!D36), Worklist_GoI!D36, 0)
    - IF(ISNUMBER(Worklist_P!D36), Worklist_P!D36, 0)
    - IF(ISNUMBER(Worklist_MM!D36), Worklist_MM!D36, 0)
    - IF(ISNUMBER(Worklist_PM!D36), Worklist_PM!D36, 0)
    - IF(ISNUMBER(Worklist_BB!D36), Worklist_BB!D36, 0)
)</f>
        <v/>
      </c>
      <c r="E36" t="str">
        <f>'Plan+'!L36</f>
        <v>Destination_Plate_1</v>
      </c>
    </row>
    <row r="37" spans="1:5" x14ac:dyDescent="0.25">
      <c r="A37" s="3" t="str">
        <f>IF(C37="","",VLOOKUP(C37,Source_Plate!$M$2:$N$9,2,FALSE))</f>
        <v/>
      </c>
      <c r="B37" s="3" t="str">
        <f>IF(C37="","",'Plan+'!K37)</f>
        <v/>
      </c>
      <c r="C37" s="76" t="str">
        <f>IF('Plan+'!J37="","",Source_Plate!$M$2)</f>
        <v/>
      </c>
      <c r="D37" s="3" t="str">
        <f>IF(C37="", "",
    'Plate organization+'!$B$45
    - IF(ISNUMBER(Worklist_Tags!D37), Worklist_Tags!D37, 0)
    - IF(ISNUMBER(Worklist_RBS!D37), Worklist_RBS!D37, 0)
    - IF(ISNUMBER(Worklist_SP!D37), Worklist_SP!D37, 0)
    - IF(ISNUMBER(Worklist_GoI!D37), Worklist_GoI!D37, 0)
    - IF(ISNUMBER(Worklist_P!D37), Worklist_P!D37, 0)
    - IF(ISNUMBER(Worklist_MM!D37), Worklist_MM!D37, 0)
    - IF(ISNUMBER(Worklist_PM!D37), Worklist_PM!D37, 0)
    - IF(ISNUMBER(Worklist_BB!D37), Worklist_BB!D37, 0)
)</f>
        <v/>
      </c>
      <c r="E37" t="str">
        <f>'Plan+'!L37</f>
        <v>Destination_Plate_1</v>
      </c>
    </row>
    <row r="38" spans="1:5" x14ac:dyDescent="0.25">
      <c r="A38" s="3" t="str">
        <f>IF(C38="","",VLOOKUP(C38,Source_Plate!$M$2:$N$9,2,FALSE))</f>
        <v/>
      </c>
      <c r="B38" s="3" t="str">
        <f>IF(C38="","",'Plan+'!K38)</f>
        <v/>
      </c>
      <c r="C38" s="76" t="str">
        <f>IF('Plan+'!J38="","",Source_Plate!$M$2)</f>
        <v/>
      </c>
      <c r="D38" s="3" t="str">
        <f>IF(C38="", "",
    'Plate organization+'!$B$45
    - IF(ISNUMBER(Worklist_Tags!D38), Worklist_Tags!D38, 0)
    - IF(ISNUMBER(Worklist_RBS!D38), Worklist_RBS!D38, 0)
    - IF(ISNUMBER(Worklist_SP!D38), Worklist_SP!D38, 0)
    - IF(ISNUMBER(Worklist_GoI!D38), Worklist_GoI!D38, 0)
    - IF(ISNUMBER(Worklist_P!D38), Worklist_P!D38, 0)
    - IF(ISNUMBER(Worklist_MM!D38), Worklist_MM!D38, 0)
    - IF(ISNUMBER(Worklist_PM!D38), Worklist_PM!D38, 0)
    - IF(ISNUMBER(Worklist_BB!D38), Worklist_BB!D38, 0)
)</f>
        <v/>
      </c>
      <c r="E38" t="str">
        <f>'Plan+'!L38</f>
        <v>Destination_Plate_1</v>
      </c>
    </row>
    <row r="39" spans="1:5" x14ac:dyDescent="0.25">
      <c r="A39" s="3" t="str">
        <f>IF(C39="","",VLOOKUP(C39,Source_Plate!$M$2:$N$9,2,FALSE))</f>
        <v/>
      </c>
      <c r="B39" s="3" t="str">
        <f>IF(C39="","",'Plan+'!K39)</f>
        <v/>
      </c>
      <c r="C39" s="76" t="str">
        <f>IF('Plan+'!J39="","",Source_Plate!$M$2)</f>
        <v/>
      </c>
      <c r="D39" s="3" t="str">
        <f>IF(C39="", "",
    'Plate organization+'!$B$45
    - IF(ISNUMBER(Worklist_Tags!D39), Worklist_Tags!D39, 0)
    - IF(ISNUMBER(Worklist_RBS!D39), Worklist_RBS!D39, 0)
    - IF(ISNUMBER(Worklist_SP!D39), Worklist_SP!D39, 0)
    - IF(ISNUMBER(Worklist_GoI!D39), Worklist_GoI!D39, 0)
    - IF(ISNUMBER(Worklist_P!D39), Worklist_P!D39, 0)
    - IF(ISNUMBER(Worklist_MM!D39), Worklist_MM!D39, 0)
    - IF(ISNUMBER(Worklist_PM!D39), Worklist_PM!D39, 0)
    - IF(ISNUMBER(Worklist_BB!D39), Worklist_BB!D39, 0)
)</f>
        <v/>
      </c>
      <c r="E39" t="str">
        <f>'Plan+'!L39</f>
        <v>Destination_Plate_1</v>
      </c>
    </row>
    <row r="40" spans="1:5" x14ac:dyDescent="0.25">
      <c r="A40" s="3" t="str">
        <f>IF(C40="","",VLOOKUP(C40,Source_Plate!$M$2:$N$9,2,FALSE))</f>
        <v/>
      </c>
      <c r="B40" s="3" t="str">
        <f>IF(C40="","",'Plan+'!K40)</f>
        <v/>
      </c>
      <c r="C40" s="76" t="str">
        <f>IF('Plan+'!J40="","",Source_Plate!$M$2)</f>
        <v/>
      </c>
      <c r="D40" s="3" t="str">
        <f>IF(C40="", "",
    'Plate organization+'!$B$45
    - IF(ISNUMBER(Worklist_Tags!D40), Worklist_Tags!D40, 0)
    - IF(ISNUMBER(Worklist_RBS!D40), Worklist_RBS!D40, 0)
    - IF(ISNUMBER(Worklist_SP!D40), Worklist_SP!D40, 0)
    - IF(ISNUMBER(Worklist_GoI!D40), Worklist_GoI!D40, 0)
    - IF(ISNUMBER(Worklist_P!D40), Worklist_P!D40, 0)
    - IF(ISNUMBER(Worklist_MM!D40), Worklist_MM!D40, 0)
    - IF(ISNUMBER(Worklist_PM!D40), Worklist_PM!D40, 0)
    - IF(ISNUMBER(Worklist_BB!D40), Worklist_BB!D40, 0)
)</f>
        <v/>
      </c>
      <c r="E40" t="str">
        <f>'Plan+'!L40</f>
        <v>Destination_Plate_1</v>
      </c>
    </row>
    <row r="41" spans="1:5" x14ac:dyDescent="0.25">
      <c r="A41" s="3" t="str">
        <f>IF(C41="","",VLOOKUP(C41,Source_Plate!$M$2:$N$9,2,FALSE))</f>
        <v/>
      </c>
      <c r="B41" s="3" t="str">
        <f>IF(C41="","",'Plan+'!K41)</f>
        <v/>
      </c>
      <c r="C41" s="76" t="str">
        <f>IF('Plan+'!J41="","",Source_Plate!$M$2)</f>
        <v/>
      </c>
      <c r="D41" s="3" t="str">
        <f>IF(C41="", "",
    'Plate organization+'!$B$45
    - IF(ISNUMBER(Worklist_Tags!D41), Worklist_Tags!D41, 0)
    - IF(ISNUMBER(Worklist_RBS!D41), Worklist_RBS!D41, 0)
    - IF(ISNUMBER(Worklist_SP!D41), Worklist_SP!D41, 0)
    - IF(ISNUMBER(Worklist_GoI!D41), Worklist_GoI!D41, 0)
    - IF(ISNUMBER(Worklist_P!D41), Worklist_P!D41, 0)
    - IF(ISNUMBER(Worklist_MM!D41), Worklist_MM!D41, 0)
    - IF(ISNUMBER(Worklist_PM!D41), Worklist_PM!D41, 0)
    - IF(ISNUMBER(Worklist_BB!D41), Worklist_BB!D41, 0)
)</f>
        <v/>
      </c>
      <c r="E41" t="str">
        <f>'Plan+'!L41</f>
        <v>Destination_Plate_1</v>
      </c>
    </row>
    <row r="42" spans="1:5" x14ac:dyDescent="0.25">
      <c r="A42" s="3" t="str">
        <f>IF(C42="","",VLOOKUP(C42,Source_Plate!$M$2:$N$9,2,FALSE))</f>
        <v/>
      </c>
      <c r="B42" s="3" t="str">
        <f>IF(C42="","",'Plan+'!K42)</f>
        <v/>
      </c>
      <c r="C42" s="76" t="str">
        <f>IF('Plan+'!J42="","",Source_Plate!$M$2)</f>
        <v/>
      </c>
      <c r="D42" s="3" t="str">
        <f>IF(C42="", "",
    'Plate organization+'!$B$45
    - IF(ISNUMBER(Worklist_Tags!D42), Worklist_Tags!D42, 0)
    - IF(ISNUMBER(Worklist_RBS!D42), Worklist_RBS!D42, 0)
    - IF(ISNUMBER(Worklist_SP!D42), Worklist_SP!D42, 0)
    - IF(ISNUMBER(Worklist_GoI!D42), Worklist_GoI!D42, 0)
    - IF(ISNUMBER(Worklist_P!D42), Worklist_P!D42, 0)
    - IF(ISNUMBER(Worklist_MM!D42), Worklist_MM!D42, 0)
    - IF(ISNUMBER(Worklist_PM!D42), Worklist_PM!D42, 0)
    - IF(ISNUMBER(Worklist_BB!D42), Worklist_BB!D42, 0)
)</f>
        <v/>
      </c>
      <c r="E42" t="str">
        <f>'Plan+'!L42</f>
        <v>Destination_Plate_1</v>
      </c>
    </row>
    <row r="43" spans="1:5" x14ac:dyDescent="0.25">
      <c r="A43" s="3" t="str">
        <f>IF(C43="","",VLOOKUP(C43,Source_Plate!$M$2:$N$9,2,FALSE))</f>
        <v/>
      </c>
      <c r="B43" s="3" t="str">
        <f>IF(C43="","",'Plan+'!K43)</f>
        <v/>
      </c>
      <c r="C43" s="76" t="str">
        <f>IF('Plan+'!J43="","",Source_Plate!$M$2)</f>
        <v/>
      </c>
      <c r="D43" s="3" t="str">
        <f>IF(C43="", "",
    'Plate organization+'!$B$45
    - IF(ISNUMBER(Worklist_Tags!D43), Worklist_Tags!D43, 0)
    - IF(ISNUMBER(Worklist_RBS!D43), Worklist_RBS!D43, 0)
    - IF(ISNUMBER(Worklist_SP!D43), Worklist_SP!D43, 0)
    - IF(ISNUMBER(Worklist_GoI!D43), Worklist_GoI!D43, 0)
    - IF(ISNUMBER(Worklist_P!D43), Worklist_P!D43, 0)
    - IF(ISNUMBER(Worklist_MM!D43), Worklist_MM!D43, 0)
    - IF(ISNUMBER(Worklist_PM!D43), Worklist_PM!D43, 0)
    - IF(ISNUMBER(Worklist_BB!D43), Worklist_BB!D43, 0)
)</f>
        <v/>
      </c>
      <c r="E43" t="str">
        <f>'Plan+'!L43</f>
        <v>Destination_Plate_1</v>
      </c>
    </row>
    <row r="44" spans="1:5" x14ac:dyDescent="0.25">
      <c r="A44" s="3" t="str">
        <f>IF(C44="","",VLOOKUP(C44,Source_Plate!$M$2:$N$9,2,FALSE))</f>
        <v/>
      </c>
      <c r="B44" s="3" t="str">
        <f>IF(C44="","",'Plan+'!K44)</f>
        <v/>
      </c>
      <c r="C44" s="76" t="str">
        <f>IF('Plan+'!J44="","",Source_Plate!$M$2)</f>
        <v/>
      </c>
      <c r="D44" s="3" t="str">
        <f>IF(C44="", "",
    'Plate organization+'!$B$45
    - IF(ISNUMBER(Worklist_Tags!D44), Worklist_Tags!D44, 0)
    - IF(ISNUMBER(Worklist_RBS!D44), Worklist_RBS!D44, 0)
    - IF(ISNUMBER(Worklist_SP!D44), Worklist_SP!D44, 0)
    - IF(ISNUMBER(Worklist_GoI!D44), Worklist_GoI!D44, 0)
    - IF(ISNUMBER(Worklist_P!D44), Worklist_P!D44, 0)
    - IF(ISNUMBER(Worklist_MM!D44), Worklist_MM!D44, 0)
    - IF(ISNUMBER(Worklist_PM!D44), Worklist_PM!D44, 0)
    - IF(ISNUMBER(Worklist_BB!D44), Worklist_BB!D44, 0)
)</f>
        <v/>
      </c>
      <c r="E44" t="str">
        <f>'Plan+'!L44</f>
        <v>Destination_Plate_1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76" t="str">
        <f>IF('Plan+'!J45="","",Source_Plate!$M$2)</f>
        <v/>
      </c>
      <c r="D45" s="3" t="str">
        <f>IF(C45="", "",
    'Plate organization+'!$B$45
    - IF(ISNUMBER(Worklist_Tags!D45), Worklist_Tags!D45, 0)
    - IF(ISNUMBER(Worklist_RBS!D45), Worklist_RBS!D45, 0)
    - IF(ISNUMBER(Worklist_SP!D45), Worklist_SP!D45, 0)
    - IF(ISNUMBER(Worklist_GoI!D45), Worklist_GoI!D45, 0)
    - IF(ISNUMBER(Worklist_P!D45), Worklist_P!D45, 0)
    - IF(ISNUMBER(Worklist_MM!D45), Worklist_MM!D45, 0)
    - IF(ISNUMBER(Worklist_PM!D45), Worklist_PM!D45, 0)
    - IF(ISNUMBER(Worklist_BB!D45), Worklist_BB!D45, 0)
)</f>
        <v/>
      </c>
      <c r="E45" t="str">
        <f>'Plan+'!L45</f>
        <v>Destination_Plate_1</v>
      </c>
    </row>
    <row r="46" spans="1:5" x14ac:dyDescent="0.25">
      <c r="A46" s="3" t="str">
        <f>IF(C46="","",VLOOKUP(C46,Source_Plate!$M$2:$N$9,2,FALSE))</f>
        <v/>
      </c>
      <c r="B46" s="3" t="str">
        <f>IF(C46="","",'Plan+'!K46)</f>
        <v/>
      </c>
      <c r="C46" s="76" t="str">
        <f>IF('Plan+'!J46="","",Source_Plate!$M$2)</f>
        <v/>
      </c>
      <c r="D46" s="3" t="str">
        <f>IF(C46="", "",
    'Plate organization+'!$B$45
    - IF(ISNUMBER(Worklist_Tags!D46), Worklist_Tags!D46, 0)
    - IF(ISNUMBER(Worklist_RBS!D46), Worklist_RBS!D46, 0)
    - IF(ISNUMBER(Worklist_SP!D46), Worklist_SP!D46, 0)
    - IF(ISNUMBER(Worklist_GoI!D46), Worklist_GoI!D46, 0)
    - IF(ISNUMBER(Worklist_P!D46), Worklist_P!D46, 0)
    - IF(ISNUMBER(Worklist_MM!D46), Worklist_MM!D46, 0)
    - IF(ISNUMBER(Worklist_PM!D46), Worklist_PM!D46, 0)
    - IF(ISNUMBER(Worklist_BB!D46), Worklist_BB!D46, 0)
)</f>
        <v/>
      </c>
      <c r="E46" t="str">
        <f>'Plan+'!L46</f>
        <v>Destination_Plate_1</v>
      </c>
    </row>
    <row r="47" spans="1:5" x14ac:dyDescent="0.25">
      <c r="A47" s="3" t="str">
        <f>IF(C47="","",VLOOKUP(C47,Source_Plate!$M$2:$N$9,2,FALSE))</f>
        <v/>
      </c>
      <c r="B47" s="3" t="str">
        <f>IF(C47="","",'Plan+'!K47)</f>
        <v/>
      </c>
      <c r="C47" s="76" t="str">
        <f>IF('Plan+'!J47="","",Source_Plate!$M$2)</f>
        <v/>
      </c>
      <c r="D47" s="3" t="str">
        <f>IF(C47="", "",
    'Plate organization+'!$B$45
    - IF(ISNUMBER(Worklist_Tags!D47), Worklist_Tags!D47, 0)
    - IF(ISNUMBER(Worklist_RBS!D47), Worklist_RBS!D47, 0)
    - IF(ISNUMBER(Worklist_SP!D47), Worklist_SP!D47, 0)
    - IF(ISNUMBER(Worklist_GoI!D47), Worklist_GoI!D47, 0)
    - IF(ISNUMBER(Worklist_P!D47), Worklist_P!D47, 0)
    - IF(ISNUMBER(Worklist_MM!D47), Worklist_MM!D47, 0)
    - IF(ISNUMBER(Worklist_PM!D47), Worklist_PM!D47, 0)
    - IF(ISNUMBER(Worklist_BB!D47), Worklist_BB!D47, 0)
)</f>
        <v/>
      </c>
      <c r="E47" t="str">
        <f>'Plan+'!L47</f>
        <v>Destination_Plate_1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76" t="str">
        <f>IF('Plan+'!J48="","",Source_Plate!$M$2)</f>
        <v/>
      </c>
      <c r="D48" s="3" t="str">
        <f>IF(C48="", "",
    'Plate organization+'!$B$45
    - IF(ISNUMBER(Worklist_Tags!D48), Worklist_Tags!D48, 0)
    - IF(ISNUMBER(Worklist_RBS!D48), Worklist_RBS!D48, 0)
    - IF(ISNUMBER(Worklist_SP!D48), Worklist_SP!D48, 0)
    - IF(ISNUMBER(Worklist_GoI!D48), Worklist_GoI!D48, 0)
    - IF(ISNUMBER(Worklist_P!D48), Worklist_P!D48, 0)
    - IF(ISNUMBER(Worklist_MM!D48), Worklist_MM!D48, 0)
    - IF(ISNUMBER(Worklist_PM!D48), Worklist_PM!D48, 0)
    - IF(ISNUMBER(Worklist_BB!D48), Worklist_BB!D48, 0)
)</f>
        <v/>
      </c>
      <c r="E48" t="str">
        <f>'Plan+'!L48</f>
        <v>Destination_Plate_1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76" t="str">
        <f>IF('Plan+'!J49="","",Source_Plate!$M$2)</f>
        <v/>
      </c>
      <c r="D49" s="3" t="str">
        <f>IF(C49="", "",
    'Plate organization+'!$B$45
    - IF(ISNUMBER(Worklist_Tags!D49), Worklist_Tags!D49, 0)
    - IF(ISNUMBER(Worklist_RBS!D49), Worklist_RBS!D49, 0)
    - IF(ISNUMBER(Worklist_SP!D49), Worklist_SP!D49, 0)
    - IF(ISNUMBER(Worklist_GoI!D49), Worklist_GoI!D49, 0)
    - IF(ISNUMBER(Worklist_P!D49), Worklist_P!D49, 0)
    - IF(ISNUMBER(Worklist_MM!D49), Worklist_MM!D49, 0)
    - IF(ISNUMBER(Worklist_PM!D49), Worklist_PM!D49, 0)
    - IF(ISNUMBER(Worklist_BB!D49), Worklist_BB!D49, 0)
)</f>
        <v/>
      </c>
      <c r="E49" t="str">
        <f>'Plan+'!L49</f>
        <v>Destination_Plate_1</v>
      </c>
    </row>
    <row r="50" spans="1:5" x14ac:dyDescent="0.25">
      <c r="A50" s="3" t="str">
        <f>IF(C50="","",VLOOKUP(C50,Source_Plate!$M$2:$N$9,2,FALSE))</f>
        <v/>
      </c>
      <c r="B50" s="3" t="str">
        <f>IF(C50="","",'Plan+'!K50)</f>
        <v/>
      </c>
      <c r="C50" s="76" t="str">
        <f>IF('Plan+'!J50="","",Source_Plate!$M$2)</f>
        <v/>
      </c>
      <c r="D50" s="3" t="str">
        <f>IF(C50="", "",
    'Plate organization+'!$B$45
    - IF(ISNUMBER(Worklist_Tags!D50), Worklist_Tags!D50, 0)
    - IF(ISNUMBER(Worklist_RBS!D50), Worklist_RBS!D50, 0)
    - IF(ISNUMBER(Worklist_SP!D50), Worklist_SP!D50, 0)
    - IF(ISNUMBER(Worklist_GoI!D50), Worklist_GoI!D50, 0)
    - IF(ISNUMBER(Worklist_P!D50), Worklist_P!D50, 0)
    - IF(ISNUMBER(Worklist_MM!D50), Worklist_MM!D50, 0)
    - IF(ISNUMBER(Worklist_PM!D50), Worklist_PM!D50, 0)
    - IF(ISNUMBER(Worklist_BB!D50), Worklist_BB!D50, 0)
)</f>
        <v/>
      </c>
      <c r="E50" t="str">
        <f>'Plan+'!L50</f>
        <v>Destination_Plate_1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76" t="str">
        <f>IF('Plan+'!J51="","",Source_Plate!$M$2)</f>
        <v/>
      </c>
      <c r="D51" s="3" t="str">
        <f>IF(C51="", "",
    'Plate organization+'!$B$45
    - IF(ISNUMBER(Worklist_Tags!D51), Worklist_Tags!D51, 0)
    - IF(ISNUMBER(Worklist_RBS!D51), Worklist_RBS!D51, 0)
    - IF(ISNUMBER(Worklist_SP!D51), Worklist_SP!D51, 0)
    - IF(ISNUMBER(Worklist_GoI!D51), Worklist_GoI!D51, 0)
    - IF(ISNUMBER(Worklist_P!D51), Worklist_P!D51, 0)
    - IF(ISNUMBER(Worklist_MM!D51), Worklist_MM!D51, 0)
    - IF(ISNUMBER(Worklist_PM!D51), Worklist_PM!D51, 0)
    - IF(ISNUMBER(Worklist_BB!D51), Worklist_BB!D51, 0)
)</f>
        <v/>
      </c>
      <c r="E51" t="str">
        <f>'Plan+'!L51</f>
        <v>Destination_Plate_1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76" t="str">
        <f>IF('Plan+'!J52="","",Source_Plate!$M$2)</f>
        <v/>
      </c>
      <c r="D52" s="3" t="str">
        <f>IF(C52="", "",
    'Plate organization+'!$B$45
    - IF(ISNUMBER(Worklist_Tags!D52), Worklist_Tags!D52, 0)
    - IF(ISNUMBER(Worklist_RBS!D52), Worklist_RBS!D52, 0)
    - IF(ISNUMBER(Worklist_SP!D52), Worklist_SP!D52, 0)
    - IF(ISNUMBER(Worklist_GoI!D52), Worklist_GoI!D52, 0)
    - IF(ISNUMBER(Worklist_P!D52), Worklist_P!D52, 0)
    - IF(ISNUMBER(Worklist_MM!D52), Worklist_MM!D52, 0)
    - IF(ISNUMBER(Worklist_PM!D52), Worklist_PM!D52, 0)
    - IF(ISNUMBER(Worklist_BB!D52), Worklist_BB!D52, 0)
)</f>
        <v/>
      </c>
      <c r="E52" t="str">
        <f>'Plan+'!L52</f>
        <v>Destination_Plate_1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76" t="str">
        <f>IF('Plan+'!J53="","",Source_Plate!$M$2)</f>
        <v/>
      </c>
      <c r="D53" s="3" t="str">
        <f>IF(C53="", "",
    'Plate organization+'!$B$45
    - IF(ISNUMBER(Worklist_Tags!D53), Worklist_Tags!D53, 0)
    - IF(ISNUMBER(Worklist_RBS!D53), Worklist_RBS!D53, 0)
    - IF(ISNUMBER(Worklist_SP!D53), Worklist_SP!D53, 0)
    - IF(ISNUMBER(Worklist_GoI!D53), Worklist_GoI!D53, 0)
    - IF(ISNUMBER(Worklist_P!D53), Worklist_P!D53, 0)
    - IF(ISNUMBER(Worklist_MM!D53), Worklist_MM!D53, 0)
    - IF(ISNUMBER(Worklist_PM!D53), Worklist_PM!D53, 0)
    - IF(ISNUMBER(Worklist_BB!D53), Worklist_BB!D53, 0)
)</f>
        <v/>
      </c>
      <c r="E53" t="str">
        <f>'Plan+'!L53</f>
        <v>Destination_Plate_1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76" t="str">
        <f>IF('Plan+'!J54="","",Source_Plate!$M$2)</f>
        <v/>
      </c>
      <c r="D54" s="3" t="str">
        <f>IF(C54="", "",
    'Plate organization+'!$B$45
    - IF(ISNUMBER(Worklist_Tags!D54), Worklist_Tags!D54, 0)
    - IF(ISNUMBER(Worklist_RBS!D54), Worklist_RBS!D54, 0)
    - IF(ISNUMBER(Worklist_SP!D54), Worklist_SP!D54, 0)
    - IF(ISNUMBER(Worklist_GoI!D54), Worklist_GoI!D54, 0)
    - IF(ISNUMBER(Worklist_P!D54), Worklist_P!D54, 0)
    - IF(ISNUMBER(Worklist_MM!D54), Worklist_MM!D54, 0)
    - IF(ISNUMBER(Worklist_PM!D54), Worklist_PM!D54, 0)
    - IF(ISNUMBER(Worklist_BB!D54), Worklist_BB!D54, 0)
)</f>
        <v/>
      </c>
      <c r="E54" t="str">
        <f>'Plan+'!L54</f>
        <v>Destination_Plate_1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76" t="str">
        <f>IF('Plan+'!J55="","",Source_Plate!$M$2)</f>
        <v/>
      </c>
      <c r="D55" s="3" t="str">
        <f>IF(C55="", "",
    'Plate organization+'!$B$45
    - IF(ISNUMBER(Worklist_Tags!D55), Worklist_Tags!D55, 0)
    - IF(ISNUMBER(Worklist_RBS!D55), Worklist_RBS!D55, 0)
    - IF(ISNUMBER(Worklist_SP!D55), Worklist_SP!D55, 0)
    - IF(ISNUMBER(Worklist_GoI!D55), Worklist_GoI!D55, 0)
    - IF(ISNUMBER(Worklist_P!D55), Worklist_P!D55, 0)
    - IF(ISNUMBER(Worklist_MM!D55), Worklist_MM!D55, 0)
    - IF(ISNUMBER(Worklist_PM!D55), Worklist_PM!D55, 0)
    - IF(ISNUMBER(Worklist_BB!D55), Worklist_BB!D55, 0)
)</f>
        <v/>
      </c>
      <c r="E55" t="str">
        <f>'Plan+'!L55</f>
        <v>Destination_Plate_1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76" t="str">
        <f>IF('Plan+'!J56="","",Source_Plate!$M$2)</f>
        <v/>
      </c>
      <c r="D56" s="3" t="str">
        <f>IF(C56="", "",
    'Plate organization+'!$B$45
    - IF(ISNUMBER(Worklist_Tags!D56), Worklist_Tags!D56, 0)
    - IF(ISNUMBER(Worklist_RBS!D56), Worklist_RBS!D56, 0)
    - IF(ISNUMBER(Worklist_SP!D56), Worklist_SP!D56, 0)
    - IF(ISNUMBER(Worklist_GoI!D56), Worklist_GoI!D56, 0)
    - IF(ISNUMBER(Worklist_P!D56), Worklist_P!D56, 0)
    - IF(ISNUMBER(Worklist_MM!D56), Worklist_MM!D56, 0)
    - IF(ISNUMBER(Worklist_PM!D56), Worklist_PM!D56, 0)
    - IF(ISNUMBER(Worklist_BB!D56), Worklist_BB!D56, 0)
)</f>
        <v/>
      </c>
      <c r="E56" t="str">
        <f>'Plan+'!L56</f>
        <v>Destination_Plate_1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76" t="str">
        <f>IF('Plan+'!J57="","",Source_Plate!$M$2)</f>
        <v/>
      </c>
      <c r="D57" s="3" t="str">
        <f>IF(C57="", "",
    'Plate organization+'!$B$45
    - IF(ISNUMBER(Worklist_Tags!D57), Worklist_Tags!D57, 0)
    - IF(ISNUMBER(Worklist_RBS!D57), Worklist_RBS!D57, 0)
    - IF(ISNUMBER(Worklist_SP!D57), Worklist_SP!D57, 0)
    - IF(ISNUMBER(Worklist_GoI!D57), Worklist_GoI!D57, 0)
    - IF(ISNUMBER(Worklist_P!D57), Worklist_P!D57, 0)
    - IF(ISNUMBER(Worklist_MM!D57), Worklist_MM!D57, 0)
    - IF(ISNUMBER(Worklist_PM!D57), Worklist_PM!D57, 0)
    - IF(ISNUMBER(Worklist_BB!D57), Worklist_BB!D57, 0)
)</f>
        <v/>
      </c>
      <c r="E57" t="str">
        <f>'Plan+'!L57</f>
        <v>Destination_Plate_1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76" t="str">
        <f>IF('Plan+'!J58="","",Source_Plate!$M$2)</f>
        <v/>
      </c>
      <c r="D58" s="3" t="str">
        <f>IF(C58="", "",
    'Plate organization+'!$B$45
    - IF(ISNUMBER(Worklist_Tags!D58), Worklist_Tags!D58, 0)
    - IF(ISNUMBER(Worklist_RBS!D58), Worklist_RBS!D58, 0)
    - IF(ISNUMBER(Worklist_SP!D58), Worklist_SP!D58, 0)
    - IF(ISNUMBER(Worklist_GoI!D58), Worklist_GoI!D58, 0)
    - IF(ISNUMBER(Worklist_P!D58), Worklist_P!D58, 0)
    - IF(ISNUMBER(Worklist_MM!D58), Worklist_MM!D58, 0)
    - IF(ISNUMBER(Worklist_PM!D58), Worklist_PM!D58, 0)
    - IF(ISNUMBER(Worklist_BB!D58), Worklist_BB!D58, 0)
)</f>
        <v/>
      </c>
      <c r="E58" t="str">
        <f>'Plan+'!L58</f>
        <v>Destination_Plate_1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76" t="str">
        <f>IF('Plan+'!J59="","",Source_Plate!$M$2)</f>
        <v/>
      </c>
      <c r="D59" s="3" t="str">
        <f>IF(C59="", "",
    'Plate organization+'!$B$45
    - IF(ISNUMBER(Worklist_Tags!D59), Worklist_Tags!D59, 0)
    - IF(ISNUMBER(Worklist_RBS!D59), Worklist_RBS!D59, 0)
    - IF(ISNUMBER(Worklist_SP!D59), Worklist_SP!D59, 0)
    - IF(ISNUMBER(Worklist_GoI!D59), Worklist_GoI!D59, 0)
    - IF(ISNUMBER(Worklist_P!D59), Worklist_P!D59, 0)
    - IF(ISNUMBER(Worklist_MM!D59), Worklist_MM!D59, 0)
    - IF(ISNUMBER(Worklist_PM!D59), Worklist_PM!D59, 0)
    - IF(ISNUMBER(Worklist_BB!D59), Worklist_BB!D59, 0)
)</f>
        <v/>
      </c>
      <c r="E59" t="str">
        <f>'Plan+'!L59</f>
        <v>Destination_Plate_1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76" t="str">
        <f>IF('Plan+'!J60="","",Source_Plate!$M$2)</f>
        <v/>
      </c>
      <c r="D60" s="3" t="str">
        <f>IF(C60="", "",
    'Plate organization+'!$B$45
    - IF(ISNUMBER(Worklist_Tags!D60), Worklist_Tags!D60, 0)
    - IF(ISNUMBER(Worklist_RBS!D60), Worklist_RBS!D60, 0)
    - IF(ISNUMBER(Worklist_SP!D60), Worklist_SP!D60, 0)
    - IF(ISNUMBER(Worklist_GoI!D60), Worklist_GoI!D60, 0)
    - IF(ISNUMBER(Worklist_P!D60), Worklist_P!D60, 0)
    - IF(ISNUMBER(Worklist_MM!D60), Worklist_MM!D60, 0)
    - IF(ISNUMBER(Worklist_PM!D60), Worklist_PM!D60, 0)
    - IF(ISNUMBER(Worklist_BB!D60), Worklist_BB!D60, 0)
)</f>
        <v/>
      </c>
      <c r="E60" t="str">
        <f>'Plan+'!L60</f>
        <v>Destination_Plate_1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76" t="str">
        <f>IF('Plan+'!J61="","",Source_Plate!$M$2)</f>
        <v/>
      </c>
      <c r="D61" s="3" t="str">
        <f>IF(C61="", "",
    'Plate organization+'!$B$45
    - IF(ISNUMBER(Worklist_Tags!D61), Worklist_Tags!D61, 0)
    - IF(ISNUMBER(Worklist_RBS!D61), Worklist_RBS!D61, 0)
    - IF(ISNUMBER(Worklist_SP!D61), Worklist_SP!D61, 0)
    - IF(ISNUMBER(Worklist_GoI!D61), Worklist_GoI!D61, 0)
    - IF(ISNUMBER(Worklist_P!D61), Worklist_P!D61, 0)
    - IF(ISNUMBER(Worklist_MM!D61), Worklist_MM!D61, 0)
    - IF(ISNUMBER(Worklist_PM!D61), Worklist_PM!D61, 0)
    - IF(ISNUMBER(Worklist_BB!D61), Worklist_BB!D61, 0)
)</f>
        <v/>
      </c>
      <c r="E61" t="str">
        <f>'Plan+'!L61</f>
        <v>Destination_Plate_1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76" t="str">
        <f>IF('Plan+'!J62="","",Source_Plate!$M$2)</f>
        <v/>
      </c>
      <c r="D62" s="3" t="str">
        <f>IF(C62="", "",
    'Plate organization+'!$B$45
    - IF(ISNUMBER(Worklist_Tags!D62), Worklist_Tags!D62, 0)
    - IF(ISNUMBER(Worklist_RBS!D62), Worklist_RBS!D62, 0)
    - IF(ISNUMBER(Worklist_SP!D62), Worklist_SP!D62, 0)
    - IF(ISNUMBER(Worklist_GoI!D62), Worklist_GoI!D62, 0)
    - IF(ISNUMBER(Worklist_P!D62), Worklist_P!D62, 0)
    - IF(ISNUMBER(Worklist_MM!D62), Worklist_MM!D62, 0)
    - IF(ISNUMBER(Worklist_PM!D62), Worklist_PM!D62, 0)
    - IF(ISNUMBER(Worklist_BB!D62), Worklist_BB!D62, 0)
)</f>
        <v/>
      </c>
      <c r="E62" t="str">
        <f>'Plan+'!L62</f>
        <v>Destination_Plate_1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76" t="str">
        <f>IF('Plan+'!J63="","",Source_Plate!$M$2)</f>
        <v/>
      </c>
      <c r="D63" s="3" t="str">
        <f>IF(C63="", "",
    'Plate organization+'!$B$45
    - IF(ISNUMBER(Worklist_Tags!D63), Worklist_Tags!D63, 0)
    - IF(ISNUMBER(Worklist_RBS!D63), Worklist_RBS!D63, 0)
    - IF(ISNUMBER(Worklist_SP!D63), Worklist_SP!D63, 0)
    - IF(ISNUMBER(Worklist_GoI!D63), Worklist_GoI!D63, 0)
    - IF(ISNUMBER(Worklist_P!D63), Worklist_P!D63, 0)
    - IF(ISNUMBER(Worklist_MM!D63), Worklist_MM!D63, 0)
    - IF(ISNUMBER(Worklist_PM!D63), Worklist_PM!D63, 0)
    - IF(ISNUMBER(Worklist_BB!D63), Worklist_BB!D63, 0)
)</f>
        <v/>
      </c>
      <c r="E63" t="str">
        <f>'Plan+'!L63</f>
        <v>Destination_Plate_1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76" t="str">
        <f>IF('Plan+'!J64="","",Source_Plate!$M$2)</f>
        <v/>
      </c>
      <c r="D64" s="3" t="str">
        <f>IF(C64="", "",
    'Plate organization+'!$B$45
    - IF(ISNUMBER(Worklist_Tags!D64), Worklist_Tags!D64, 0)
    - IF(ISNUMBER(Worklist_RBS!D64), Worklist_RBS!D64, 0)
    - IF(ISNUMBER(Worklist_SP!D64), Worklist_SP!D64, 0)
    - IF(ISNUMBER(Worklist_GoI!D64), Worklist_GoI!D64, 0)
    - IF(ISNUMBER(Worklist_P!D64), Worklist_P!D64, 0)
    - IF(ISNUMBER(Worklist_MM!D64), Worklist_MM!D64, 0)
    - IF(ISNUMBER(Worklist_PM!D64), Worklist_PM!D64, 0)
    - IF(ISNUMBER(Worklist_BB!D64), Worklist_BB!D64, 0)
)</f>
        <v/>
      </c>
      <c r="E64" t="str">
        <f>'Plan+'!L64</f>
        <v>Destination_Plate_1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76" t="str">
        <f>IF('Plan+'!J65="","",Source_Plate!$M$2)</f>
        <v/>
      </c>
      <c r="D65" s="3" t="str">
        <f>IF(C65="", "",
    'Plate organization+'!$B$45
    - IF(ISNUMBER(Worklist_Tags!D65), Worklist_Tags!D65, 0)
    - IF(ISNUMBER(Worklist_RBS!D65), Worklist_RBS!D65, 0)
    - IF(ISNUMBER(Worklist_SP!D65), Worklist_SP!D65, 0)
    - IF(ISNUMBER(Worklist_GoI!D65), Worklist_GoI!D65, 0)
    - IF(ISNUMBER(Worklist_P!D65), Worklist_P!D65, 0)
    - IF(ISNUMBER(Worklist_MM!D65), Worklist_MM!D65, 0)
    - IF(ISNUMBER(Worklist_PM!D65), Worklist_PM!D65, 0)
    - IF(ISNUMBER(Worklist_BB!D65), Worklist_BB!D65, 0)
)</f>
        <v/>
      </c>
      <c r="E65" t="str">
        <f>'Plan+'!L65</f>
        <v>Destination_Plate_1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76" t="str">
        <f>IF('Plan+'!J66="","",Source_Plate!$M$2)</f>
        <v/>
      </c>
      <c r="D66" s="3" t="str">
        <f>IF(C66="", "",
    'Plate organization+'!$B$45
    - IF(ISNUMBER(Worklist_Tags!D66), Worklist_Tags!D66, 0)
    - IF(ISNUMBER(Worklist_RBS!D66), Worklist_RBS!D66, 0)
    - IF(ISNUMBER(Worklist_SP!D66), Worklist_SP!D66, 0)
    - IF(ISNUMBER(Worklist_GoI!D66), Worklist_GoI!D66, 0)
    - IF(ISNUMBER(Worklist_P!D66), Worklist_P!D66, 0)
    - IF(ISNUMBER(Worklist_MM!D66), Worklist_MM!D66, 0)
    - IF(ISNUMBER(Worklist_PM!D66), Worklist_PM!D66, 0)
    - IF(ISNUMBER(Worklist_BB!D66), Worklist_BB!D66, 0)
)</f>
        <v/>
      </c>
      <c r="E66" t="str">
        <f>'Plan+'!L66</f>
        <v>Destination_Plate_1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76" t="str">
        <f>IF('Plan+'!J67="","",Source_Plate!$M$2)</f>
        <v/>
      </c>
      <c r="D67" s="3" t="str">
        <f>IF(C67="", "",
    'Plate organization+'!$B$45
    - IF(ISNUMBER(Worklist_Tags!D67), Worklist_Tags!D67, 0)
    - IF(ISNUMBER(Worklist_RBS!D67), Worklist_RBS!D67, 0)
    - IF(ISNUMBER(Worklist_SP!D67), Worklist_SP!D67, 0)
    - IF(ISNUMBER(Worklist_GoI!D67), Worklist_GoI!D67, 0)
    - IF(ISNUMBER(Worklist_P!D67), Worklist_P!D67, 0)
    - IF(ISNUMBER(Worklist_MM!D67), Worklist_MM!D67, 0)
    - IF(ISNUMBER(Worklist_PM!D67), Worklist_PM!D67, 0)
    - IF(ISNUMBER(Worklist_BB!D67), Worklist_BB!D67, 0)
)</f>
        <v/>
      </c>
      <c r="E67" t="str">
        <f>'Plan+'!L67</f>
        <v>Destination_Plate_1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76" t="str">
        <f>IF('Plan+'!J68="","",Source_Plate!$M$2)</f>
        <v/>
      </c>
      <c r="D68" s="3" t="str">
        <f>IF(C68="", "",
    'Plate organization+'!$B$45
    - IF(ISNUMBER(Worklist_Tags!D68), Worklist_Tags!D68, 0)
    - IF(ISNUMBER(Worklist_RBS!D68), Worklist_RBS!D68, 0)
    - IF(ISNUMBER(Worklist_SP!D68), Worklist_SP!D68, 0)
    - IF(ISNUMBER(Worklist_GoI!D68), Worklist_GoI!D68, 0)
    - IF(ISNUMBER(Worklist_P!D68), Worklist_P!D68, 0)
    - IF(ISNUMBER(Worklist_MM!D68), Worklist_MM!D68, 0)
    - IF(ISNUMBER(Worklist_PM!D68), Worklist_PM!D68, 0)
    - IF(ISNUMBER(Worklist_BB!D68), Worklist_BB!D68, 0)
)</f>
        <v/>
      </c>
      <c r="E68" t="str">
        <f>'Plan+'!L68</f>
        <v>Destination_Plate_1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76" t="str">
        <f>IF('Plan+'!J69="","",Source_Plate!$M$2)</f>
        <v/>
      </c>
      <c r="D69" s="3" t="str">
        <f>IF(C69="", "",
    'Plate organization+'!$B$45
    - IF(ISNUMBER(Worklist_Tags!D69), Worklist_Tags!D69, 0)
    - IF(ISNUMBER(Worklist_RBS!D69), Worklist_RBS!D69, 0)
    - IF(ISNUMBER(Worklist_SP!D69), Worklist_SP!D69, 0)
    - IF(ISNUMBER(Worklist_GoI!D69), Worklist_GoI!D69, 0)
    - IF(ISNUMBER(Worklist_P!D69), Worklist_P!D69, 0)
    - IF(ISNUMBER(Worklist_MM!D69), Worklist_MM!D69, 0)
    - IF(ISNUMBER(Worklist_PM!D69), Worklist_PM!D69, 0)
    - IF(ISNUMBER(Worklist_BB!D69), Worklist_BB!D69, 0)
)</f>
        <v/>
      </c>
      <c r="E69" t="str">
        <f>'Plan+'!L69</f>
        <v>Destination_Plate_1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76" t="str">
        <f>IF('Plan+'!J70="","",Source_Plate!$M$2)</f>
        <v/>
      </c>
      <c r="D70" s="3" t="str">
        <f>IF(C70="", "",
    'Plate organization+'!$B$45
    - IF(ISNUMBER(Worklist_Tags!D70), Worklist_Tags!D70, 0)
    - IF(ISNUMBER(Worklist_RBS!D70), Worklist_RBS!D70, 0)
    - IF(ISNUMBER(Worklist_SP!D70), Worklist_SP!D70, 0)
    - IF(ISNUMBER(Worklist_GoI!D70), Worklist_GoI!D70, 0)
    - IF(ISNUMBER(Worklist_P!D70), Worklist_P!D70, 0)
    - IF(ISNUMBER(Worklist_MM!D70), Worklist_MM!D70, 0)
    - IF(ISNUMBER(Worklist_PM!D70), Worklist_PM!D70, 0)
    - IF(ISNUMBER(Worklist_BB!D70), Worklist_BB!D70, 0)
)</f>
        <v/>
      </c>
      <c r="E70" t="str">
        <f>'Plan+'!L70</f>
        <v>Destination_Plate_1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76" t="str">
        <f>IF('Plan+'!J71="","",Source_Plate!$M$2)</f>
        <v/>
      </c>
      <c r="D71" s="3" t="str">
        <f>IF(C71="", "",
    'Plate organization+'!$B$45
    - IF(ISNUMBER(Worklist_Tags!D71), Worklist_Tags!D71, 0)
    - IF(ISNUMBER(Worklist_RBS!D71), Worklist_RBS!D71, 0)
    - IF(ISNUMBER(Worklist_SP!D71), Worklist_SP!D71, 0)
    - IF(ISNUMBER(Worklist_GoI!D71), Worklist_GoI!D71, 0)
    - IF(ISNUMBER(Worklist_P!D71), Worklist_P!D71, 0)
    - IF(ISNUMBER(Worklist_MM!D71), Worklist_MM!D71, 0)
    - IF(ISNUMBER(Worklist_PM!D71), Worklist_PM!D71, 0)
    - IF(ISNUMBER(Worklist_BB!D71), Worklist_BB!D71, 0)
)</f>
        <v/>
      </c>
      <c r="E71" t="str">
        <f>'Plan+'!L71</f>
        <v>Destination_Plate_1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76" t="str">
        <f>IF('Plan+'!J72="","",Source_Plate!$M$2)</f>
        <v/>
      </c>
      <c r="D72" s="3" t="str">
        <f>IF(C72="", "",
    'Plate organization+'!$B$45
    - IF(ISNUMBER(Worklist_Tags!D72), Worklist_Tags!D72, 0)
    - IF(ISNUMBER(Worklist_RBS!D72), Worklist_RBS!D72, 0)
    - IF(ISNUMBER(Worklist_SP!D72), Worklist_SP!D72, 0)
    - IF(ISNUMBER(Worklist_GoI!D72), Worklist_GoI!D72, 0)
    - IF(ISNUMBER(Worklist_P!D72), Worklist_P!D72, 0)
    - IF(ISNUMBER(Worklist_MM!D72), Worklist_MM!D72, 0)
    - IF(ISNUMBER(Worklist_PM!D72), Worklist_PM!D72, 0)
    - IF(ISNUMBER(Worklist_BB!D72), Worklist_BB!D72, 0)
)</f>
        <v/>
      </c>
      <c r="E72" t="str">
        <f>'Plan+'!L72</f>
        <v>Destination_Plate_1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76" t="str">
        <f>IF('Plan+'!J73="","",Source_Plate!$M$2)</f>
        <v/>
      </c>
      <c r="D73" s="3" t="str">
        <f>IF(C73="", "",
    'Plate organization+'!$B$45
    - IF(ISNUMBER(Worklist_Tags!D73), Worklist_Tags!D73, 0)
    - IF(ISNUMBER(Worklist_RBS!D73), Worklist_RBS!D73, 0)
    - IF(ISNUMBER(Worklist_SP!D73), Worklist_SP!D73, 0)
    - IF(ISNUMBER(Worklist_GoI!D73), Worklist_GoI!D73, 0)
    - IF(ISNUMBER(Worklist_P!D73), Worklist_P!D73, 0)
    - IF(ISNUMBER(Worklist_MM!D73), Worklist_MM!D73, 0)
    - IF(ISNUMBER(Worklist_PM!D73), Worklist_PM!D73, 0)
    - IF(ISNUMBER(Worklist_BB!D73), Worklist_BB!D73, 0)
)</f>
        <v/>
      </c>
      <c r="E73" t="str">
        <f>'Plan+'!L73</f>
        <v>Destination_Plate_1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76" t="str">
        <f>IF('Plan+'!J74="","",Source_Plate!$M$2)</f>
        <v/>
      </c>
      <c r="D74" s="3" t="str">
        <f>IF(C74="", "",
    'Plate organization+'!$B$45
    - IF(ISNUMBER(Worklist_Tags!D74), Worklist_Tags!D74, 0)
    - IF(ISNUMBER(Worklist_RBS!D74), Worklist_RBS!D74, 0)
    - IF(ISNUMBER(Worklist_SP!D74), Worklist_SP!D74, 0)
    - IF(ISNUMBER(Worklist_GoI!D74), Worklist_GoI!D74, 0)
    - IF(ISNUMBER(Worklist_P!D74), Worklist_P!D74, 0)
    - IF(ISNUMBER(Worklist_MM!D74), Worklist_MM!D74, 0)
    - IF(ISNUMBER(Worklist_PM!D74), Worklist_PM!D74, 0)
    - IF(ISNUMBER(Worklist_BB!D74), Worklist_BB!D74, 0)
)</f>
        <v/>
      </c>
      <c r="E74" t="str">
        <f>'Plan+'!L74</f>
        <v>Destination_Plate_1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76" t="str">
        <f>IF('Plan+'!J75="","",Source_Plate!$M$2)</f>
        <v/>
      </c>
      <c r="D75" s="3" t="str">
        <f>IF(C75="", "",
    'Plate organization+'!$B$45
    - IF(ISNUMBER(Worklist_Tags!D75), Worklist_Tags!D75, 0)
    - IF(ISNUMBER(Worklist_RBS!D75), Worklist_RBS!D75, 0)
    - IF(ISNUMBER(Worklist_SP!D75), Worklist_SP!D75, 0)
    - IF(ISNUMBER(Worklist_GoI!D75), Worklist_GoI!D75, 0)
    - IF(ISNUMBER(Worklist_P!D75), Worklist_P!D75, 0)
    - IF(ISNUMBER(Worklist_MM!D75), Worklist_MM!D75, 0)
    - IF(ISNUMBER(Worklist_PM!D75), Worklist_PM!D75, 0)
    - IF(ISNUMBER(Worklist_BB!D75), Worklist_BB!D75, 0)
)</f>
        <v/>
      </c>
      <c r="E75" t="str">
        <f>'Plan+'!L75</f>
        <v>Destination_Plate_1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76" t="str">
        <f>IF('Plan+'!J76="","",Source_Plate!$M$2)</f>
        <v/>
      </c>
      <c r="D76" s="3" t="str">
        <f>IF(C76="", "",
    'Plate organization+'!$B$45
    - IF(ISNUMBER(Worklist_Tags!D76), Worklist_Tags!D76, 0)
    - IF(ISNUMBER(Worklist_RBS!D76), Worklist_RBS!D76, 0)
    - IF(ISNUMBER(Worklist_SP!D76), Worklist_SP!D76, 0)
    - IF(ISNUMBER(Worklist_GoI!D76), Worklist_GoI!D76, 0)
    - IF(ISNUMBER(Worklist_P!D76), Worklist_P!D76, 0)
    - IF(ISNUMBER(Worklist_MM!D76), Worklist_MM!D76, 0)
    - IF(ISNUMBER(Worklist_PM!D76), Worklist_PM!D76, 0)
    - IF(ISNUMBER(Worklist_BB!D76), Worklist_BB!D76, 0)
)</f>
        <v/>
      </c>
      <c r="E76" t="str">
        <f>'Plan+'!L76</f>
        <v>Destination_Plate_1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76" t="str">
        <f>IF('Plan+'!J77="","",Source_Plate!$M$2)</f>
        <v/>
      </c>
      <c r="D77" s="3" t="str">
        <f>IF(C77="", "",
    'Plate organization+'!$B$45
    - IF(ISNUMBER(Worklist_Tags!D77), Worklist_Tags!D77, 0)
    - IF(ISNUMBER(Worklist_RBS!D77), Worklist_RBS!D77, 0)
    - IF(ISNUMBER(Worklist_SP!D77), Worklist_SP!D77, 0)
    - IF(ISNUMBER(Worklist_GoI!D77), Worklist_GoI!D77, 0)
    - IF(ISNUMBER(Worklist_P!D77), Worklist_P!D77, 0)
    - IF(ISNUMBER(Worklist_MM!D77), Worklist_MM!D77, 0)
    - IF(ISNUMBER(Worklist_PM!D77), Worklist_PM!D77, 0)
    - IF(ISNUMBER(Worklist_BB!D77), Worklist_BB!D77, 0)
)</f>
        <v/>
      </c>
      <c r="E77" t="str">
        <f>'Plan+'!L77</f>
        <v>Destination_Plate_1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76" t="str">
        <f>IF('Plan+'!J78="","",Source_Plate!$M$2)</f>
        <v/>
      </c>
      <c r="D78" s="3" t="str">
        <f>IF(C78="", "",
    'Plate organization+'!$B$45
    - IF(ISNUMBER(Worklist_Tags!D78), Worklist_Tags!D78, 0)
    - IF(ISNUMBER(Worklist_RBS!D78), Worklist_RBS!D78, 0)
    - IF(ISNUMBER(Worklist_SP!D78), Worklist_SP!D78, 0)
    - IF(ISNUMBER(Worklist_GoI!D78), Worklist_GoI!D78, 0)
    - IF(ISNUMBER(Worklist_P!D78), Worklist_P!D78, 0)
    - IF(ISNUMBER(Worklist_MM!D78), Worklist_MM!D78, 0)
    - IF(ISNUMBER(Worklist_PM!D78), Worklist_PM!D78, 0)
    - IF(ISNUMBER(Worklist_BB!D78), Worklist_BB!D78, 0)
)</f>
        <v/>
      </c>
      <c r="E78" t="str">
        <f>'Plan+'!L78</f>
        <v>Destination_Plate_1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76" t="str">
        <f>IF('Plan+'!J79="","",Source_Plate!$M$2)</f>
        <v/>
      </c>
      <c r="D79" s="3" t="str">
        <f>IF(C79="", "",
    'Plate organization+'!$B$45
    - IF(ISNUMBER(Worklist_Tags!D79), Worklist_Tags!D79, 0)
    - IF(ISNUMBER(Worklist_RBS!D79), Worklist_RBS!D79, 0)
    - IF(ISNUMBER(Worklist_SP!D79), Worklist_SP!D79, 0)
    - IF(ISNUMBER(Worklist_GoI!D79), Worklist_GoI!D79, 0)
    - IF(ISNUMBER(Worklist_P!D79), Worklist_P!D79, 0)
    - IF(ISNUMBER(Worklist_MM!D79), Worklist_MM!D79, 0)
    - IF(ISNUMBER(Worklist_PM!D79), Worklist_PM!D79, 0)
    - IF(ISNUMBER(Worklist_BB!D79), Worklist_BB!D79, 0)
)</f>
        <v/>
      </c>
      <c r="E79" t="str">
        <f>'Plan+'!L79</f>
        <v>Destination_Plate_1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76" t="str">
        <f>IF('Plan+'!J80="","",Source_Plate!$M$2)</f>
        <v/>
      </c>
      <c r="D80" s="3" t="str">
        <f>IF(C80="", "",
    'Plate organization+'!$B$45
    - IF(ISNUMBER(Worklist_Tags!D80), Worklist_Tags!D80, 0)
    - IF(ISNUMBER(Worklist_RBS!D80), Worklist_RBS!D80, 0)
    - IF(ISNUMBER(Worklist_SP!D80), Worklist_SP!D80, 0)
    - IF(ISNUMBER(Worklist_GoI!D80), Worklist_GoI!D80, 0)
    - IF(ISNUMBER(Worklist_P!D80), Worklist_P!D80, 0)
    - IF(ISNUMBER(Worklist_MM!D80), Worklist_MM!D80, 0)
    - IF(ISNUMBER(Worklist_PM!D80), Worklist_PM!D80, 0)
    - IF(ISNUMBER(Worklist_BB!D80), Worklist_BB!D80, 0)
)</f>
        <v/>
      </c>
      <c r="E80" t="str">
        <f>'Plan+'!L80</f>
        <v>Destination_Plate_1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76" t="str">
        <f>IF('Plan+'!J81="","",Source_Plate!$M$2)</f>
        <v/>
      </c>
      <c r="D81" s="3" t="str">
        <f>IF(C81="", "",
    'Plate organization+'!$B$45
    - IF(ISNUMBER(Worklist_Tags!D81), Worklist_Tags!D81, 0)
    - IF(ISNUMBER(Worklist_RBS!D81), Worklist_RBS!D81, 0)
    - IF(ISNUMBER(Worklist_SP!D81), Worklist_SP!D81, 0)
    - IF(ISNUMBER(Worklist_GoI!D81), Worklist_GoI!D81, 0)
    - IF(ISNUMBER(Worklist_P!D81), Worklist_P!D81, 0)
    - IF(ISNUMBER(Worklist_MM!D81), Worklist_MM!D81, 0)
    - IF(ISNUMBER(Worklist_PM!D81), Worklist_PM!D81, 0)
    - IF(ISNUMBER(Worklist_BB!D81), Worklist_BB!D81, 0)
)</f>
        <v/>
      </c>
      <c r="E81" t="str">
        <f>'Plan+'!L81</f>
        <v>Destination_Plate_1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76" t="str">
        <f>IF('Plan+'!J82="","",Source_Plate!$M$2)</f>
        <v/>
      </c>
      <c r="D82" s="3" t="str">
        <f>IF(C82="", "",
    'Plate organization+'!$B$45
    - IF(ISNUMBER(Worklist_Tags!D82), Worklist_Tags!D82, 0)
    - IF(ISNUMBER(Worklist_RBS!D82), Worklist_RBS!D82, 0)
    - IF(ISNUMBER(Worklist_SP!D82), Worklist_SP!D82, 0)
    - IF(ISNUMBER(Worklist_GoI!D82), Worklist_GoI!D82, 0)
    - IF(ISNUMBER(Worklist_P!D82), Worklist_P!D82, 0)
    - IF(ISNUMBER(Worklist_MM!D82), Worklist_MM!D82, 0)
    - IF(ISNUMBER(Worklist_PM!D82), Worklist_PM!D82, 0)
    - IF(ISNUMBER(Worklist_BB!D82), Worklist_BB!D82, 0)
)</f>
        <v/>
      </c>
      <c r="E82" t="str">
        <f>'Plan+'!L82</f>
        <v>Destination_Plate_1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76" t="str">
        <f>IF('Plan+'!J83="","",Source_Plate!$M$2)</f>
        <v/>
      </c>
      <c r="D83" s="3" t="str">
        <f>IF(C83="", "",
    'Plate organization+'!$B$45
    - IF(ISNUMBER(Worklist_Tags!D83), Worklist_Tags!D83, 0)
    - IF(ISNUMBER(Worklist_RBS!D83), Worklist_RBS!D83, 0)
    - IF(ISNUMBER(Worklist_SP!D83), Worklist_SP!D83, 0)
    - IF(ISNUMBER(Worklist_GoI!D83), Worklist_GoI!D83, 0)
    - IF(ISNUMBER(Worklist_P!D83), Worklist_P!D83, 0)
    - IF(ISNUMBER(Worklist_MM!D83), Worklist_MM!D83, 0)
    - IF(ISNUMBER(Worklist_PM!D83), Worklist_PM!D83, 0)
    - IF(ISNUMBER(Worklist_BB!D83), Worklist_BB!D83, 0)
)</f>
        <v/>
      </c>
      <c r="E83" t="str">
        <f>'Plan+'!L83</f>
        <v>Destination_Plate_1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76" t="str">
        <f>IF('Plan+'!J84="","",Source_Plate!$M$2)</f>
        <v/>
      </c>
      <c r="D84" s="3" t="str">
        <f>IF(C84="", "",
    'Plate organization+'!$B$45
    - IF(ISNUMBER(Worklist_Tags!D84), Worklist_Tags!D84, 0)
    - IF(ISNUMBER(Worklist_RBS!D84), Worklist_RBS!D84, 0)
    - IF(ISNUMBER(Worklist_SP!D84), Worklist_SP!D84, 0)
    - IF(ISNUMBER(Worklist_GoI!D84), Worklist_GoI!D84, 0)
    - IF(ISNUMBER(Worklist_P!D84), Worklist_P!D84, 0)
    - IF(ISNUMBER(Worklist_MM!D84), Worklist_MM!D84, 0)
    - IF(ISNUMBER(Worklist_PM!D84), Worklist_PM!D84, 0)
    - IF(ISNUMBER(Worklist_BB!D84), Worklist_BB!D84, 0)
)</f>
        <v/>
      </c>
      <c r="E84" t="str">
        <f>'Plan+'!L84</f>
        <v>Destination_Plate_1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76" t="str">
        <f>IF('Plan+'!J85="","",Source_Plate!$M$2)</f>
        <v/>
      </c>
      <c r="D85" s="3" t="str">
        <f>IF(C85="", "",
    'Plate organization+'!$B$45
    - IF(ISNUMBER(Worklist_Tags!D85), Worklist_Tags!D85, 0)
    - IF(ISNUMBER(Worklist_RBS!D85), Worklist_RBS!D85, 0)
    - IF(ISNUMBER(Worklist_SP!D85), Worklist_SP!D85, 0)
    - IF(ISNUMBER(Worklist_GoI!D85), Worklist_GoI!D85, 0)
    - IF(ISNUMBER(Worklist_P!D85), Worklist_P!D85, 0)
    - IF(ISNUMBER(Worklist_MM!D85), Worklist_MM!D85, 0)
    - IF(ISNUMBER(Worklist_PM!D85), Worklist_PM!D85, 0)
    - IF(ISNUMBER(Worklist_BB!D85), Worklist_BB!D85, 0)
)</f>
        <v/>
      </c>
      <c r="E85" t="str">
        <f>'Plan+'!L85</f>
        <v>Destination_Plate_1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76" t="str">
        <f>IF('Plan+'!J86="","",Source_Plate!$M$2)</f>
        <v/>
      </c>
      <c r="D86" s="3" t="str">
        <f>IF(C86="", "",
    'Plate organization+'!$B$45
    - IF(ISNUMBER(Worklist_Tags!D86), Worklist_Tags!D86, 0)
    - IF(ISNUMBER(Worklist_RBS!D86), Worklist_RBS!D86, 0)
    - IF(ISNUMBER(Worklist_SP!D86), Worklist_SP!D86, 0)
    - IF(ISNUMBER(Worklist_GoI!D86), Worklist_GoI!D86, 0)
    - IF(ISNUMBER(Worklist_P!D86), Worklist_P!D86, 0)
    - IF(ISNUMBER(Worklist_MM!D86), Worklist_MM!D86, 0)
    - IF(ISNUMBER(Worklist_PM!D86), Worklist_PM!D86, 0)
    - IF(ISNUMBER(Worklist_BB!D86), Worklist_BB!D86, 0)
)</f>
        <v/>
      </c>
      <c r="E86" t="str">
        <f>'Plan+'!L86</f>
        <v>Destination_Plate_1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76" t="str">
        <f>IF('Plan+'!J87="","",Source_Plate!$M$2)</f>
        <v/>
      </c>
      <c r="D87" s="3" t="str">
        <f>IF(C87="", "",
    'Plate organization+'!$B$45
    - IF(ISNUMBER(Worklist_Tags!D87), Worklist_Tags!D87, 0)
    - IF(ISNUMBER(Worklist_RBS!D87), Worklist_RBS!D87, 0)
    - IF(ISNUMBER(Worklist_SP!D87), Worklist_SP!D87, 0)
    - IF(ISNUMBER(Worklist_GoI!D87), Worklist_GoI!D87, 0)
    - IF(ISNUMBER(Worklist_P!D87), Worklist_P!D87, 0)
    - IF(ISNUMBER(Worklist_MM!D87), Worklist_MM!D87, 0)
    - IF(ISNUMBER(Worklist_PM!D87), Worklist_PM!D87, 0)
    - IF(ISNUMBER(Worklist_BB!D87), Worklist_BB!D87, 0)
)</f>
        <v/>
      </c>
      <c r="E87" t="str">
        <f>'Plan+'!L87</f>
        <v>Destination_Plate_1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76" t="str">
        <f>IF('Plan+'!J88="","",Source_Plate!$M$2)</f>
        <v/>
      </c>
      <c r="D88" s="3" t="str">
        <f>IF(C88="", "",
    'Plate organization+'!$B$45
    - IF(ISNUMBER(Worklist_Tags!D88), Worklist_Tags!D88, 0)
    - IF(ISNUMBER(Worklist_RBS!D88), Worklist_RBS!D88, 0)
    - IF(ISNUMBER(Worklist_SP!D88), Worklist_SP!D88, 0)
    - IF(ISNUMBER(Worklist_GoI!D88), Worklist_GoI!D88, 0)
    - IF(ISNUMBER(Worklist_P!D88), Worklist_P!D88, 0)
    - IF(ISNUMBER(Worklist_MM!D88), Worklist_MM!D88, 0)
    - IF(ISNUMBER(Worklist_PM!D88), Worklist_PM!D88, 0)
    - IF(ISNUMBER(Worklist_BB!D88), Worklist_BB!D88, 0)
)</f>
        <v/>
      </c>
      <c r="E88" t="str">
        <f>'Plan+'!L88</f>
        <v>Destination_Plate_1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76" t="str">
        <f>IF('Plan+'!J89="","",Source_Plate!$M$2)</f>
        <v/>
      </c>
      <c r="D89" s="3" t="str">
        <f>IF(C89="", "",
    'Plate organization+'!$B$45
    - IF(ISNUMBER(Worklist_Tags!D89), Worklist_Tags!D89, 0)
    - IF(ISNUMBER(Worklist_RBS!D89), Worklist_RBS!D89, 0)
    - IF(ISNUMBER(Worklist_SP!D89), Worklist_SP!D89, 0)
    - IF(ISNUMBER(Worklist_GoI!D89), Worklist_GoI!D89, 0)
    - IF(ISNUMBER(Worklist_P!D89), Worklist_P!D89, 0)
    - IF(ISNUMBER(Worklist_MM!D89), Worklist_MM!D89, 0)
    - IF(ISNUMBER(Worklist_PM!D89), Worklist_PM!D89, 0)
    - IF(ISNUMBER(Worklist_BB!D89), Worklist_BB!D89, 0)
)</f>
        <v/>
      </c>
      <c r="E89" t="str">
        <f>'Plan+'!L89</f>
        <v>Destination_Plate_1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76" t="str">
        <f>IF('Plan+'!J90="","",Source_Plate!$M$2)</f>
        <v/>
      </c>
      <c r="D90" s="3" t="str">
        <f>IF(C90="", "",
    'Plate organization+'!$B$45
    - IF(ISNUMBER(Worklist_Tags!D90), Worklist_Tags!D90, 0)
    - IF(ISNUMBER(Worklist_RBS!D90), Worklist_RBS!D90, 0)
    - IF(ISNUMBER(Worklist_SP!D90), Worklist_SP!D90, 0)
    - IF(ISNUMBER(Worklist_GoI!D90), Worklist_GoI!D90, 0)
    - IF(ISNUMBER(Worklist_P!D90), Worklist_P!D90, 0)
    - IF(ISNUMBER(Worklist_MM!D90), Worklist_MM!D90, 0)
    - IF(ISNUMBER(Worklist_PM!D90), Worklist_PM!D90, 0)
    - IF(ISNUMBER(Worklist_BB!D90), Worklist_BB!D90, 0)
)</f>
        <v/>
      </c>
      <c r="E90" t="str">
        <f>'Plan+'!L90</f>
        <v>Destination_Plate_1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76" t="str">
        <f>IF('Plan+'!J91="","",Source_Plate!$M$2)</f>
        <v/>
      </c>
      <c r="D91" s="3" t="str">
        <f>IF(C91="", "",
    'Plate organization+'!$B$45
    - IF(ISNUMBER(Worklist_Tags!D91), Worklist_Tags!D91, 0)
    - IF(ISNUMBER(Worklist_RBS!D91), Worklist_RBS!D91, 0)
    - IF(ISNUMBER(Worklist_SP!D91), Worklist_SP!D91, 0)
    - IF(ISNUMBER(Worklist_GoI!D91), Worklist_GoI!D91, 0)
    - IF(ISNUMBER(Worklist_P!D91), Worklist_P!D91, 0)
    - IF(ISNUMBER(Worklist_MM!D91), Worklist_MM!D91, 0)
    - IF(ISNUMBER(Worklist_PM!D91), Worklist_PM!D91, 0)
    - IF(ISNUMBER(Worklist_BB!D91), Worklist_BB!D91, 0)
)</f>
        <v/>
      </c>
      <c r="E91" t="str">
        <f>'Plan+'!L91</f>
        <v>Destination_Plate_1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76" t="str">
        <f>IF('Plan+'!J92="","",Source_Plate!$M$2)</f>
        <v/>
      </c>
      <c r="D92" s="3" t="str">
        <f>IF(C92="", "",
    'Plate organization+'!$B$45
    - IF(ISNUMBER(Worklist_Tags!D92), Worklist_Tags!D92, 0)
    - IF(ISNUMBER(Worklist_RBS!D92), Worklist_RBS!D92, 0)
    - IF(ISNUMBER(Worklist_SP!D92), Worklist_SP!D92, 0)
    - IF(ISNUMBER(Worklist_GoI!D92), Worklist_GoI!D92, 0)
    - IF(ISNUMBER(Worklist_P!D92), Worklist_P!D92, 0)
    - IF(ISNUMBER(Worklist_MM!D92), Worklist_MM!D92, 0)
    - IF(ISNUMBER(Worklist_PM!D92), Worklist_PM!D92, 0)
    - IF(ISNUMBER(Worklist_BB!D92), Worklist_BB!D92, 0)
)</f>
        <v/>
      </c>
      <c r="E92" t="str">
        <f>'Plan+'!L92</f>
        <v>Destination_Plate_1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76" t="str">
        <f>IF('Plan+'!J93="","",Source_Plate!$M$2)</f>
        <v/>
      </c>
      <c r="D93" s="3" t="str">
        <f>IF(C93="", "",
    'Plate organization+'!$B$45
    - IF(ISNUMBER(Worklist_Tags!D93), Worklist_Tags!D93, 0)
    - IF(ISNUMBER(Worklist_RBS!D93), Worklist_RBS!D93, 0)
    - IF(ISNUMBER(Worklist_SP!D93), Worklist_SP!D93, 0)
    - IF(ISNUMBER(Worklist_GoI!D93), Worklist_GoI!D93, 0)
    - IF(ISNUMBER(Worklist_P!D93), Worklist_P!D93, 0)
    - IF(ISNUMBER(Worklist_MM!D93), Worklist_MM!D93, 0)
    - IF(ISNUMBER(Worklist_PM!D93), Worklist_PM!D93, 0)
    - IF(ISNUMBER(Worklist_BB!D93), Worklist_BB!D93, 0)
)</f>
        <v/>
      </c>
      <c r="E93" t="str">
        <f>'Plan+'!L93</f>
        <v>Destination_Plate_1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76" t="str">
        <f>IF('Plan+'!J94="","",Source_Plate!$M$2)</f>
        <v/>
      </c>
      <c r="D94" s="3" t="str">
        <f>IF(C94="", "",
    'Plate organization+'!$B$45
    - IF(ISNUMBER(Worklist_Tags!D94), Worklist_Tags!D94, 0)
    - IF(ISNUMBER(Worklist_RBS!D94), Worklist_RBS!D94, 0)
    - IF(ISNUMBER(Worklist_SP!D94), Worklist_SP!D94, 0)
    - IF(ISNUMBER(Worklist_GoI!D94), Worklist_GoI!D94, 0)
    - IF(ISNUMBER(Worklist_P!D94), Worklist_P!D94, 0)
    - IF(ISNUMBER(Worklist_MM!D94), Worklist_MM!D94, 0)
    - IF(ISNUMBER(Worklist_PM!D94), Worklist_PM!D94, 0)
    - IF(ISNUMBER(Worklist_BB!D94), Worklist_BB!D94, 0)
)</f>
        <v/>
      </c>
      <c r="E94" t="str">
        <f>'Plan+'!L94</f>
        <v>Destination_Plate_1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76" t="str">
        <f>IF('Plan+'!J95="","",Source_Plate!$M$2)</f>
        <v/>
      </c>
      <c r="D95" s="3" t="str">
        <f>IF(C95="", "",
    'Plate organization+'!$B$45
    - IF(ISNUMBER(Worklist_Tags!D95), Worklist_Tags!D95, 0)
    - IF(ISNUMBER(Worklist_RBS!D95), Worklist_RBS!D95, 0)
    - IF(ISNUMBER(Worklist_SP!D95), Worklist_SP!D95, 0)
    - IF(ISNUMBER(Worklist_GoI!D95), Worklist_GoI!D95, 0)
    - IF(ISNUMBER(Worklist_P!D95), Worklist_P!D95, 0)
    - IF(ISNUMBER(Worklist_MM!D95), Worklist_MM!D95, 0)
    - IF(ISNUMBER(Worklist_PM!D95), Worklist_PM!D95, 0)
    - IF(ISNUMBER(Worklist_BB!D95), Worklist_BB!D95, 0)
)</f>
        <v/>
      </c>
      <c r="E95" t="str">
        <f>'Plan+'!L95</f>
        <v>Destination_Plate_1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76" t="str">
        <f>IF('Plan+'!J96="","",Source_Plate!$M$2)</f>
        <v/>
      </c>
      <c r="D96" s="3" t="str">
        <f>IF(C96="", "",
    'Plate organization+'!$B$45
    - IF(ISNUMBER(Worklist_Tags!D96), Worklist_Tags!D96, 0)
    - IF(ISNUMBER(Worklist_RBS!D96), Worklist_RBS!D96, 0)
    - IF(ISNUMBER(Worklist_SP!D96), Worklist_SP!D96, 0)
    - IF(ISNUMBER(Worklist_GoI!D96), Worklist_GoI!D96, 0)
    - IF(ISNUMBER(Worklist_P!D96), Worklist_P!D96, 0)
    - IF(ISNUMBER(Worklist_MM!D96), Worklist_MM!D96, 0)
    - IF(ISNUMBER(Worklist_PM!D96), Worklist_PM!D96, 0)
    - IF(ISNUMBER(Worklist_BB!D96), Worklist_BB!D96, 0)
)</f>
        <v/>
      </c>
      <c r="E96" t="str">
        <f>'Plan+'!L96</f>
        <v>Destination_Plate_1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76" t="str">
        <f>IF('Plan+'!J97="","",Source_Plate!$M$2)</f>
        <v/>
      </c>
      <c r="D97" s="3" t="str">
        <f>IF(C97="", "",
    'Plate organization+'!$B$45
    - IF(ISNUMBER(Worklist_Tags!D97), Worklist_Tags!D97, 0)
    - IF(ISNUMBER(Worklist_RBS!D97), Worklist_RBS!D97, 0)
    - IF(ISNUMBER(Worklist_SP!D97), Worklist_SP!D97, 0)
    - IF(ISNUMBER(Worklist_GoI!D97), Worklist_GoI!D97, 0)
    - IF(ISNUMBER(Worklist_P!D97), Worklist_P!D97, 0)
    - IF(ISNUMBER(Worklist_MM!D97), Worklist_MM!D97, 0)
    - IF(ISNUMBER(Worklist_PM!D97), Worklist_PM!D97, 0)
    - IF(ISNUMBER(Worklist_BB!D97), Worklist_BB!D97, 0)
)</f>
        <v/>
      </c>
      <c r="E97" t="str">
        <f>'Plan+'!L97</f>
        <v>Destination_Plate_1</v>
      </c>
    </row>
    <row r="98" spans="1:5" x14ac:dyDescent="0.25">
      <c r="A98" s="3" t="str">
        <f>IF(C98="","",VLOOKUP(C98,Source_Plate!$M$2:$N$9,2,FALSE))</f>
        <v/>
      </c>
      <c r="B98" s="3"/>
    </row>
    <row r="99" spans="1:5" x14ac:dyDescent="0.25">
      <c r="A99" s="3" t="str">
        <f>IF(C99="","",VLOOKUP(C99,Source_Plate!$M$2:$N$9,2,FALSE))</f>
        <v/>
      </c>
      <c r="B99" s="3"/>
    </row>
    <row r="100" spans="1:5" x14ac:dyDescent="0.25">
      <c r="A100" s="3" t="str">
        <f>IF(C100="","",VLOOKUP(C100,Source_Plate!$M$2:$N$9,2,FALSE))</f>
        <v/>
      </c>
      <c r="B100" s="3"/>
    </row>
    <row r="101" spans="1:5" x14ac:dyDescent="0.25">
      <c r="A101" s="3" t="str">
        <f>IF(C101="","",VLOOKUP(C101,Source_Plate!$M$2:$N$9,2,FALSE))</f>
        <v/>
      </c>
      <c r="B101" s="3"/>
    </row>
    <row r="102" spans="1:5" x14ac:dyDescent="0.25">
      <c r="A102" s="3" t="str">
        <f>IF(C102="","",VLOOKUP(C102,Source_Plate!$M$2:$N$9,2,FALSE))</f>
        <v/>
      </c>
      <c r="B102" s="3"/>
    </row>
    <row r="103" spans="1:5" x14ac:dyDescent="0.25">
      <c r="A103" s="3" t="str">
        <f>IF(C103="","",VLOOKUP(C103,Source_Plate!$M$2:$N$9,2,FALSE))</f>
        <v/>
      </c>
    </row>
    <row r="104" spans="1:5" x14ac:dyDescent="0.25">
      <c r="A104" s="3" t="str">
        <f>IF(C104="","",VLOOKUP(C104,Source_Plate!$M$2:$N$9,2,FALSE))</f>
        <v/>
      </c>
    </row>
    <row r="105" spans="1:5" x14ac:dyDescent="0.25">
      <c r="A105" s="3" t="str">
        <f>IF(C105="","",VLOOKUP(C105,Source_Plate!$M$2:$N$9,2,FALSE))</f>
        <v/>
      </c>
    </row>
    <row r="106" spans="1:5" x14ac:dyDescent="0.25">
      <c r="A106" s="3" t="str">
        <f>IF(C106="","",VLOOKUP(C106,Source_Plate!$M$2:$N$9,2,FALSE))</f>
        <v/>
      </c>
    </row>
    <row r="107" spans="1:5" x14ac:dyDescent="0.25">
      <c r="A107" s="3" t="str">
        <f>IF(C107="","",VLOOKUP(C107,Source_Plate!$M$2:$N$9,2,FALSE))</f>
        <v/>
      </c>
    </row>
    <row r="108" spans="1:5" x14ac:dyDescent="0.25">
      <c r="A108" s="3" t="str">
        <f>IF(C108="","",VLOOKUP(C108,Source_Plate!$M$2:$N$9,2,FALSE))</f>
        <v/>
      </c>
    </row>
    <row r="109" spans="1:5" x14ac:dyDescent="0.25">
      <c r="A109" s="3" t="str">
        <f>IF(C109="","",VLOOKUP(C109,Source_Plate!$M$2:$N$9,2,FALSE))</f>
        <v/>
      </c>
    </row>
    <row r="110" spans="1:5" x14ac:dyDescent="0.25">
      <c r="A110" s="3" t="str">
        <f>IF(C110="","",VLOOKUP(C110,Source_Plate!$M$2:$N$9,2,FALSE))</f>
        <v/>
      </c>
    </row>
    <row r="111" spans="1:5" x14ac:dyDescent="0.25">
      <c r="A111" s="3" t="str">
        <f>IF(C111="","",VLOOKUP(C111,Source_Plate!$M$2:$N$9,2,FALSE))</f>
        <v/>
      </c>
    </row>
    <row r="112" spans="1:5" x14ac:dyDescent="0.25">
      <c r="A112" s="3" t="str">
        <f>IF(C112="","",VLOOKUP(C112,Source_Plate!$M$2:$N$9,2,FALSE))</f>
        <v/>
      </c>
    </row>
    <row r="113" spans="1:1" x14ac:dyDescent="0.25">
      <c r="A113" s="3" t="str">
        <f>IF(C113="","",VLOOKUP(C113,Source_Plate!$M$2:$N$9,2,FALSE))</f>
        <v/>
      </c>
    </row>
    <row r="114" spans="1:1" x14ac:dyDescent="0.25">
      <c r="A114" s="3" t="str">
        <f>IF(C114="","",VLOOKUP(C114,Source_Plate!$M$2:$N$9,2,FALSE))</f>
        <v/>
      </c>
    </row>
    <row r="115" spans="1:1" x14ac:dyDescent="0.25">
      <c r="A115" s="3" t="str">
        <f>IF(C115="","",VLOOKUP(C115,Source_Plate!$M$2:$N$9,2,FALSE))</f>
        <v/>
      </c>
    </row>
    <row r="116" spans="1:1" x14ac:dyDescent="0.25">
      <c r="A116" s="3" t="str">
        <f>IF(C116="","",VLOOKUP(C116,Source_Plate!$M$2:$N$9,2,FALSE))</f>
        <v/>
      </c>
    </row>
    <row r="117" spans="1:1" x14ac:dyDescent="0.25">
      <c r="A117" s="3" t="str">
        <f>IF(C117="","",VLOOKUP(C117,Source_Plate!$M$2:$N$9,2,FALSE))</f>
        <v/>
      </c>
    </row>
    <row r="118" spans="1:1" x14ac:dyDescent="0.25">
      <c r="A118" s="3" t="str">
        <f>IF(C118="","",VLOOKUP(C118,Source_Plate!$M$2:$N$9,2,FALSE))</f>
        <v/>
      </c>
    </row>
    <row r="119" spans="1:1" x14ac:dyDescent="0.25">
      <c r="A119" s="3" t="str">
        <f>IF(C119="","",VLOOKUP(C119,Source_Plate!$M$2:$N$9,2,FALSE))</f>
        <v/>
      </c>
    </row>
    <row r="120" spans="1:1" x14ac:dyDescent="0.25">
      <c r="A120" s="3" t="str">
        <f>IF(C120="","",VLOOKUP(C120,Source_Plate!$M$2:$N$9,2,FALSE))</f>
        <v/>
      </c>
    </row>
    <row r="121" spans="1:1" x14ac:dyDescent="0.25">
      <c r="A121" s="3" t="str">
        <f>IF(C121="","",VLOOKUP(C121,Source_Plate!$M$2:$N$9,2,FALSE))</f>
        <v/>
      </c>
    </row>
    <row r="122" spans="1:1" x14ac:dyDescent="0.25">
      <c r="A122" s="3" t="str">
        <f>IF(C122="","",VLOOKUP(C122,Source_Plate!$M$2:$N$9,2,FALSE))</f>
        <v/>
      </c>
    </row>
    <row r="123" spans="1:1" x14ac:dyDescent="0.25">
      <c r="A123" s="3" t="str">
        <f>IF(C123="","",VLOOKUP(C123,Source_Plate!$M$2:$N$9,2,FALSE))</f>
        <v/>
      </c>
    </row>
    <row r="124" spans="1:1" x14ac:dyDescent="0.25">
      <c r="A124" s="3" t="str">
        <f>IF(C124="","",VLOOKUP(C124,Source_Plate!$M$2:$N$9,2,FALSE))</f>
        <v/>
      </c>
    </row>
    <row r="125" spans="1:1" x14ac:dyDescent="0.25">
      <c r="A125" s="3" t="str">
        <f>IF(C125="","",VLOOKUP(C125,Source_Plate!$M$2:$N$9,2,FALSE))</f>
        <v/>
      </c>
    </row>
    <row r="126" spans="1:1" x14ac:dyDescent="0.25">
      <c r="A126" s="3" t="str">
        <f>IF(C126="","",VLOOKUP(C126,Source_Plate!$M$2:$N$9,2,FALSE))</f>
        <v/>
      </c>
    </row>
    <row r="127" spans="1:1" x14ac:dyDescent="0.25">
      <c r="A127" s="3" t="str">
        <f>IF(C127="","",VLOOKUP(C127,Source_Plate!$M$2:$N$9,2,FALSE))</f>
        <v/>
      </c>
    </row>
    <row r="128" spans="1:1" x14ac:dyDescent="0.25">
      <c r="A128" s="3" t="str">
        <f>IF(C128="","",VLOOKUP(C128,Source_Plate!$M$2:$N$9,2,FALSE))</f>
        <v/>
      </c>
    </row>
    <row r="129" spans="1:1" x14ac:dyDescent="0.25">
      <c r="A129" s="3" t="str">
        <f>IF(C129="","",VLOOKUP(C129,Source_Plate!$M$2:$N$9,2,FALSE))</f>
        <v/>
      </c>
    </row>
    <row r="130" spans="1:1" x14ac:dyDescent="0.25">
      <c r="A130" s="3" t="str">
        <f>IF(C130="","",VLOOKUP(C130,Source_Plate!$M$2:$N$9,2,FALSE))</f>
        <v/>
      </c>
    </row>
    <row r="131" spans="1:1" x14ac:dyDescent="0.25">
      <c r="A131" s="3" t="str">
        <f>IF(C131="","",VLOOKUP(C131,Source_Plate!$M$2:$N$9,2,FALSE))</f>
        <v/>
      </c>
    </row>
    <row r="132" spans="1:1" x14ac:dyDescent="0.25">
      <c r="A132" s="3" t="str">
        <f>IF(C132="","",VLOOKUP(C132,Source_Plate!$M$2:$N$9,2,FALSE))</f>
        <v/>
      </c>
    </row>
    <row r="133" spans="1:1" x14ac:dyDescent="0.25">
      <c r="A133" s="3" t="str">
        <f>IF(C133="","",VLOOKUP(C133,Source_Plate!$M$2:$N$9,2,FALSE))</f>
        <v/>
      </c>
    </row>
    <row r="134" spans="1:1" x14ac:dyDescent="0.25">
      <c r="A134" s="3" t="str">
        <f>IF(C134="","",VLOOKUP(C134,Source_Plate!$M$2:$N$9,2,FALSE))</f>
        <v/>
      </c>
    </row>
    <row r="135" spans="1:1" x14ac:dyDescent="0.25">
      <c r="A135" s="3" t="str">
        <f>IF(C135="","",VLOOKUP(C135,Source_Plate!$M$2:$N$9,2,FALSE))</f>
        <v/>
      </c>
    </row>
    <row r="136" spans="1:1" x14ac:dyDescent="0.25">
      <c r="A136" s="3" t="str">
        <f>IF(C136="","",VLOOKUP(C136,Source_Plate!$M$2:$N$9,2,FALSE))</f>
        <v/>
      </c>
    </row>
    <row r="137" spans="1:1" x14ac:dyDescent="0.25">
      <c r="A137" s="3" t="str">
        <f>IF(C137="","",VLOOKUP(C137,Source_Plate!$M$2:$N$9,2,FALSE))</f>
        <v/>
      </c>
    </row>
    <row r="138" spans="1:1" x14ac:dyDescent="0.25">
      <c r="A138" s="3" t="str">
        <f>IF(C138="","",VLOOKUP(C138,Source_Plate!$M$2:$N$9,2,FALSE))</f>
        <v/>
      </c>
    </row>
    <row r="139" spans="1:1" x14ac:dyDescent="0.25">
      <c r="A139" s="3" t="str">
        <f>IF(C139="","",VLOOKUP(C139,Source_Plate!$M$2:$N$9,2,FALSE))</f>
        <v/>
      </c>
    </row>
    <row r="140" spans="1:1" x14ac:dyDescent="0.25">
      <c r="A140" s="3" t="str">
        <f>IF(C140="","",VLOOKUP(C140,Source_Plate!$M$2:$N$9,2,FALSE))</f>
        <v/>
      </c>
    </row>
    <row r="141" spans="1:1" x14ac:dyDescent="0.25">
      <c r="A141" s="3" t="str">
        <f>IF(C141="","",VLOOKUP(C141,Source_Plate!$M$2:$N$9,2,FALSE))</f>
        <v/>
      </c>
    </row>
    <row r="142" spans="1:1" x14ac:dyDescent="0.25">
      <c r="A142" s="3" t="str">
        <f>IF(C142="","",VLOOKUP(C142,Source_Plate!$M$2:$N$9,2,FALSE))</f>
        <v/>
      </c>
    </row>
    <row r="143" spans="1:1" x14ac:dyDescent="0.25">
      <c r="A143" s="3" t="str">
        <f>IF(C143="","",VLOOKUP(C143,Source_Plate!$M$2:$N$9,2,FALSE))</f>
        <v/>
      </c>
    </row>
    <row r="144" spans="1:1" x14ac:dyDescent="0.25">
      <c r="A144" s="3" t="str">
        <f>IF(C144="","",VLOOKUP(C144,Source_Plate!$M$2:$N$9,2,FALSE))</f>
        <v/>
      </c>
    </row>
    <row r="145" spans="1:1" x14ac:dyDescent="0.25">
      <c r="A145" s="3" t="str">
        <f>IF(C145="","",VLOOKUP(C145,Source_Plate!$M$2:$N$9,2,FALSE))</f>
        <v/>
      </c>
    </row>
    <row r="146" spans="1:1" x14ac:dyDescent="0.25">
      <c r="A146" s="3" t="str">
        <f>IF(C146="","",VLOOKUP(C146,Source_Plate!$M$2:$N$9,2,FALSE))</f>
        <v/>
      </c>
    </row>
    <row r="147" spans="1:1" x14ac:dyDescent="0.25">
      <c r="A147" s="3" t="str">
        <f>IF(C147="","",VLOOKUP(C147,Source_Plate!$M$2:$N$9,2,FALSE))</f>
        <v/>
      </c>
    </row>
    <row r="148" spans="1:1" x14ac:dyDescent="0.25">
      <c r="A148" s="3" t="str">
        <f>IF(C148="","",VLOOKUP(C148,Source_Plate!$M$2:$N$9,2,FALSE))</f>
        <v/>
      </c>
    </row>
    <row r="149" spans="1:1" x14ac:dyDescent="0.25">
      <c r="A149" s="3" t="str">
        <f>IF(C149="","",VLOOKUP(C149,Source_Plate!$M$2:$N$9,2,FALSE))</f>
        <v/>
      </c>
    </row>
    <row r="150" spans="1:1" x14ac:dyDescent="0.25">
      <c r="A150" s="3" t="str">
        <f>IF(C150="","",VLOOKUP(C150,Source_Plate!$M$2:$N$9,2,FALSE))</f>
        <v/>
      </c>
    </row>
    <row r="151" spans="1:1" x14ac:dyDescent="0.25">
      <c r="A151" s="3" t="str">
        <f>IF(C151="","",VLOOKUP(C151,Source_Plate!$M$2:$N$9,2,FALSE))</f>
        <v/>
      </c>
    </row>
    <row r="152" spans="1:1" x14ac:dyDescent="0.25">
      <c r="A152" s="3" t="str">
        <f>IF(C152="","",VLOOKUP(C152,Source_Plate!$M$2:$N$9,2,FALSE))</f>
        <v/>
      </c>
    </row>
    <row r="153" spans="1:1" x14ac:dyDescent="0.25">
      <c r="A153" s="3" t="str">
        <f>IF(C153="","",VLOOKUP(C153,Source_Plate!$M$2:$N$9,2,FALSE))</f>
        <v/>
      </c>
    </row>
    <row r="154" spans="1:1" x14ac:dyDescent="0.25">
      <c r="A154" s="3" t="str">
        <f>IF(C154="","",VLOOKUP(C154,Source_Plate!$M$2:$N$9,2,FALSE))</f>
        <v/>
      </c>
    </row>
    <row r="155" spans="1:1" x14ac:dyDescent="0.25">
      <c r="A155" s="3" t="str">
        <f>IF(C155="","",VLOOKUP(C155,Source_Plate!$M$2:$N$9,2,FALSE))</f>
        <v/>
      </c>
    </row>
    <row r="156" spans="1:1" x14ac:dyDescent="0.25">
      <c r="A156" s="3" t="str">
        <f>IF(C156="","",VLOOKUP(C156,Source_Plate!$M$2:$N$9,2,FALSE))</f>
        <v/>
      </c>
    </row>
    <row r="157" spans="1:1" x14ac:dyDescent="0.25">
      <c r="A157" s="3" t="str">
        <f>IF(C157="","",VLOOKUP(C157,Source_Plate!$M$2:$N$9,2,FALSE))</f>
        <v/>
      </c>
    </row>
    <row r="158" spans="1:1" x14ac:dyDescent="0.25">
      <c r="A158" s="3" t="str">
        <f>IF(C158="","",VLOOKUP(C158,Source_Plate!$M$2:$N$9,2,FALSE))</f>
        <v/>
      </c>
    </row>
    <row r="159" spans="1:1" x14ac:dyDescent="0.25">
      <c r="A159" s="3" t="str">
        <f>IF(C159="","",VLOOKUP(C159,Source_Plate!$M$2:$N$9,2,FALSE))</f>
        <v/>
      </c>
    </row>
    <row r="160" spans="1:1" x14ac:dyDescent="0.25">
      <c r="A160" s="3" t="str">
        <f>IF(C160="","",VLOOKUP(C160,Source_Plate!$M$2:$N$9,2,FALSE))</f>
        <v/>
      </c>
    </row>
    <row r="161" spans="1:1" x14ac:dyDescent="0.25">
      <c r="A161" s="3" t="str">
        <f>IF(C161="","",VLOOKUP(C161,Source_Plate!$M$2:$N$9,2,FALSE))</f>
        <v/>
      </c>
    </row>
    <row r="162" spans="1:1" x14ac:dyDescent="0.25">
      <c r="A162" s="3" t="str">
        <f>IF(C162="","",VLOOKUP(C162,Source_Plate!$M$2:$N$9,2,FALSE))</f>
        <v/>
      </c>
    </row>
    <row r="163" spans="1:1" x14ac:dyDescent="0.25">
      <c r="A163" s="3" t="str">
        <f>IF(C163="","",VLOOKUP(C163,Source_Plate!$M$2:$N$9,2,FALSE))</f>
        <v/>
      </c>
    </row>
    <row r="164" spans="1:1" x14ac:dyDescent="0.25">
      <c r="A164" s="3" t="str">
        <f>IF(C164="","",VLOOKUP(C164,Source_Plate!$M$2:$N$9,2,FALSE))</f>
        <v/>
      </c>
    </row>
    <row r="165" spans="1:1" x14ac:dyDescent="0.25">
      <c r="A165" s="3" t="str">
        <f>IF(C165="","",VLOOKUP(C165,Source_Plate!$M$2:$N$9,2,FALSE))</f>
        <v/>
      </c>
    </row>
    <row r="166" spans="1:1" x14ac:dyDescent="0.25">
      <c r="A166" s="3" t="str">
        <f>IF(C166="","",VLOOKUP(C166,Source_Plate!$M$2:$N$9,2,FALSE))</f>
        <v/>
      </c>
    </row>
    <row r="167" spans="1:1" x14ac:dyDescent="0.25">
      <c r="A167" s="3" t="str">
        <f>IF(C167="","",VLOOKUP(C167,Source_Plate!$M$2:$N$9,2,FALSE))</f>
        <v/>
      </c>
    </row>
    <row r="168" spans="1:1" x14ac:dyDescent="0.25">
      <c r="A168" s="3" t="str">
        <f>IF(C168="","",VLOOKUP(C168,Source_Plate!$M$2:$N$9,2,FALSE))</f>
        <v/>
      </c>
    </row>
    <row r="169" spans="1:1" x14ac:dyDescent="0.25">
      <c r="A169" s="3" t="str">
        <f>IF(C169="","",VLOOKUP(C169,Source_Plate!$M$2:$N$9,2,FALSE))</f>
        <v/>
      </c>
    </row>
    <row r="170" spans="1:1" x14ac:dyDescent="0.25">
      <c r="A170" s="3" t="str">
        <f>IF(C170="","",VLOOKUP(C170,Source_Plate!$M$2:$N$9,2,FALSE))</f>
        <v/>
      </c>
    </row>
    <row r="171" spans="1:1" x14ac:dyDescent="0.25">
      <c r="A171" s="3" t="str">
        <f>IF(C171="","",VLOOKUP(C171,Source_Plate!$M$2:$N$9,2,FALSE))</f>
        <v/>
      </c>
    </row>
    <row r="172" spans="1:1" x14ac:dyDescent="0.25">
      <c r="A172" s="3" t="str">
        <f>IF(C172="","",VLOOKUP(C172,Source_Plate!$M$2:$N$9,2,FALSE))</f>
        <v/>
      </c>
    </row>
    <row r="173" spans="1:1" x14ac:dyDescent="0.25">
      <c r="A173" s="3" t="str">
        <f>IF(C173="","",VLOOKUP(C173,Source_Plate!$M$2:$N$9,2,FALSE))</f>
        <v/>
      </c>
    </row>
    <row r="174" spans="1:1" x14ac:dyDescent="0.25">
      <c r="A174" s="3" t="str">
        <f>IF(C174="","",VLOOKUP(C174,Source_Plate!$M$2:$N$9,2,FALSE))</f>
        <v/>
      </c>
    </row>
    <row r="175" spans="1:1" x14ac:dyDescent="0.25">
      <c r="A175" s="3" t="str">
        <f>IF(C175="","",VLOOKUP(C175,Source_Plate!$M$2:$N$9,2,FALSE))</f>
        <v/>
      </c>
    </row>
    <row r="176" spans="1:1" x14ac:dyDescent="0.25">
      <c r="A176" s="3" t="str">
        <f>IF(C176="","",VLOOKUP(C176,Source_Plate!$M$2:$N$9,2,FALSE))</f>
        <v/>
      </c>
    </row>
    <row r="177" spans="1:1" x14ac:dyDescent="0.25">
      <c r="A177" s="3" t="str">
        <f>IF(C177="","",VLOOKUP(C177,Source_Plate!$M$2:$N$9,2,FALSE))</f>
        <v/>
      </c>
    </row>
    <row r="178" spans="1:1" x14ac:dyDescent="0.25">
      <c r="A178" s="3" t="str">
        <f>IF(C178="","",VLOOKUP(C178,Source_Plate!$M$2:$N$9,2,FALSE))</f>
        <v/>
      </c>
    </row>
    <row r="179" spans="1:1" x14ac:dyDescent="0.25">
      <c r="A179" s="3" t="str">
        <f>IF(C179="","",VLOOKUP(C179,Source_Plate!$M$2:$N$9,2,FALSE))</f>
        <v/>
      </c>
    </row>
    <row r="180" spans="1:1" x14ac:dyDescent="0.25">
      <c r="A180" s="3" t="str">
        <f>IF(C180="","",VLOOKUP(C180,Source_Plate!$M$2:$N$9,2,FALSE))</f>
        <v/>
      </c>
    </row>
    <row r="181" spans="1:1" x14ac:dyDescent="0.25">
      <c r="A181" s="3" t="str">
        <f>IF(C181="","",VLOOKUP(C181,Source_Plate!$M$2:$N$9,2,FALSE))</f>
        <v/>
      </c>
    </row>
    <row r="182" spans="1:1" x14ac:dyDescent="0.25">
      <c r="A182" s="3" t="str">
        <f>IF(C182="","",VLOOKUP(C182,Source_Plate!$M$2:$N$9,2,FALSE))</f>
        <v/>
      </c>
    </row>
    <row r="183" spans="1:1" x14ac:dyDescent="0.25">
      <c r="A183" s="3" t="str">
        <f>IF(C183="","",VLOOKUP(C183,Source_Plate!$M$2:$N$9,2,FALSE))</f>
        <v/>
      </c>
    </row>
    <row r="184" spans="1:1" x14ac:dyDescent="0.25">
      <c r="A184" s="3" t="str">
        <f>IF(C184="","",VLOOKUP(C184,Source_Plate!$M$2:$N$9,2,FALSE))</f>
        <v/>
      </c>
    </row>
    <row r="185" spans="1:1" x14ac:dyDescent="0.25">
      <c r="A185" s="3" t="str">
        <f>IF(C185="","",VLOOKUP(C185,Source_Plate!$M$2:$N$9,2,FALSE))</f>
        <v/>
      </c>
    </row>
    <row r="186" spans="1:1" x14ac:dyDescent="0.25">
      <c r="A186" s="3" t="str">
        <f>IF(C186="","",VLOOKUP(C186,Source_Plate!$M$2:$N$9,2,FALSE))</f>
        <v/>
      </c>
    </row>
    <row r="187" spans="1:1" x14ac:dyDescent="0.25">
      <c r="A187" s="3" t="str">
        <f>IF(C187="","",VLOOKUP(C187,Source_Plate!$M$2:$N$9,2,FALSE))</f>
        <v/>
      </c>
    </row>
    <row r="188" spans="1:1" x14ac:dyDescent="0.25">
      <c r="A188" s="3" t="str">
        <f>IF(C188="","",VLOOKUP(C188,Source_Plate!$M$2:$N$9,2,FALSE))</f>
        <v/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</vt:i4>
      </vt:variant>
    </vt:vector>
  </HeadingPairs>
  <TitlesOfParts>
    <vt:vector size="19" baseType="lpstr">
      <vt:lpstr>Infos+</vt:lpstr>
      <vt:lpstr>Plate organization+</vt:lpstr>
      <vt:lpstr>Plan+</vt:lpstr>
      <vt:lpstr>PM_info+</vt:lpstr>
      <vt:lpstr>DNA_dilution+</vt:lpstr>
      <vt:lpstr>Source_Plate</vt:lpstr>
      <vt:lpstr>Worklist_W</vt:lpstr>
      <vt:lpstr>Worklist_DNA</vt:lpstr>
      <vt:lpstr>Worklist_PM_parts</vt:lpstr>
      <vt:lpstr>Worklist_PM</vt:lpstr>
      <vt:lpstr>Worklist_MM</vt:lpstr>
      <vt:lpstr>Worklist_P</vt:lpstr>
      <vt:lpstr>Worklist_BB</vt:lpstr>
      <vt:lpstr>Worklist_SP</vt:lpstr>
      <vt:lpstr>Worklist_RBS</vt:lpstr>
      <vt:lpstr>Worklist_GoI</vt:lpstr>
      <vt:lpstr>Worklist_Tags</vt:lpstr>
      <vt:lpstr>Worklist_GG_water</vt:lpstr>
      <vt:lpstr>'Plan+'!Druckbereich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Dominic Kösters</cp:lastModifiedBy>
  <cp:lastPrinted>2024-11-27T10:47:59Z</cp:lastPrinted>
  <dcterms:created xsi:type="dcterms:W3CDTF">2023-10-23T12:23:52Z</dcterms:created>
  <dcterms:modified xsi:type="dcterms:W3CDTF">2026-07-24T07:42:53Z</dcterms:modified>
</cp:coreProperties>
</file>