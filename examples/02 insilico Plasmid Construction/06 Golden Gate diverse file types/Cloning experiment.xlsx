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ab\10-Autobiotech\5-MoClo\Files for Tim to test the automated plasmid assembly\"/>
    </mc:Choice>
  </mc:AlternateContent>
  <bookViews>
    <workbookView xWindow="0" yWindow="0" windowWidth="25200" windowHeight="11850"/>
  </bookViews>
  <sheets>
    <sheet name="T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  <c r="B28" i="1"/>
  <c r="G27" i="1"/>
  <c r="F27" i="1"/>
  <c r="E27" i="1"/>
  <c r="D27" i="1"/>
  <c r="C27" i="1"/>
  <c r="B27" i="1"/>
  <c r="H26" i="1"/>
  <c r="G25" i="1"/>
  <c r="F25" i="1"/>
  <c r="E25" i="1"/>
  <c r="D25" i="1"/>
  <c r="C25" i="1"/>
  <c r="B25" i="1"/>
  <c r="G24" i="1"/>
  <c r="F24" i="1"/>
  <c r="E24" i="1"/>
  <c r="D24" i="1"/>
  <c r="C24" i="1"/>
  <c r="B24" i="1"/>
  <c r="H23" i="1"/>
  <c r="G22" i="1"/>
  <c r="F22" i="1"/>
  <c r="E22" i="1"/>
  <c r="D22" i="1"/>
  <c r="C22" i="1"/>
  <c r="B22" i="1"/>
  <c r="G21" i="1"/>
  <c r="F21" i="1"/>
  <c r="E21" i="1"/>
  <c r="D21" i="1"/>
  <c r="C21" i="1"/>
  <c r="B21" i="1"/>
  <c r="H20" i="1"/>
  <c r="G19" i="1"/>
  <c r="F19" i="1"/>
  <c r="E19" i="1"/>
  <c r="D19" i="1"/>
  <c r="C19" i="1"/>
  <c r="B19" i="1"/>
  <c r="G18" i="1"/>
  <c r="F18" i="1"/>
  <c r="E18" i="1"/>
  <c r="D18" i="1"/>
  <c r="C18" i="1"/>
  <c r="B18" i="1"/>
  <c r="H17" i="1"/>
  <c r="G16" i="1"/>
  <c r="F16" i="1"/>
  <c r="E16" i="1"/>
  <c r="D16" i="1"/>
  <c r="C16" i="1"/>
  <c r="B16" i="1"/>
  <c r="G15" i="1"/>
  <c r="F15" i="1"/>
  <c r="E15" i="1"/>
  <c r="D15" i="1"/>
  <c r="C15" i="1"/>
  <c r="B15" i="1"/>
  <c r="H14" i="1"/>
  <c r="G13" i="1"/>
  <c r="F13" i="1"/>
  <c r="E13" i="1"/>
  <c r="D13" i="1"/>
  <c r="C13" i="1"/>
  <c r="B13" i="1"/>
  <c r="G12" i="1"/>
  <c r="F12" i="1"/>
  <c r="E12" i="1"/>
  <c r="D12" i="1"/>
  <c r="C12" i="1"/>
  <c r="B12" i="1"/>
  <c r="H11" i="1"/>
  <c r="G10" i="1"/>
  <c r="F10" i="1"/>
  <c r="E10" i="1"/>
  <c r="D10" i="1"/>
  <c r="C10" i="1"/>
  <c r="B10" i="1"/>
  <c r="G9" i="1"/>
  <c r="F9" i="1"/>
  <c r="E9" i="1"/>
  <c r="D9" i="1"/>
  <c r="C9" i="1"/>
  <c r="B9" i="1"/>
  <c r="H8" i="1"/>
  <c r="G7" i="1"/>
  <c r="F7" i="1"/>
  <c r="E7" i="1"/>
  <c r="D7" i="1"/>
  <c r="C7" i="1"/>
  <c r="B7" i="1"/>
  <c r="G6" i="1"/>
  <c r="F6" i="1"/>
  <c r="E6" i="1"/>
  <c r="D6" i="1"/>
  <c r="C6" i="1"/>
  <c r="B6" i="1"/>
  <c r="H5" i="1"/>
  <c r="A5" i="1"/>
  <c r="A8" i="1" s="1"/>
  <c r="A11" i="1" s="1"/>
  <c r="A14" i="1" s="1"/>
  <c r="A17" i="1" s="1"/>
  <c r="A20" i="1" s="1"/>
  <c r="A23" i="1" s="1"/>
  <c r="A26" i="1" s="1"/>
  <c r="G4" i="1"/>
  <c r="F4" i="1"/>
  <c r="E4" i="1"/>
  <c r="D4" i="1"/>
  <c r="C4" i="1"/>
  <c r="B4" i="1"/>
  <c r="G3" i="1"/>
  <c r="F3" i="1"/>
  <c r="E3" i="1"/>
  <c r="D3" i="1"/>
  <c r="C3" i="1"/>
  <c r="B3" i="1"/>
  <c r="H2" i="1"/>
</calcChain>
</file>

<file path=xl/sharedStrings.xml><?xml version="1.0" encoding="utf-8"?>
<sst xmlns="http://schemas.openxmlformats.org/spreadsheetml/2006/main" count="93" uniqueCount="40">
  <si>
    <t>C-SP-CspA_Ca-QEV-D</t>
  </si>
  <si>
    <t>A-Ptac-B</t>
  </si>
  <si>
    <t>C-SP-CspB-QEV-D</t>
  </si>
  <si>
    <t>C-SP-IMD_Ag-QEV-D</t>
  </si>
  <si>
    <t>C-SP092-QEV-D</t>
  </si>
  <si>
    <t>B-lacO-RBS-C</t>
  </si>
  <si>
    <t>C-SP093-QEV-D</t>
  </si>
  <si>
    <t>D-EYFP-E</t>
  </si>
  <si>
    <t>C-SP094-QEV-D</t>
  </si>
  <si>
    <t>C-SP095-QEV-D</t>
  </si>
  <si>
    <t>C-SP-TorA_Ec-QEV-D</t>
  </si>
  <si>
    <t>C-EYFP-E</t>
  </si>
  <si>
    <t>MoClo</t>
  </si>
  <si>
    <t>Vector</t>
  </si>
  <si>
    <t>Part 1</t>
  </si>
  <si>
    <t>Part 2</t>
  </si>
  <si>
    <t>Part 3</t>
  </si>
  <si>
    <t>Part 4</t>
  </si>
  <si>
    <t>Part 5</t>
  </si>
  <si>
    <t>Result</t>
  </si>
  <si>
    <t>Aim</t>
  </si>
  <si>
    <t>TU-2.0-AF</t>
  </si>
  <si>
    <t>E-TEV-FL-10xHis-tag-F</t>
  </si>
  <si>
    <t>Test Tat dependency</t>
  </si>
  <si>
    <t>Name</t>
  </si>
  <si>
    <t>Plasmid #</t>
  </si>
  <si>
    <t>pSM253</t>
  </si>
  <si>
    <t>pSM254</t>
  </si>
  <si>
    <t>pSM255</t>
  </si>
  <si>
    <t>pSM256</t>
  </si>
  <si>
    <t>pSM257</t>
  </si>
  <si>
    <t>pSM258</t>
  </si>
  <si>
    <t>pSM259</t>
  </si>
  <si>
    <t>pSM260</t>
  </si>
  <si>
    <t>pSM200</t>
  </si>
  <si>
    <t>pSM194</t>
  </si>
  <si>
    <t>pSM202</t>
  </si>
  <si>
    <t>pSM268</t>
  </si>
  <si>
    <t>pSM285</t>
  </si>
  <si>
    <t>pSM306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</si>
</sst>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Fill="1" applyBorder="1"/>
    <xf numFmtId="0" fontId="3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5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8" fillId="0" borderId="9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/>
    <xf numFmtId="0" fontId="6" fillId="0" borderId="19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5" fillId="0" borderId="6" xfId="0" applyFont="1" applyFill="1" applyBorder="1"/>
    <xf numFmtId="0" fontId="1" fillId="0" borderId="6" xfId="0" applyFont="1" applyBorder="1"/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abSelected="1" workbookViewId="0">
      <selection activeCell="H31" sqref="H31"/>
    </sheetView>
  </sheetViews>
  <sheetFormatPr defaultRowHeight="15" x14ac:dyDescent="0.25"/>
  <cols>
    <col min="1" max="1" width="9.140625" style="10"/>
    <col min="2" max="2" width="17.7109375" bestFit="1" customWidth="1"/>
    <col min="3" max="3" width="12.85546875" bestFit="1" customWidth="1"/>
    <col min="4" max="4" width="19" bestFit="1" customWidth="1"/>
    <col min="5" max="5" width="17.7109375" bestFit="1" customWidth="1"/>
    <col min="6" max="6" width="18.7109375" bestFit="1" customWidth="1"/>
    <col min="7" max="7" width="17.7109375" bestFit="1" customWidth="1"/>
    <col min="8" max="8" width="68.28515625" bestFit="1" customWidth="1"/>
    <col min="9" max="9" width="18.5703125" bestFit="1" customWidth="1"/>
    <col min="10" max="10" width="19" bestFit="1" customWidth="1"/>
    <col min="12" max="12" width="18.5703125" style="1" bestFit="1" customWidth="1"/>
    <col min="13" max="13" width="0" hidden="1" customWidth="1"/>
    <col min="14" max="14" width="9.42578125" bestFit="1" customWidth="1"/>
  </cols>
  <sheetData>
    <row r="1" spans="1:14" ht="15.75" thickBot="1" x14ac:dyDescent="0.3">
      <c r="A1" s="11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18</v>
      </c>
      <c r="H1" s="12" t="s">
        <v>19</v>
      </c>
      <c r="I1" s="45" t="s">
        <v>20</v>
      </c>
      <c r="J1" s="46"/>
      <c r="L1" s="47" t="s">
        <v>24</v>
      </c>
      <c r="M1" s="48"/>
      <c r="N1" s="48" t="s">
        <v>25</v>
      </c>
    </row>
    <row r="2" spans="1:14" ht="15.75" thickBot="1" x14ac:dyDescent="0.3">
      <c r="A2" s="13">
        <v>1</v>
      </c>
      <c r="B2" s="14" t="s">
        <v>21</v>
      </c>
      <c r="C2" s="3" t="s">
        <v>1</v>
      </c>
      <c r="D2" s="15" t="s">
        <v>5</v>
      </c>
      <c r="E2" s="16"/>
      <c r="F2" s="17" t="s">
        <v>11</v>
      </c>
      <c r="G2" s="6" t="s">
        <v>22</v>
      </c>
      <c r="H2" s="18" t="str">
        <f>CONCATENATE(C2,D2,E2,F2,G2)</f>
        <v>A-Ptac-BB-lacO-RBS-CC-EYFP-EE-TEV-FL-10xHis-tag-F</v>
      </c>
      <c r="I2" s="19" t="s">
        <v>23</v>
      </c>
      <c r="J2" s="20"/>
      <c r="L2" s="4" t="s">
        <v>4</v>
      </c>
      <c r="M2" s="44"/>
      <c r="N2" s="49" t="s">
        <v>26</v>
      </c>
    </row>
    <row r="3" spans="1:14" ht="15.75" x14ac:dyDescent="0.25">
      <c r="A3" s="21"/>
      <c r="B3" s="22">
        <f>VLOOKUP(B2,$L:$M,2,FALSE)</f>
        <v>0</v>
      </c>
      <c r="C3" s="22">
        <f>VLOOKUP(C2,$L:$M,2,FALSE)</f>
        <v>0</v>
      </c>
      <c r="D3" s="22">
        <f>VLOOKUP(D2,$L:$M,2,FALSE)</f>
        <v>0</v>
      </c>
      <c r="E3" s="22" t="e">
        <f>VLOOKUP(E2,$L:$M,2,FALSE)</f>
        <v>#N/A</v>
      </c>
      <c r="F3" s="22">
        <f>VLOOKUP(F2,$L:$M,2,FALSE)</f>
        <v>0</v>
      </c>
      <c r="G3" s="22">
        <f>VLOOKUP(G2,$L:$M,2,FALSE)</f>
        <v>0</v>
      </c>
      <c r="H3" s="23"/>
      <c r="I3" s="24"/>
      <c r="J3" s="25"/>
      <c r="L3" s="4" t="s">
        <v>6</v>
      </c>
      <c r="M3" s="44"/>
      <c r="N3" s="49" t="s">
        <v>27</v>
      </c>
    </row>
    <row r="4" spans="1:14" ht="16.5" thickBot="1" x14ac:dyDescent="0.3">
      <c r="A4" s="26"/>
      <c r="B4" s="27" t="str">
        <f>VLOOKUP(B2,$L:$N,3,FALSE)</f>
        <v>pSM285</v>
      </c>
      <c r="C4" s="27" t="str">
        <f>VLOOKUP(C2,$L:$N,3,FALSE)</f>
        <v>pSM200</v>
      </c>
      <c r="D4" s="27" t="str">
        <f>VLOOKUP(D2,$L:$N,3,FALSE)</f>
        <v>pSM194</v>
      </c>
      <c r="E4" s="22" t="e">
        <f>VLOOKUP(E2,$L:$N,3,FALSE)</f>
        <v>#N/A</v>
      </c>
      <c r="F4" s="22" t="str">
        <f>VLOOKUP(F2,$L:$N,3,FALSE)</f>
        <v>pSM268</v>
      </c>
      <c r="G4" s="22" t="str">
        <f>VLOOKUP(G2,$L:$N,3,FALSE)</f>
        <v>pSM306</v>
      </c>
      <c r="H4" s="28"/>
      <c r="I4" s="24"/>
      <c r="J4" s="25"/>
      <c r="L4" s="4" t="s">
        <v>8</v>
      </c>
      <c r="M4" s="44"/>
      <c r="N4" s="49" t="s">
        <v>28</v>
      </c>
    </row>
    <row r="5" spans="1:14" ht="15.75" thickBot="1" x14ac:dyDescent="0.3">
      <c r="A5" s="13">
        <f>A2+1</f>
        <v>2</v>
      </c>
      <c r="B5" s="30" t="s">
        <v>21</v>
      </c>
      <c r="C5" s="3" t="s">
        <v>1</v>
      </c>
      <c r="D5" s="8" t="s">
        <v>5</v>
      </c>
      <c r="E5" s="9" t="s">
        <v>10</v>
      </c>
      <c r="F5" s="7" t="s">
        <v>7</v>
      </c>
      <c r="G5" s="6" t="s">
        <v>22</v>
      </c>
      <c r="H5" s="18" t="str">
        <f>CONCATENATE(C5,D5,E5,F5,G5)</f>
        <v>A-Ptac-BB-lacO-RBS-CC-SP-TorA_Ec-QEV-DD-EYFP-EE-TEV-FL-10xHis-tag-F</v>
      </c>
      <c r="I5" s="24"/>
      <c r="J5" s="25"/>
      <c r="L5" s="4" t="s">
        <v>9</v>
      </c>
      <c r="M5" s="44"/>
      <c r="N5" s="49" t="s">
        <v>29</v>
      </c>
    </row>
    <row r="6" spans="1:14" ht="15.75" x14ac:dyDescent="0.25">
      <c r="A6" s="21"/>
      <c r="B6" s="22">
        <f>VLOOKUP(B5,$L:$M,2,FALSE)</f>
        <v>0</v>
      </c>
      <c r="C6" s="22">
        <f>VLOOKUP(C5,$L:$M,2,FALSE)</f>
        <v>0</v>
      </c>
      <c r="D6" s="22">
        <f>VLOOKUP(D5,$L:$M,2,FALSE)</f>
        <v>0</v>
      </c>
      <c r="E6" s="22">
        <f>VLOOKUP(E5,$L:$M,2,FALSE)</f>
        <v>0</v>
      </c>
      <c r="F6" s="22">
        <f>VLOOKUP(F5,$L:$M,2,FALSE)</f>
        <v>0</v>
      </c>
      <c r="G6" s="22">
        <f>VLOOKUP(G5,$L:$M,2,FALSE)</f>
        <v>0</v>
      </c>
      <c r="H6" s="23"/>
      <c r="I6" s="24"/>
      <c r="J6" s="25"/>
      <c r="L6" s="4" t="s">
        <v>10</v>
      </c>
      <c r="M6" s="44"/>
      <c r="N6" s="49" t="s">
        <v>30</v>
      </c>
    </row>
    <row r="7" spans="1:14" ht="16.5" thickBot="1" x14ac:dyDescent="0.3">
      <c r="A7" s="26"/>
      <c r="B7" s="27" t="str">
        <f>VLOOKUP(B5,$L:$N,3,FALSE)</f>
        <v>pSM285</v>
      </c>
      <c r="C7" s="27" t="str">
        <f>VLOOKUP(C5,$L:$N,3,FALSE)</f>
        <v>pSM200</v>
      </c>
      <c r="D7" s="27" t="str">
        <f>VLOOKUP(D5,$L:$N,3,FALSE)</f>
        <v>pSM194</v>
      </c>
      <c r="E7" s="22" t="str">
        <f>VLOOKUP(E5,$L:$N,3,FALSE)</f>
        <v>pSM257</v>
      </c>
      <c r="F7" s="22" t="str">
        <f>VLOOKUP(F5,$L:$N,3,FALSE)</f>
        <v>pSM202</v>
      </c>
      <c r="G7" s="22" t="str">
        <f>VLOOKUP(G5,$L:$N,3,FALSE)</f>
        <v>pSM306</v>
      </c>
      <c r="H7" s="28"/>
      <c r="I7" s="24"/>
      <c r="J7" s="25"/>
      <c r="L7" s="4" t="s">
        <v>3</v>
      </c>
      <c r="M7" s="44"/>
      <c r="N7" s="49" t="s">
        <v>31</v>
      </c>
    </row>
    <row r="8" spans="1:14" x14ac:dyDescent="0.25">
      <c r="A8" s="13">
        <f t="shared" ref="A8" si="0">A5+1</f>
        <v>3</v>
      </c>
      <c r="B8" s="30" t="s">
        <v>21</v>
      </c>
      <c r="C8" s="3" t="s">
        <v>1</v>
      </c>
      <c r="D8" s="8" t="s">
        <v>5</v>
      </c>
      <c r="E8" s="4" t="s">
        <v>3</v>
      </c>
      <c r="F8" s="7" t="s">
        <v>7</v>
      </c>
      <c r="G8" s="6" t="s">
        <v>22</v>
      </c>
      <c r="H8" s="18" t="str">
        <f>CONCATENATE(C8,D8,E8,F8,G8)</f>
        <v>A-Ptac-BB-lacO-RBS-CC-SP-IMD_Ag-QEV-DD-EYFP-EE-TEV-FL-10xHis-tag-F</v>
      </c>
      <c r="I8" s="24"/>
      <c r="J8" s="25"/>
      <c r="L8" s="4" t="s">
        <v>0</v>
      </c>
      <c r="M8" s="44"/>
      <c r="N8" s="49" t="s">
        <v>32</v>
      </c>
    </row>
    <row r="9" spans="1:14" ht="15.75" x14ac:dyDescent="0.25">
      <c r="A9" s="21"/>
      <c r="B9" s="22">
        <f>VLOOKUP(B8,$L:$M,2,FALSE)</f>
        <v>0</v>
      </c>
      <c r="C9" s="22">
        <f>VLOOKUP(C8,$L:$M,2,FALSE)</f>
        <v>0</v>
      </c>
      <c r="D9" s="22">
        <f>VLOOKUP(D8,$L:$M,2,FALSE)</f>
        <v>0</v>
      </c>
      <c r="E9" s="22">
        <f>VLOOKUP(E8,$L:$M,2,FALSE)</f>
        <v>0</v>
      </c>
      <c r="F9" s="22">
        <f>VLOOKUP(F8,$L:$M,2,FALSE)</f>
        <v>0</v>
      </c>
      <c r="G9" s="22">
        <f>VLOOKUP(G8,$L:$M,2,FALSE)</f>
        <v>0</v>
      </c>
      <c r="H9" s="23"/>
      <c r="I9" s="24"/>
      <c r="J9" s="25"/>
      <c r="L9" s="4" t="s">
        <v>2</v>
      </c>
      <c r="M9" s="44"/>
      <c r="N9" s="49" t="s">
        <v>33</v>
      </c>
    </row>
    <row r="10" spans="1:14" ht="16.5" thickBot="1" x14ac:dyDescent="0.3">
      <c r="A10" s="26"/>
      <c r="B10" s="27" t="str">
        <f>VLOOKUP(B8,$L:$N,3,FALSE)</f>
        <v>pSM285</v>
      </c>
      <c r="C10" s="27" t="str">
        <f>VLOOKUP(C8,$L:$N,3,FALSE)</f>
        <v>pSM200</v>
      </c>
      <c r="D10" s="27" t="str">
        <f>VLOOKUP(D8,$L:$N,3,FALSE)</f>
        <v>pSM194</v>
      </c>
      <c r="E10" s="22" t="str">
        <f>VLOOKUP(E8,$L:$N,3,FALSE)</f>
        <v>pSM258</v>
      </c>
      <c r="F10" s="22" t="str">
        <f>VLOOKUP(F8,$L:$N,3,FALSE)</f>
        <v>pSM202</v>
      </c>
      <c r="G10" s="22" t="str">
        <f>VLOOKUP(G8,$L:$N,3,FALSE)</f>
        <v>pSM306</v>
      </c>
      <c r="H10" s="28"/>
      <c r="I10" s="24"/>
      <c r="J10" s="25"/>
      <c r="L10" s="5" t="s">
        <v>1</v>
      </c>
      <c r="M10" s="44"/>
      <c r="N10" s="49" t="s">
        <v>34</v>
      </c>
    </row>
    <row r="11" spans="1:14" ht="15.75" customHeight="1" x14ac:dyDescent="0.25">
      <c r="A11" s="13">
        <f t="shared" ref="A11" si="1">A8+1</f>
        <v>4</v>
      </c>
      <c r="B11" s="30" t="s">
        <v>21</v>
      </c>
      <c r="C11" s="3" t="s">
        <v>1</v>
      </c>
      <c r="D11" s="8" t="s">
        <v>5</v>
      </c>
      <c r="E11" s="4" t="s">
        <v>4</v>
      </c>
      <c r="F11" s="7" t="s">
        <v>7</v>
      </c>
      <c r="G11" s="6" t="s">
        <v>22</v>
      </c>
      <c r="H11" s="18" t="str">
        <f>CONCATENATE(C11,D11,E11,F11,G11)</f>
        <v>A-Ptac-BB-lacO-RBS-CC-SP092-QEV-DD-EYFP-EE-TEV-FL-10xHis-tag-F</v>
      </c>
      <c r="I11" s="24"/>
      <c r="J11" s="25"/>
      <c r="L11" s="8" t="s">
        <v>5</v>
      </c>
      <c r="M11" s="44"/>
      <c r="N11" s="49" t="s">
        <v>35</v>
      </c>
    </row>
    <row r="12" spans="1:14" ht="15" customHeight="1" x14ac:dyDescent="0.25">
      <c r="A12" s="21"/>
      <c r="B12" s="22">
        <f>VLOOKUP(B11,$L:$M,2,FALSE)</f>
        <v>0</v>
      </c>
      <c r="C12" s="22">
        <f>VLOOKUP(C11,$L:$M,2,FALSE)</f>
        <v>0</v>
      </c>
      <c r="D12" s="22">
        <f>VLOOKUP(D11,$L:$M,2,FALSE)</f>
        <v>0</v>
      </c>
      <c r="E12" s="22">
        <f>VLOOKUP(E11,$L:$M,2,FALSE)</f>
        <v>0</v>
      </c>
      <c r="F12" s="22">
        <f>VLOOKUP(F11,$L:$M,2,FALSE)</f>
        <v>0</v>
      </c>
      <c r="G12" s="22">
        <f>VLOOKUP(G11,$L:$M,2,FALSE)</f>
        <v>0</v>
      </c>
      <c r="H12" s="23"/>
      <c r="I12" s="24"/>
      <c r="J12" s="25"/>
      <c r="L12" s="7" t="s">
        <v>7</v>
      </c>
      <c r="M12" s="44"/>
      <c r="N12" s="49" t="s">
        <v>36</v>
      </c>
    </row>
    <row r="13" spans="1:14" ht="16.5" thickBot="1" x14ac:dyDescent="0.3">
      <c r="A13" s="26"/>
      <c r="B13" s="27" t="str">
        <f>VLOOKUP(B11,$L:$N,3,FALSE)</f>
        <v>pSM285</v>
      </c>
      <c r="C13" s="27" t="str">
        <f>VLOOKUP(C11,$L:$N,3,FALSE)</f>
        <v>pSM200</v>
      </c>
      <c r="D13" s="27" t="str">
        <f>VLOOKUP(D11,$L:$N,3,FALSE)</f>
        <v>pSM194</v>
      </c>
      <c r="E13" s="27" t="str">
        <f>VLOOKUP(E11,$L:$N,3,FALSE)</f>
        <v>pSM253</v>
      </c>
      <c r="F13" s="27" t="str">
        <f>VLOOKUP(F11,$L:$N,3,FALSE)</f>
        <v>pSM202</v>
      </c>
      <c r="G13" s="22" t="str">
        <f>VLOOKUP(G11,$L:$N,3,FALSE)</f>
        <v>pSM306</v>
      </c>
      <c r="H13" s="28"/>
      <c r="I13" s="24"/>
      <c r="J13" s="25"/>
      <c r="L13" s="7" t="s">
        <v>11</v>
      </c>
      <c r="M13" s="44"/>
      <c r="N13" s="49" t="s">
        <v>37</v>
      </c>
    </row>
    <row r="14" spans="1:14" ht="15.75" customHeight="1" x14ac:dyDescent="0.25">
      <c r="A14" s="13">
        <f t="shared" ref="A14" si="2">A11+1</f>
        <v>5</v>
      </c>
      <c r="B14" s="30" t="s">
        <v>21</v>
      </c>
      <c r="C14" s="3" t="s">
        <v>1</v>
      </c>
      <c r="D14" s="8" t="s">
        <v>5</v>
      </c>
      <c r="E14" s="4" t="s">
        <v>6</v>
      </c>
      <c r="F14" s="7" t="s">
        <v>7</v>
      </c>
      <c r="G14" s="6" t="s">
        <v>22</v>
      </c>
      <c r="H14" s="18" t="str">
        <f>CONCATENATE(C14,D14,E14,F14,G14)</f>
        <v>A-Ptac-BB-lacO-RBS-CC-SP093-QEV-DD-EYFP-EE-TEV-FL-10xHis-tag-F</v>
      </c>
      <c r="I14" s="24"/>
      <c r="J14" s="25"/>
      <c r="L14" s="30" t="s">
        <v>21</v>
      </c>
      <c r="M14" s="44"/>
      <c r="N14" s="42" t="s">
        <v>38</v>
      </c>
    </row>
    <row r="15" spans="1:14" ht="15.75" x14ac:dyDescent="0.25">
      <c r="A15" s="21"/>
      <c r="B15" s="22">
        <f>VLOOKUP(B14,$L:$M,2,FALSE)</f>
        <v>0</v>
      </c>
      <c r="C15" s="22">
        <f>VLOOKUP(C14,$L:$M,2,FALSE)</f>
        <v>0</v>
      </c>
      <c r="D15" s="22">
        <f>VLOOKUP(D14,$L:$M,2,FALSE)</f>
        <v>0</v>
      </c>
      <c r="E15" s="22">
        <f>VLOOKUP(E14,$L:$M,2,FALSE)</f>
        <v>0</v>
      </c>
      <c r="F15" s="22">
        <f>VLOOKUP(F14,$L:$M,2,FALSE)</f>
        <v>0</v>
      </c>
      <c r="G15" s="22">
        <f>VLOOKUP(G14,$L:$M,2,FALSE)</f>
        <v>0</v>
      </c>
      <c r="H15" s="23"/>
      <c r="I15" s="24"/>
      <c r="J15" s="25"/>
      <c r="L15" s="6" t="s">
        <v>22</v>
      </c>
      <c r="M15" s="44"/>
      <c r="N15" s="42" t="s">
        <v>39</v>
      </c>
    </row>
    <row r="16" spans="1:14" ht="16.5" thickBot="1" x14ac:dyDescent="0.3">
      <c r="A16" s="26"/>
      <c r="B16" s="27" t="str">
        <f>VLOOKUP(B14,$L:$N,3,FALSE)</f>
        <v>pSM285</v>
      </c>
      <c r="C16" s="27" t="str">
        <f>VLOOKUP(C14,$L:$N,3,FALSE)</f>
        <v>pSM200</v>
      </c>
      <c r="D16" s="27" t="str">
        <f>VLOOKUP(D14,$L:$N,3,FALSE)</f>
        <v>pSM194</v>
      </c>
      <c r="E16" s="27" t="str">
        <f>VLOOKUP(E14,$L:$N,3,FALSE)</f>
        <v>pSM254</v>
      </c>
      <c r="F16" s="27" t="str">
        <f>VLOOKUP(F14,$L:$N,3,FALSE)</f>
        <v>pSM202</v>
      </c>
      <c r="G16" s="22" t="str">
        <f>VLOOKUP(G14,$L:$N,3,FALSE)</f>
        <v>pSM306</v>
      </c>
      <c r="H16" s="28"/>
      <c r="I16" s="24"/>
      <c r="J16" s="25"/>
    </row>
    <row r="17" spans="1:10" x14ac:dyDescent="0.25">
      <c r="A17" s="13">
        <f t="shared" ref="A17" si="3">A14+1</f>
        <v>6</v>
      </c>
      <c r="B17" s="30" t="s">
        <v>21</v>
      </c>
      <c r="C17" s="3" t="s">
        <v>1</v>
      </c>
      <c r="D17" s="8" t="s">
        <v>5</v>
      </c>
      <c r="E17" s="4" t="s">
        <v>8</v>
      </c>
      <c r="F17" s="7" t="s">
        <v>7</v>
      </c>
      <c r="G17" s="6" t="s">
        <v>22</v>
      </c>
      <c r="H17" s="18" t="str">
        <f>CONCATENATE(C17,D17,E17,F17,G17)</f>
        <v>A-Ptac-BB-lacO-RBS-CC-SP094-QEV-DD-EYFP-EE-TEV-FL-10xHis-tag-F</v>
      </c>
      <c r="I17" s="24"/>
      <c r="J17" s="25"/>
    </row>
    <row r="18" spans="1:10" ht="15.75" x14ac:dyDescent="0.25">
      <c r="A18" s="21"/>
      <c r="B18" s="22">
        <f>VLOOKUP(B17,$L:$M,2,FALSE)</f>
        <v>0</v>
      </c>
      <c r="C18" s="22">
        <f>VLOOKUP(C17,$L:$M,2,FALSE)</f>
        <v>0</v>
      </c>
      <c r="D18" s="22">
        <f>VLOOKUP(D17,$L:$M,2,FALSE)</f>
        <v>0</v>
      </c>
      <c r="E18" s="22">
        <f>VLOOKUP(E17,$L:$M,2,FALSE)</f>
        <v>0</v>
      </c>
      <c r="F18" s="22">
        <f>VLOOKUP(F17,$L:$M,2,FALSE)</f>
        <v>0</v>
      </c>
      <c r="G18" s="22">
        <f>VLOOKUP(G17,$L:$M,2,FALSE)</f>
        <v>0</v>
      </c>
      <c r="H18" s="23"/>
      <c r="I18" s="24"/>
      <c r="J18" s="25"/>
    </row>
    <row r="19" spans="1:10" ht="16.5" thickBot="1" x14ac:dyDescent="0.3">
      <c r="A19" s="26"/>
      <c r="B19" s="27" t="str">
        <f>VLOOKUP(B17,$L:$N,3,FALSE)</f>
        <v>pSM285</v>
      </c>
      <c r="C19" s="27" t="str">
        <f>VLOOKUP(C17,$L:$N,3,FALSE)</f>
        <v>pSM200</v>
      </c>
      <c r="D19" s="27" t="str">
        <f>VLOOKUP(D17,$L:$N,3,FALSE)</f>
        <v>pSM194</v>
      </c>
      <c r="E19" s="27" t="str">
        <f>VLOOKUP(E17,$L:$N,3,FALSE)</f>
        <v>pSM255</v>
      </c>
      <c r="F19" s="27" t="str">
        <f>VLOOKUP(F17,$L:$N,3,FALSE)</f>
        <v>pSM202</v>
      </c>
      <c r="G19" s="27" t="str">
        <f>VLOOKUP(G17,$L:$N,3,FALSE)</f>
        <v>pSM306</v>
      </c>
      <c r="H19" s="28"/>
      <c r="I19" s="24"/>
      <c r="J19" s="25"/>
    </row>
    <row r="20" spans="1:10" ht="15" customHeight="1" x14ac:dyDescent="0.25">
      <c r="A20" s="13">
        <f t="shared" ref="A20" si="4">A17+1</f>
        <v>7</v>
      </c>
      <c r="B20" s="30" t="s">
        <v>21</v>
      </c>
      <c r="C20" s="3" t="s">
        <v>1</v>
      </c>
      <c r="D20" s="8" t="s">
        <v>5</v>
      </c>
      <c r="E20" s="4" t="s">
        <v>9</v>
      </c>
      <c r="F20" s="7" t="s">
        <v>7</v>
      </c>
      <c r="G20" s="6" t="s">
        <v>22</v>
      </c>
      <c r="H20" s="18" t="str">
        <f>CONCATENATE(C20,D20,E20,F20,G20)</f>
        <v>A-Ptac-BB-lacO-RBS-CC-SP095-QEV-DD-EYFP-EE-TEV-FL-10xHis-tag-F</v>
      </c>
      <c r="I20" s="24"/>
      <c r="J20" s="25"/>
    </row>
    <row r="21" spans="1:10" ht="15" customHeight="1" x14ac:dyDescent="0.25">
      <c r="A21" s="21"/>
      <c r="B21" s="22">
        <f>VLOOKUP(B20,$L:$M,2,FALSE)</f>
        <v>0</v>
      </c>
      <c r="C21" s="22">
        <f>VLOOKUP(C20,$L:$M,2,FALSE)</f>
        <v>0</v>
      </c>
      <c r="D21" s="22">
        <f>VLOOKUP(D20,$L:$M,2,FALSE)</f>
        <v>0</v>
      </c>
      <c r="E21" s="22">
        <f>VLOOKUP(E20,$L:$M,2,FALSE)</f>
        <v>0</v>
      </c>
      <c r="F21" s="22">
        <f>VLOOKUP(F20,$L:$M,2,FALSE)</f>
        <v>0</v>
      </c>
      <c r="G21" s="22">
        <f>VLOOKUP(G20,$L:$M,2,FALSE)</f>
        <v>0</v>
      </c>
      <c r="H21" s="23"/>
      <c r="I21" s="24"/>
      <c r="J21" s="25"/>
    </row>
    <row r="22" spans="1:10" ht="15" customHeight="1" thickBot="1" x14ac:dyDescent="0.3">
      <c r="A22" s="26"/>
      <c r="B22" s="27" t="str">
        <f>VLOOKUP(B20,$L:$N,3,FALSE)</f>
        <v>pSM285</v>
      </c>
      <c r="C22" s="27" t="str">
        <f>VLOOKUP(C20,$L:$N,3,FALSE)</f>
        <v>pSM200</v>
      </c>
      <c r="D22" s="27" t="str">
        <f>VLOOKUP(D20,$L:$N,3,FALSE)</f>
        <v>pSM194</v>
      </c>
      <c r="E22" s="27" t="str">
        <f>VLOOKUP(E20,$L:$N,3,FALSE)</f>
        <v>pSM256</v>
      </c>
      <c r="F22" s="27" t="str">
        <f>VLOOKUP(F20,$L:$N,3,FALSE)</f>
        <v>pSM202</v>
      </c>
      <c r="G22" s="27" t="str">
        <f>VLOOKUP(G20,$L:$N,3,FALSE)</f>
        <v>pSM306</v>
      </c>
      <c r="H22" s="28"/>
      <c r="I22" s="24"/>
      <c r="J22" s="25"/>
    </row>
    <row r="23" spans="1:10" ht="15" customHeight="1" x14ac:dyDescent="0.25">
      <c r="A23" s="13">
        <f t="shared" ref="A23" si="5">A20+1</f>
        <v>8</v>
      </c>
      <c r="B23" s="30" t="s">
        <v>21</v>
      </c>
      <c r="C23" s="3" t="s">
        <v>1</v>
      </c>
      <c r="D23" s="8" t="s">
        <v>5</v>
      </c>
      <c r="E23" s="2" t="s">
        <v>0</v>
      </c>
      <c r="F23" s="7" t="s">
        <v>7</v>
      </c>
      <c r="G23" s="6" t="s">
        <v>22</v>
      </c>
      <c r="H23" s="18" t="str">
        <f>CONCATENATE(C23,D23,E23,F23,G23)</f>
        <v>A-Ptac-BB-lacO-RBS-CC-SP-CspA_Ca-QEV-DD-EYFP-EE-TEV-FL-10xHis-tag-F</v>
      </c>
      <c r="I23" s="24"/>
      <c r="J23" s="25"/>
    </row>
    <row r="24" spans="1:10" ht="15.75" x14ac:dyDescent="0.25">
      <c r="A24" s="21"/>
      <c r="B24" s="22">
        <f>VLOOKUP(B23,$L:$M,2,FALSE)</f>
        <v>0</v>
      </c>
      <c r="C24" s="22">
        <f>VLOOKUP(C23,$L:$M,2,FALSE)</f>
        <v>0</v>
      </c>
      <c r="D24" s="22">
        <f>VLOOKUP(D23,$L:$M,2,FALSE)</f>
        <v>0</v>
      </c>
      <c r="E24" s="22">
        <f>VLOOKUP(E23,$L:$M,2,FALSE)</f>
        <v>0</v>
      </c>
      <c r="F24" s="22">
        <f>VLOOKUP(F23,$L:$M,2,FALSE)</f>
        <v>0</v>
      </c>
      <c r="G24" s="22">
        <f>VLOOKUP(G23,$L:$M,2,FALSE)</f>
        <v>0</v>
      </c>
      <c r="H24" s="23"/>
      <c r="I24" s="24"/>
      <c r="J24" s="25"/>
    </row>
    <row r="25" spans="1:10" ht="16.5" thickBot="1" x14ac:dyDescent="0.3">
      <c r="A25" s="26"/>
      <c r="B25" s="27" t="str">
        <f>VLOOKUP(B23,$L:$N,3,FALSE)</f>
        <v>pSM285</v>
      </c>
      <c r="C25" s="27" t="str">
        <f>VLOOKUP(C23,$L:$N,3,FALSE)</f>
        <v>pSM200</v>
      </c>
      <c r="D25" s="27" t="str">
        <f>VLOOKUP(D23,$L:$N,3,FALSE)</f>
        <v>pSM194</v>
      </c>
      <c r="E25" s="27" t="str">
        <f>VLOOKUP(E23,$L:$N,3,FALSE)</f>
        <v>pSM259</v>
      </c>
      <c r="F25" s="27" t="str">
        <f>VLOOKUP(F23,$L:$N,3,FALSE)</f>
        <v>pSM202</v>
      </c>
      <c r="G25" s="27" t="str">
        <f>VLOOKUP(G23,$L:$N,3,FALSE)</f>
        <v>pSM306</v>
      </c>
      <c r="H25" s="28"/>
      <c r="I25" s="24"/>
      <c r="J25" s="25"/>
    </row>
    <row r="26" spans="1:10" ht="15" customHeight="1" x14ac:dyDescent="0.25">
      <c r="A26" s="13">
        <f t="shared" ref="A26" si="6">A23+1</f>
        <v>9</v>
      </c>
      <c r="B26" s="30" t="s">
        <v>21</v>
      </c>
      <c r="C26" s="3" t="s">
        <v>1</v>
      </c>
      <c r="D26" s="8" t="s">
        <v>5</v>
      </c>
      <c r="E26" s="4" t="s">
        <v>2</v>
      </c>
      <c r="F26" s="7" t="s">
        <v>7</v>
      </c>
      <c r="G26" s="6" t="s">
        <v>22</v>
      </c>
      <c r="H26" s="18" t="str">
        <f>CONCATENATE(C26,D26,E26,F26,G26)</f>
        <v>A-Ptac-BB-lacO-RBS-CC-SP-CspB-QEV-DD-EYFP-EE-TEV-FL-10xHis-tag-F</v>
      </c>
      <c r="I26" s="24"/>
      <c r="J26" s="25"/>
    </row>
    <row r="27" spans="1:10" ht="15.75" x14ac:dyDescent="0.25">
      <c r="A27" s="21"/>
      <c r="B27" s="22">
        <f>VLOOKUP(B26,$L:$M,2,FALSE)</f>
        <v>0</v>
      </c>
      <c r="C27" s="22">
        <f>VLOOKUP(C26,$L:$M,2,FALSE)</f>
        <v>0</v>
      </c>
      <c r="D27" s="22">
        <f>VLOOKUP(D26,$L:$M,2,FALSE)</f>
        <v>0</v>
      </c>
      <c r="E27" s="22">
        <f>VLOOKUP(E26,$L:$M,2,FALSE)</f>
        <v>0</v>
      </c>
      <c r="F27" s="22">
        <f>VLOOKUP(F26,$L:$M,2,FALSE)</f>
        <v>0</v>
      </c>
      <c r="G27" s="22">
        <f>VLOOKUP(G26,$L:$M,2,FALSE)</f>
        <v>0</v>
      </c>
      <c r="H27" s="23"/>
      <c r="I27" s="24"/>
      <c r="J27" s="25"/>
    </row>
    <row r="28" spans="1:10" ht="16.5" thickBot="1" x14ac:dyDescent="0.3">
      <c r="A28" s="26"/>
      <c r="B28" s="27" t="str">
        <f>VLOOKUP(B26,$L:$N,3,FALSE)</f>
        <v>pSM285</v>
      </c>
      <c r="C28" s="27" t="str">
        <f>VLOOKUP(C26,$L:$N,3,FALSE)</f>
        <v>pSM200</v>
      </c>
      <c r="D28" s="27" t="str">
        <f>VLOOKUP(D26,$L:$N,3,FALSE)</f>
        <v>pSM194</v>
      </c>
      <c r="E28" s="27" t="str">
        <f>VLOOKUP(E26,$L:$N,3,FALSE)</f>
        <v>pSM260</v>
      </c>
      <c r="F28" s="27" t="str">
        <f>VLOOKUP(F26,$L:$N,3,FALSE)</f>
        <v>pSM202</v>
      </c>
      <c r="G28" s="27" t="str">
        <f>VLOOKUP(G26,$L:$N,3,FALSE)</f>
        <v>pSM306</v>
      </c>
      <c r="H28" s="28"/>
      <c r="I28" s="32"/>
      <c r="J28" s="33"/>
    </row>
    <row r="29" spans="1:10" ht="15" customHeight="1" x14ac:dyDescent="0.25">
      <c r="A29" s="34"/>
      <c r="B29" s="29"/>
      <c r="C29" s="35"/>
      <c r="D29" s="35"/>
      <c r="E29" s="36"/>
      <c r="F29" s="36"/>
      <c r="G29" s="36"/>
      <c r="H29" s="40"/>
      <c r="I29" s="37"/>
      <c r="J29" s="37"/>
    </row>
    <row r="30" spans="1:10" ht="15" customHeight="1" x14ac:dyDescent="0.25">
      <c r="A30" s="34"/>
      <c r="B30" s="31"/>
      <c r="C30" s="38"/>
      <c r="D30" s="38"/>
      <c r="E30" s="31"/>
      <c r="F30" s="31"/>
      <c r="G30" s="31"/>
      <c r="H30" s="40"/>
      <c r="I30" s="37"/>
      <c r="J30" s="37"/>
    </row>
    <row r="31" spans="1:10" ht="15.75" x14ac:dyDescent="0.25">
      <c r="A31" s="34"/>
      <c r="B31" s="31"/>
      <c r="C31" s="38"/>
      <c r="D31" s="38"/>
      <c r="E31" s="31"/>
      <c r="F31" s="31"/>
      <c r="G31" s="31"/>
      <c r="H31" s="40"/>
      <c r="I31" s="37"/>
      <c r="J31" s="37"/>
    </row>
    <row r="32" spans="1:10" ht="15.75" customHeight="1" x14ac:dyDescent="0.25">
      <c r="A32" s="34"/>
      <c r="B32" s="29"/>
      <c r="C32" s="35"/>
      <c r="D32" s="35"/>
      <c r="E32" s="36"/>
      <c r="F32" s="36"/>
      <c r="G32" s="36"/>
      <c r="H32" s="40"/>
      <c r="I32" s="37"/>
      <c r="J32" s="37"/>
    </row>
    <row r="33" spans="1:10" ht="15.75" x14ac:dyDescent="0.25">
      <c r="A33" s="34"/>
      <c r="B33" s="31"/>
      <c r="C33" s="38"/>
      <c r="D33" s="38"/>
      <c r="E33" s="31"/>
      <c r="F33" s="31"/>
      <c r="G33" s="31"/>
      <c r="H33" s="40"/>
      <c r="I33" s="37"/>
      <c r="J33" s="37"/>
    </row>
    <row r="34" spans="1:10" ht="15.75" x14ac:dyDescent="0.25">
      <c r="A34" s="34"/>
      <c r="B34" s="31"/>
      <c r="C34" s="38"/>
      <c r="D34" s="38"/>
      <c r="E34" s="31"/>
      <c r="F34" s="31"/>
      <c r="G34" s="31"/>
      <c r="H34" s="40"/>
      <c r="I34" s="37"/>
      <c r="J34" s="37"/>
    </row>
    <row r="35" spans="1:10" ht="15" customHeight="1" x14ac:dyDescent="0.25">
      <c r="A35" s="34"/>
      <c r="B35" s="29"/>
      <c r="C35" s="35"/>
      <c r="D35" s="35"/>
      <c r="E35" s="36"/>
      <c r="F35" s="36"/>
      <c r="G35" s="36"/>
      <c r="H35" s="40"/>
      <c r="I35" s="37"/>
      <c r="J35" s="37"/>
    </row>
    <row r="36" spans="1:10" ht="15" customHeight="1" x14ac:dyDescent="0.25">
      <c r="A36" s="34"/>
      <c r="B36" s="31"/>
      <c r="C36" s="38"/>
      <c r="D36" s="38"/>
      <c r="E36" s="31"/>
      <c r="F36" s="31"/>
      <c r="G36" s="31"/>
      <c r="H36" s="40"/>
      <c r="I36" s="37"/>
      <c r="J36" s="37"/>
    </row>
    <row r="37" spans="1:10" ht="15.75" x14ac:dyDescent="0.25">
      <c r="A37" s="34"/>
      <c r="B37" s="31"/>
      <c r="C37" s="38"/>
      <c r="D37" s="38"/>
      <c r="E37" s="31"/>
      <c r="F37" s="31"/>
      <c r="G37" s="31"/>
      <c r="H37" s="40"/>
      <c r="I37" s="37"/>
      <c r="J37" s="37"/>
    </row>
    <row r="38" spans="1:10" ht="15" customHeight="1" x14ac:dyDescent="0.25">
      <c r="A38" s="34"/>
      <c r="B38" s="29"/>
      <c r="C38" s="35"/>
      <c r="D38" s="35"/>
      <c r="E38" s="36"/>
      <c r="F38" s="36"/>
      <c r="G38" s="36"/>
      <c r="H38" s="40"/>
      <c r="I38" s="37"/>
      <c r="J38" s="37"/>
    </row>
    <row r="39" spans="1:10" ht="15" customHeight="1" x14ac:dyDescent="0.25">
      <c r="A39" s="34"/>
      <c r="B39" s="31"/>
      <c r="C39" s="38"/>
      <c r="D39" s="38"/>
      <c r="E39" s="31"/>
      <c r="F39" s="31"/>
      <c r="G39" s="31"/>
      <c r="H39" s="40"/>
      <c r="I39" s="37"/>
      <c r="J39" s="37"/>
    </row>
    <row r="40" spans="1:10" ht="15.75" x14ac:dyDescent="0.25">
      <c r="A40" s="34"/>
      <c r="B40" s="31"/>
      <c r="C40" s="38"/>
      <c r="D40" s="38"/>
      <c r="E40" s="31"/>
      <c r="F40" s="31"/>
      <c r="G40" s="31"/>
      <c r="H40" s="40"/>
      <c r="I40" s="37"/>
      <c r="J40" s="37"/>
    </row>
    <row r="41" spans="1:10" ht="15" customHeight="1" x14ac:dyDescent="0.25">
      <c r="A41" s="34"/>
      <c r="B41" s="29"/>
      <c r="C41" s="35"/>
      <c r="D41" s="35"/>
      <c r="E41" s="36"/>
      <c r="F41" s="36"/>
      <c r="G41" s="36"/>
      <c r="H41" s="40"/>
      <c r="I41" s="37"/>
      <c r="J41" s="37"/>
    </row>
    <row r="42" spans="1:10" ht="15" customHeight="1" x14ac:dyDescent="0.25">
      <c r="A42" s="34"/>
      <c r="B42" s="31"/>
      <c r="C42" s="38"/>
      <c r="D42" s="38"/>
      <c r="E42" s="31"/>
      <c r="F42" s="31"/>
      <c r="G42" s="31"/>
      <c r="H42" s="40"/>
      <c r="I42" s="37"/>
      <c r="J42" s="37"/>
    </row>
    <row r="43" spans="1:10" ht="15.75" x14ac:dyDescent="0.25">
      <c r="A43" s="34"/>
      <c r="B43" s="31"/>
      <c r="C43" s="38"/>
      <c r="D43" s="38"/>
      <c r="E43" s="31"/>
      <c r="F43" s="31"/>
      <c r="G43" s="31"/>
      <c r="H43" s="40"/>
      <c r="I43" s="37"/>
      <c r="J43" s="37"/>
    </row>
    <row r="44" spans="1:10" ht="15" customHeight="1" x14ac:dyDescent="0.25">
      <c r="A44" s="34"/>
      <c r="B44" s="29"/>
      <c r="C44" s="35"/>
      <c r="D44" s="35"/>
      <c r="E44" s="36"/>
      <c r="F44" s="36"/>
      <c r="G44" s="36"/>
      <c r="H44" s="40"/>
      <c r="I44" s="37"/>
      <c r="J44" s="37"/>
    </row>
    <row r="45" spans="1:10" ht="15" customHeight="1" x14ac:dyDescent="0.25">
      <c r="A45" s="34"/>
      <c r="B45" s="31"/>
      <c r="C45" s="38"/>
      <c r="D45" s="38"/>
      <c r="E45" s="31"/>
      <c r="F45" s="31"/>
      <c r="G45" s="31"/>
      <c r="H45" s="40"/>
      <c r="I45" s="37"/>
      <c r="J45" s="37"/>
    </row>
    <row r="46" spans="1:10" ht="15.75" x14ac:dyDescent="0.25">
      <c r="A46" s="34"/>
      <c r="B46" s="31"/>
      <c r="C46" s="38"/>
      <c r="D46" s="38"/>
      <c r="E46" s="31"/>
      <c r="F46" s="31"/>
      <c r="G46" s="31"/>
      <c r="H46" s="40"/>
      <c r="I46" s="37"/>
      <c r="J46" s="37"/>
    </row>
    <row r="47" spans="1:10" ht="15" customHeight="1" x14ac:dyDescent="0.25">
      <c r="A47" s="34"/>
      <c r="B47" s="29"/>
      <c r="C47" s="35"/>
      <c r="D47" s="35"/>
      <c r="E47" s="36"/>
      <c r="F47" s="36"/>
      <c r="G47" s="36"/>
      <c r="H47" s="40"/>
      <c r="I47" s="37"/>
      <c r="J47" s="37"/>
    </row>
    <row r="48" spans="1:10" ht="15.75" customHeight="1" x14ac:dyDescent="0.25">
      <c r="A48" s="34"/>
      <c r="B48" s="31"/>
      <c r="C48" s="38"/>
      <c r="D48" s="38"/>
      <c r="E48" s="31"/>
      <c r="F48" s="31"/>
      <c r="G48" s="31"/>
      <c r="H48" s="40"/>
      <c r="I48" s="37"/>
      <c r="J48" s="37"/>
    </row>
    <row r="49" spans="1:10" ht="15" customHeight="1" x14ac:dyDescent="0.25">
      <c r="A49" s="34"/>
      <c r="B49" s="31"/>
      <c r="C49" s="38"/>
      <c r="D49" s="38"/>
      <c r="E49" s="31"/>
      <c r="F49" s="31"/>
      <c r="G49" s="31"/>
      <c r="H49" s="40"/>
      <c r="I49" s="37"/>
      <c r="J49" s="37"/>
    </row>
    <row r="50" spans="1:10" ht="15" customHeight="1" x14ac:dyDescent="0.25">
      <c r="A50" s="34"/>
      <c r="B50" s="29"/>
      <c r="C50" s="35"/>
      <c r="D50" s="35"/>
      <c r="E50" s="36"/>
      <c r="F50" s="36"/>
      <c r="G50" s="36"/>
      <c r="H50" s="40"/>
      <c r="I50" s="37"/>
      <c r="J50" s="37"/>
    </row>
    <row r="51" spans="1:10" ht="15" customHeight="1" x14ac:dyDescent="0.25">
      <c r="A51" s="34"/>
      <c r="B51" s="31"/>
      <c r="C51" s="38"/>
      <c r="D51" s="38"/>
      <c r="E51" s="31"/>
      <c r="F51" s="31"/>
      <c r="G51" s="31"/>
      <c r="H51" s="40"/>
      <c r="I51" s="37"/>
      <c r="J51" s="37"/>
    </row>
    <row r="52" spans="1:10" ht="15.75" x14ac:dyDescent="0.25">
      <c r="A52" s="34"/>
      <c r="B52" s="31"/>
      <c r="C52" s="38"/>
      <c r="D52" s="38"/>
      <c r="E52" s="31"/>
      <c r="F52" s="31"/>
      <c r="G52" s="31"/>
      <c r="H52" s="40"/>
      <c r="I52" s="37"/>
      <c r="J52" s="37"/>
    </row>
    <row r="53" spans="1:10" ht="15" customHeight="1" x14ac:dyDescent="0.25">
      <c r="A53" s="41"/>
      <c r="B53" s="29"/>
      <c r="C53" s="35"/>
      <c r="D53" s="35"/>
      <c r="E53" s="36"/>
      <c r="F53" s="36"/>
      <c r="G53" s="36"/>
      <c r="H53" s="40"/>
      <c r="I53" s="37"/>
      <c r="J53" s="37"/>
    </row>
    <row r="54" spans="1:10" ht="15.75" x14ac:dyDescent="0.25">
      <c r="A54" s="41"/>
      <c r="B54" s="31"/>
      <c r="C54" s="38"/>
      <c r="D54" s="38"/>
      <c r="E54" s="31"/>
      <c r="F54" s="31"/>
      <c r="G54" s="31"/>
      <c r="H54" s="40"/>
      <c r="I54" s="37"/>
      <c r="J54" s="37"/>
    </row>
    <row r="55" spans="1:10" ht="15.75" x14ac:dyDescent="0.25">
      <c r="A55" s="41"/>
      <c r="B55" s="31"/>
      <c r="C55" s="38"/>
      <c r="D55" s="38"/>
      <c r="E55" s="31"/>
      <c r="F55" s="31"/>
      <c r="G55" s="31"/>
      <c r="H55" s="40"/>
      <c r="I55" s="37"/>
      <c r="J55" s="37"/>
    </row>
    <row r="56" spans="1:10" ht="15.75" customHeight="1" x14ac:dyDescent="0.25">
      <c r="A56" s="41"/>
      <c r="B56" s="29"/>
      <c r="C56" s="35"/>
      <c r="D56" s="35"/>
      <c r="E56" s="36"/>
      <c r="F56" s="36"/>
      <c r="G56" s="36"/>
      <c r="H56" s="40"/>
      <c r="I56" s="37"/>
      <c r="J56" s="37"/>
    </row>
    <row r="57" spans="1:10" ht="15.75" x14ac:dyDescent="0.25">
      <c r="A57" s="41"/>
      <c r="B57" s="31"/>
      <c r="C57" s="38"/>
      <c r="D57" s="38"/>
      <c r="E57" s="31"/>
      <c r="F57" s="31"/>
      <c r="G57" s="31"/>
      <c r="H57" s="40"/>
      <c r="I57" s="37"/>
      <c r="J57" s="37"/>
    </row>
    <row r="58" spans="1:10" ht="15.75" x14ac:dyDescent="0.25">
      <c r="A58" s="41"/>
      <c r="B58" s="31"/>
      <c r="C58" s="38"/>
      <c r="D58" s="38"/>
      <c r="E58" s="31"/>
      <c r="F58" s="31"/>
      <c r="G58" s="31"/>
      <c r="H58" s="40"/>
      <c r="I58" s="37"/>
      <c r="J58" s="37"/>
    </row>
    <row r="59" spans="1:10" ht="15" customHeight="1" x14ac:dyDescent="0.25">
      <c r="A59" s="41"/>
      <c r="B59" s="29"/>
      <c r="C59" s="35"/>
      <c r="D59" s="35"/>
      <c r="E59" s="36"/>
      <c r="F59" s="36"/>
      <c r="G59" s="36"/>
      <c r="H59" s="40"/>
      <c r="I59" s="37"/>
      <c r="J59" s="37"/>
    </row>
    <row r="60" spans="1:10" ht="15.75" x14ac:dyDescent="0.25">
      <c r="A60" s="41"/>
      <c r="B60" s="31"/>
      <c r="C60" s="38"/>
      <c r="D60" s="38"/>
      <c r="E60" s="31"/>
      <c r="F60" s="31"/>
      <c r="G60" s="31"/>
      <c r="H60" s="40"/>
      <c r="I60" s="37"/>
      <c r="J60" s="37"/>
    </row>
    <row r="61" spans="1:10" ht="15.75" x14ac:dyDescent="0.25">
      <c r="A61" s="41"/>
      <c r="B61" s="31"/>
      <c r="C61" s="38"/>
      <c r="D61" s="38"/>
      <c r="E61" s="31"/>
      <c r="F61" s="31"/>
      <c r="G61" s="31"/>
      <c r="H61" s="40"/>
      <c r="I61" s="37"/>
      <c r="J61" s="37"/>
    </row>
    <row r="62" spans="1:10" ht="15" customHeight="1" x14ac:dyDescent="0.25">
      <c r="A62" s="41"/>
      <c r="B62" s="29"/>
      <c r="C62" s="35"/>
      <c r="D62" s="35"/>
      <c r="E62" s="36"/>
      <c r="F62" s="36"/>
      <c r="G62" s="36"/>
      <c r="H62" s="40"/>
      <c r="I62" s="37"/>
      <c r="J62" s="37"/>
    </row>
    <row r="63" spans="1:10" ht="15.75" x14ac:dyDescent="0.25">
      <c r="A63" s="41"/>
      <c r="B63" s="31"/>
      <c r="C63" s="38"/>
      <c r="D63" s="38"/>
      <c r="E63" s="31"/>
      <c r="F63" s="31"/>
      <c r="G63" s="31"/>
      <c r="H63" s="40"/>
      <c r="I63" s="37"/>
      <c r="J63" s="37"/>
    </row>
    <row r="64" spans="1:10" ht="15.75" x14ac:dyDescent="0.25">
      <c r="A64" s="41"/>
      <c r="B64" s="31"/>
      <c r="C64" s="38"/>
      <c r="D64" s="38"/>
      <c r="E64" s="31"/>
      <c r="F64" s="31"/>
      <c r="G64" s="31"/>
      <c r="H64" s="40"/>
      <c r="I64" s="37"/>
      <c r="J64" s="37"/>
    </row>
    <row r="65" spans="1:10" ht="15" customHeight="1" x14ac:dyDescent="0.25">
      <c r="A65" s="43"/>
      <c r="B65" s="39"/>
      <c r="C65" s="39"/>
      <c r="D65" s="39"/>
      <c r="E65" s="39"/>
      <c r="F65" s="39"/>
      <c r="G65" s="39"/>
      <c r="H65" s="39"/>
      <c r="I65" s="39"/>
      <c r="J65" s="39"/>
    </row>
    <row r="66" spans="1:10" x14ac:dyDescent="0.25">
      <c r="A66" s="43"/>
      <c r="B66" s="39"/>
      <c r="C66" s="39"/>
      <c r="D66" s="39"/>
      <c r="E66" s="39"/>
      <c r="F66" s="39"/>
      <c r="G66" s="39"/>
      <c r="H66" s="39"/>
      <c r="I66" s="39"/>
      <c r="J66" s="39"/>
    </row>
    <row r="67" spans="1:10" x14ac:dyDescent="0.25">
      <c r="A67" s="43"/>
      <c r="B67" s="39"/>
      <c r="C67" s="39"/>
      <c r="D67" s="39"/>
      <c r="E67" s="39"/>
      <c r="F67" s="39"/>
      <c r="G67" s="39"/>
      <c r="H67" s="39"/>
      <c r="I67" s="39"/>
      <c r="J67" s="39"/>
    </row>
    <row r="68" spans="1:10" ht="15" customHeight="1" x14ac:dyDescent="0.25">
      <c r="A68" s="43"/>
      <c r="B68" s="39"/>
      <c r="C68" s="39"/>
      <c r="D68" s="39"/>
      <c r="E68" s="39"/>
      <c r="F68" s="39"/>
      <c r="G68" s="39"/>
      <c r="H68" s="39"/>
      <c r="I68" s="39"/>
      <c r="J68" s="39"/>
    </row>
    <row r="69" spans="1:10" x14ac:dyDescent="0.25">
      <c r="A69" s="43"/>
      <c r="B69" s="39"/>
      <c r="C69" s="39"/>
      <c r="D69" s="39"/>
      <c r="E69" s="39"/>
      <c r="F69" s="39"/>
      <c r="G69" s="39"/>
      <c r="H69" s="39"/>
      <c r="I69" s="39"/>
      <c r="J69" s="39"/>
    </row>
    <row r="70" spans="1:10" x14ac:dyDescent="0.25">
      <c r="A70" s="43"/>
      <c r="B70" s="39"/>
      <c r="C70" s="39"/>
      <c r="D70" s="39"/>
      <c r="E70" s="39"/>
      <c r="F70" s="39"/>
      <c r="G70" s="39"/>
      <c r="H70" s="39"/>
      <c r="I70" s="39"/>
      <c r="J70" s="39"/>
    </row>
    <row r="71" spans="1:10" ht="15" customHeight="1" x14ac:dyDescent="0.25">
      <c r="A71" s="43"/>
      <c r="B71" s="39"/>
      <c r="C71" s="39"/>
      <c r="D71" s="39"/>
      <c r="E71" s="39"/>
      <c r="F71" s="39"/>
      <c r="G71" s="39"/>
      <c r="H71" s="39"/>
      <c r="I71" s="39"/>
      <c r="J71" s="39"/>
    </row>
    <row r="72" spans="1:10" x14ac:dyDescent="0.25">
      <c r="A72" s="43"/>
      <c r="B72" s="39"/>
      <c r="C72" s="39"/>
      <c r="D72" s="39"/>
      <c r="E72" s="39"/>
      <c r="F72" s="39"/>
      <c r="G72" s="39"/>
      <c r="H72" s="39"/>
      <c r="I72" s="39"/>
      <c r="J72" s="39"/>
    </row>
    <row r="73" spans="1:10" x14ac:dyDescent="0.25">
      <c r="A73" s="43"/>
      <c r="B73" s="39"/>
      <c r="C73" s="39"/>
      <c r="D73" s="39"/>
      <c r="E73" s="39"/>
      <c r="F73" s="39"/>
      <c r="G73" s="39"/>
      <c r="H73" s="39"/>
      <c r="I73" s="39"/>
      <c r="J73" s="39"/>
    </row>
    <row r="74" spans="1:10" x14ac:dyDescent="0.25">
      <c r="A74" s="43"/>
      <c r="B74" s="39"/>
      <c r="C74" s="39"/>
      <c r="D74" s="39"/>
      <c r="E74" s="39"/>
      <c r="F74" s="39"/>
      <c r="G74" s="39"/>
      <c r="H74" s="39"/>
      <c r="I74" s="39"/>
      <c r="J74" s="39"/>
    </row>
    <row r="75" spans="1:10" x14ac:dyDescent="0.25">
      <c r="A75" s="43"/>
      <c r="B75" s="39"/>
      <c r="C75" s="39"/>
      <c r="D75" s="39"/>
      <c r="E75" s="39"/>
      <c r="F75" s="39"/>
      <c r="G75" s="39"/>
      <c r="H75" s="39"/>
      <c r="I75" s="39"/>
      <c r="J75" s="39"/>
    </row>
    <row r="76" spans="1:10" x14ac:dyDescent="0.25">
      <c r="A76" s="43"/>
      <c r="B76" s="39"/>
      <c r="C76" s="39"/>
      <c r="D76" s="39"/>
      <c r="E76" s="39"/>
      <c r="F76" s="39"/>
      <c r="G76" s="39"/>
      <c r="H76" s="39"/>
      <c r="I76" s="39"/>
      <c r="J76" s="39"/>
    </row>
    <row r="77" spans="1:10" x14ac:dyDescent="0.25">
      <c r="A77" s="43"/>
      <c r="B77" s="39"/>
      <c r="C77" s="39"/>
      <c r="D77" s="39"/>
      <c r="E77" s="39"/>
      <c r="F77" s="39"/>
      <c r="G77" s="39"/>
      <c r="H77" s="39"/>
      <c r="I77" s="39"/>
      <c r="J77" s="39"/>
    </row>
    <row r="78" spans="1:10" x14ac:dyDescent="0.25">
      <c r="A78" s="43"/>
      <c r="B78" s="39"/>
      <c r="C78" s="39"/>
      <c r="D78" s="39"/>
      <c r="E78" s="39"/>
      <c r="F78" s="39"/>
      <c r="G78" s="39"/>
      <c r="H78" s="39"/>
      <c r="I78" s="39"/>
      <c r="J78" s="39"/>
    </row>
    <row r="79" spans="1:10" x14ac:dyDescent="0.25">
      <c r="A79" s="43"/>
      <c r="B79" s="39"/>
      <c r="C79" s="39"/>
      <c r="D79" s="39"/>
      <c r="E79" s="39"/>
      <c r="F79" s="39"/>
      <c r="G79" s="39"/>
      <c r="H79" s="39"/>
      <c r="I79" s="39"/>
      <c r="J79" s="39"/>
    </row>
  </sheetData>
  <mergeCells count="28">
    <mergeCell ref="A44:A46"/>
    <mergeCell ref="A47:A49"/>
    <mergeCell ref="A50:A52"/>
    <mergeCell ref="A32:A34"/>
    <mergeCell ref="A35:A37"/>
    <mergeCell ref="A38:A40"/>
    <mergeCell ref="A41:A43"/>
    <mergeCell ref="A23:A25"/>
    <mergeCell ref="H23:H25"/>
    <mergeCell ref="A26:A28"/>
    <mergeCell ref="H26:H28"/>
    <mergeCell ref="A29:A31"/>
    <mergeCell ref="A14:A16"/>
    <mergeCell ref="H14:H16"/>
    <mergeCell ref="A17:A19"/>
    <mergeCell ref="H17:H19"/>
    <mergeCell ref="A20:A22"/>
    <mergeCell ref="H20:H22"/>
    <mergeCell ref="I1:J1"/>
    <mergeCell ref="A2:A4"/>
    <mergeCell ref="H2:H4"/>
    <mergeCell ref="I2:J28"/>
    <mergeCell ref="A5:A7"/>
    <mergeCell ref="H5:H7"/>
    <mergeCell ref="A8:A10"/>
    <mergeCell ref="H8:H10"/>
    <mergeCell ref="A11:A13"/>
    <mergeCell ref="H11:H13"/>
  </mergeCells>
  <conditionalFormatting sqref="N10">
    <cfRule type="duplicateValues" dxfId="3" priority="4"/>
  </conditionalFormatting>
  <conditionalFormatting sqref="N2:N9">
    <cfRule type="duplicateValues" dxfId="2" priority="6"/>
  </conditionalFormatting>
  <conditionalFormatting sqref="N11">
    <cfRule type="duplicateValues" dxfId="1" priority="7"/>
  </conditionalFormatting>
  <conditionalFormatting sqref="N12:N13"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Matamouros, Susana</dc:creator>
  <cp:lastModifiedBy>Matamouros, Susana</cp:lastModifiedBy>
  <dcterms:created xsi:type="dcterms:W3CDTF">2025-01-20T13:18:34Z</dcterms:created>
  <dcterms:modified xsi:type="dcterms:W3CDTF">2025-01-20T13:29:53Z</dcterms:modified>
</cp:coreProperties>
</file>